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unit_serifs_i18n" sheetId="56" r:id="rId6"/>
    <sheet name="awake_materials" sheetId="3" r:id="rId7"/>
    <sheet name="→base値" sheetId="51" r:id="rId8"/>
    <sheet name="ghosts_label" sheetId="57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55" r:id="rId15"/>
  </sheets>
  <externalReferences>
    <externalReference r:id="rId16"/>
    <externalReference r:id="rId17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2" i="23"/>
  <c r="BR2" i="23"/>
  <c r="E25" i="54"/>
  <c r="E29" i="54"/>
  <c r="C2" i="56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H29" i="54"/>
  <c r="G29" i="54"/>
  <c r="B29" i="54"/>
  <c r="E24" i="54"/>
  <c r="E28" i="54"/>
  <c r="H28" i="54"/>
  <c r="G28" i="54"/>
  <c r="B28" i="54"/>
  <c r="E27" i="54"/>
  <c r="H27" i="54"/>
  <c r="G27" i="54"/>
  <c r="B27" i="54"/>
  <c r="E26" i="54"/>
  <c r="H26" i="54"/>
  <c r="G26" i="54"/>
  <c r="B26" i="54"/>
  <c r="H25" i="54"/>
  <c r="G25" i="54"/>
  <c r="B25" i="54"/>
  <c r="H24" i="54"/>
  <c r="G24" i="54"/>
  <c r="B24" i="54"/>
  <c r="E23" i="54"/>
  <c r="H23" i="54"/>
  <c r="G23" i="54"/>
  <c r="B23" i="54"/>
  <c r="B21" i="56"/>
  <c r="B20" i="56"/>
  <c r="B19" i="56"/>
  <c r="B18" i="56"/>
  <c r="B17" i="56"/>
  <c r="G15" i="3"/>
  <c r="E15" i="3"/>
  <c r="D15" i="3"/>
  <c r="C15" i="3"/>
  <c r="A15" i="3"/>
  <c r="G14" i="3"/>
  <c r="E14" i="3"/>
  <c r="D14" i="3"/>
  <c r="C14" i="3"/>
  <c r="A14" i="3"/>
  <c r="G13" i="3"/>
  <c r="E13" i="3"/>
  <c r="D13" i="3"/>
  <c r="C13" i="3"/>
  <c r="A13" i="3"/>
  <c r="G3" i="23"/>
  <c r="BC3" i="23"/>
  <c r="BD3" i="23"/>
  <c r="Q3" i="23"/>
  <c r="S3" i="23"/>
  <c r="W3" i="23"/>
  <c r="AA3" i="23"/>
  <c r="I3" i="23"/>
  <c r="J3" i="23"/>
  <c r="BK3" i="23"/>
  <c r="G2" i="23"/>
  <c r="BC2" i="23"/>
  <c r="BD2" i="23"/>
  <c r="Q2" i="23"/>
  <c r="S2" i="23"/>
  <c r="W2" i="23"/>
  <c r="AA2" i="23"/>
  <c r="I2" i="23"/>
  <c r="J2" i="23"/>
  <c r="BK2" i="23"/>
  <c r="T2" i="23"/>
  <c r="AB2" i="23"/>
  <c r="K2" i="23"/>
  <c r="BL2" i="23"/>
  <c r="V2" i="23"/>
  <c r="AD2" i="23"/>
  <c r="M2" i="23"/>
  <c r="BN2" i="23"/>
  <c r="V3" i="23"/>
  <c r="AD3" i="23"/>
  <c r="M3" i="23"/>
  <c r="BN3" i="23"/>
  <c r="T3" i="23"/>
  <c r="AB3" i="23"/>
  <c r="K3" i="23"/>
  <c r="BL3" i="23"/>
  <c r="I9" i="52"/>
  <c r="AP3" i="23"/>
  <c r="AP2" i="23"/>
  <c r="AT3" i="23"/>
  <c r="AT2" i="23"/>
  <c r="G9" i="53"/>
  <c r="E9" i="53"/>
  <c r="G8" i="53"/>
  <c r="E8" i="53"/>
  <c r="J9" i="52"/>
  <c r="H9" i="52"/>
  <c r="E9" i="52"/>
  <c r="J8" i="52"/>
  <c r="H8" i="52"/>
  <c r="E8" i="52"/>
  <c r="B16" i="56"/>
  <c r="B15" i="56"/>
  <c r="B14" i="56"/>
  <c r="B13" i="56"/>
  <c r="B12" i="56"/>
  <c r="E18" i="54"/>
  <c r="E22" i="54"/>
  <c r="H22" i="54"/>
  <c r="G22" i="54"/>
  <c r="B22" i="54"/>
  <c r="E17" i="54"/>
  <c r="E21" i="54"/>
  <c r="H21" i="54"/>
  <c r="G21" i="54"/>
  <c r="B21" i="54"/>
  <c r="E20" i="54"/>
  <c r="H20" i="54"/>
  <c r="G20" i="54"/>
  <c r="B20" i="54"/>
  <c r="E19" i="54"/>
  <c r="H19" i="54"/>
  <c r="G19" i="54"/>
  <c r="B19" i="54"/>
  <c r="H18" i="54"/>
  <c r="G18" i="54"/>
  <c r="B18" i="54"/>
  <c r="H17" i="54"/>
  <c r="G17" i="54"/>
  <c r="B17" i="54"/>
  <c r="E16" i="54"/>
  <c r="H16" i="54"/>
  <c r="G16" i="54"/>
  <c r="B16" i="54"/>
  <c r="G9" i="23"/>
  <c r="BC9" i="23"/>
  <c r="BD9" i="23"/>
  <c r="Q9" i="23"/>
  <c r="S9" i="23"/>
  <c r="W9" i="23"/>
  <c r="AA9" i="23"/>
  <c r="I9" i="23"/>
  <c r="J9" i="23"/>
  <c r="BK9" i="23"/>
  <c r="B11" i="56"/>
  <c r="B10" i="56"/>
  <c r="B9" i="56"/>
  <c r="B8" i="56"/>
  <c r="B7" i="56"/>
  <c r="E11" i="54"/>
  <c r="E15" i="54"/>
  <c r="H15" i="54"/>
  <c r="G15" i="54"/>
  <c r="B15" i="54"/>
  <c r="E10" i="54"/>
  <c r="E14" i="54"/>
  <c r="H14" i="54"/>
  <c r="G14" i="54"/>
  <c r="B14" i="54"/>
  <c r="E13" i="54"/>
  <c r="H13" i="54"/>
  <c r="G13" i="54"/>
  <c r="B13" i="54"/>
  <c r="E12" i="54"/>
  <c r="H12" i="54"/>
  <c r="G12" i="54"/>
  <c r="B12" i="54"/>
  <c r="H11" i="54"/>
  <c r="G11" i="54"/>
  <c r="B11" i="54"/>
  <c r="H10" i="54"/>
  <c r="G10" i="54"/>
  <c r="B10" i="54"/>
  <c r="E9" i="54"/>
  <c r="H9" i="54"/>
  <c r="G9" i="54"/>
  <c r="B9" i="54"/>
  <c r="J5" i="52"/>
  <c r="G10" i="3"/>
  <c r="F7" i="3"/>
  <c r="F8" i="3"/>
  <c r="F9" i="3"/>
  <c r="G12" i="3"/>
  <c r="E12" i="3"/>
  <c r="D12" i="3"/>
  <c r="C12" i="3"/>
  <c r="A12" i="3"/>
  <c r="G11" i="3"/>
  <c r="E11" i="3"/>
  <c r="D11" i="3"/>
  <c r="C11" i="3"/>
  <c r="A11" i="3"/>
  <c r="E10" i="3"/>
  <c r="D10" i="3"/>
  <c r="C10" i="3"/>
  <c r="A10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G6" i="23"/>
  <c r="BC6" i="23"/>
  <c r="BD6" i="23"/>
  <c r="Q6" i="23"/>
  <c r="T6" i="23"/>
  <c r="W6" i="23"/>
  <c r="AB6" i="23"/>
  <c r="I6" i="23"/>
  <c r="K6" i="23"/>
  <c r="BL6" i="23"/>
  <c r="G7" i="23"/>
  <c r="BC7" i="23"/>
  <c r="BD7" i="23"/>
  <c r="Q7" i="23"/>
  <c r="T7" i="23"/>
  <c r="W7" i="23"/>
  <c r="AB7" i="23"/>
  <c r="I7" i="23"/>
  <c r="K7" i="23"/>
  <c r="BL7" i="23"/>
  <c r="I7" i="52"/>
  <c r="F7" i="53"/>
  <c r="F5" i="53"/>
  <c r="I5" i="52"/>
  <c r="T9" i="23"/>
  <c r="AB9" i="23"/>
  <c r="K9" i="23"/>
  <c r="BL9" i="23"/>
  <c r="S7" i="23"/>
  <c r="AA7" i="23"/>
  <c r="J7" i="23"/>
  <c r="BK7" i="23"/>
  <c r="V7" i="23"/>
  <c r="AD7" i="23"/>
  <c r="M7" i="23"/>
  <c r="BN7" i="23"/>
  <c r="AP8" i="23"/>
  <c r="AP9" i="23"/>
  <c r="AT6" i="23"/>
  <c r="AT7" i="23"/>
  <c r="AT8" i="23"/>
  <c r="AT9" i="23"/>
  <c r="AP6" i="23"/>
  <c r="AP7" i="23"/>
  <c r="E4" i="54"/>
  <c r="G4" i="54"/>
  <c r="E8" i="54"/>
  <c r="E3" i="54"/>
  <c r="E7" i="54"/>
  <c r="G3" i="54"/>
  <c r="H3" i="54"/>
  <c r="H4" i="54"/>
  <c r="E5" i="54"/>
  <c r="G5" i="54"/>
  <c r="H5" i="54"/>
  <c r="E6" i="54"/>
  <c r="G6" i="54"/>
  <c r="H6" i="54"/>
  <c r="G7" i="54"/>
  <c r="H7" i="54"/>
  <c r="G8" i="54"/>
  <c r="H8" i="54"/>
  <c r="E2" i="54"/>
  <c r="H2" i="54"/>
  <c r="G2" i="54"/>
  <c r="B3" i="54"/>
  <c r="B4" i="54"/>
  <c r="B5" i="54"/>
  <c r="B6" i="54"/>
  <c r="B7" i="54"/>
  <c r="B8" i="54"/>
  <c r="B3" i="56"/>
  <c r="B4" i="56"/>
  <c r="B5" i="56"/>
  <c r="B6" i="56"/>
  <c r="B2" i="56"/>
  <c r="B2" i="54"/>
  <c r="F3" i="3"/>
  <c r="F4" i="3"/>
  <c r="F5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G2" i="3"/>
  <c r="E2" i="3"/>
  <c r="D2" i="3"/>
  <c r="C2" i="3"/>
  <c r="A2" i="3"/>
  <c r="I3" i="52"/>
  <c r="N9" i="23"/>
  <c r="G8" i="23"/>
  <c r="N8" i="23"/>
  <c r="N3" i="23"/>
  <c r="N2" i="23"/>
  <c r="BC8" i="23"/>
  <c r="BD8" i="23"/>
  <c r="G4" i="23"/>
  <c r="BC4" i="23"/>
  <c r="BD4" i="23"/>
  <c r="Q4" i="23"/>
  <c r="S4" i="23"/>
  <c r="W4" i="23"/>
  <c r="AA4" i="23"/>
  <c r="I4" i="23"/>
  <c r="J4" i="23"/>
  <c r="BK4" i="23"/>
  <c r="G5" i="23"/>
  <c r="BC5" i="23"/>
  <c r="BD5" i="23"/>
  <c r="Q5" i="23"/>
  <c r="S5" i="23"/>
  <c r="W5" i="23"/>
  <c r="AA5" i="23"/>
  <c r="I5" i="23"/>
  <c r="J5" i="23"/>
  <c r="BK5" i="23"/>
  <c r="T4" i="23"/>
  <c r="AB4" i="23"/>
  <c r="K4" i="23"/>
  <c r="BL4" i="23"/>
  <c r="T5" i="23"/>
  <c r="AB5" i="23"/>
  <c r="K5" i="23"/>
  <c r="BL5" i="23"/>
  <c r="AT5" i="23"/>
  <c r="AT4" i="23"/>
  <c r="AP5" i="23"/>
  <c r="AP4" i="23"/>
  <c r="G7" i="53"/>
  <c r="E7" i="53"/>
  <c r="G4" i="53"/>
  <c r="E4" i="53"/>
  <c r="G5" i="53"/>
  <c r="E5" i="53"/>
  <c r="G6" i="53"/>
  <c r="E6" i="53"/>
  <c r="G3" i="53"/>
  <c r="E3" i="53"/>
  <c r="G2" i="53"/>
  <c r="E2" i="53"/>
  <c r="J4" i="52"/>
  <c r="E4" i="52"/>
  <c r="H4" i="52"/>
  <c r="E5" i="52"/>
  <c r="H5" i="52"/>
  <c r="J6" i="52"/>
  <c r="E6" i="52"/>
  <c r="H6" i="52"/>
  <c r="J7" i="52"/>
  <c r="E7" i="52"/>
  <c r="H7" i="52"/>
  <c r="J3" i="52"/>
  <c r="H3" i="52"/>
  <c r="E3" i="52"/>
  <c r="J2" i="52"/>
  <c r="H2" i="52"/>
  <c r="E2" i="52"/>
  <c r="G11" i="11"/>
  <c r="G10" i="11"/>
  <c r="G9" i="11"/>
  <c r="G8" i="11"/>
  <c r="G2" i="11"/>
  <c r="G5" i="11"/>
  <c r="G4" i="11"/>
  <c r="G3" i="11"/>
  <c r="G5" i="13"/>
  <c r="G4" i="13"/>
  <c r="G3" i="13"/>
  <c r="G2" i="13"/>
  <c r="C3" i="49"/>
  <c r="C4" i="49"/>
  <c r="C5" i="49"/>
  <c r="C6" i="49"/>
  <c r="C7" i="49"/>
  <c r="C8" i="49"/>
  <c r="C9" i="49"/>
  <c r="C10" i="49"/>
  <c r="AE8" i="23"/>
  <c r="AE6" i="23"/>
  <c r="AE4" i="23"/>
  <c r="AE2" i="23"/>
  <c r="B2" i="23"/>
  <c r="V4" i="23"/>
  <c r="AD4" i="23"/>
  <c r="M4" i="23"/>
  <c r="BN4" i="23"/>
  <c r="B4" i="23"/>
  <c r="B3" i="23"/>
  <c r="B15" i="55"/>
  <c r="C15" i="55"/>
  <c r="D15" i="55"/>
  <c r="B16" i="55"/>
  <c r="C16" i="55"/>
  <c r="D16" i="55"/>
  <c r="D14" i="55"/>
  <c r="C14" i="55"/>
  <c r="B14" i="55"/>
  <c r="AX2" i="23"/>
  <c r="A21" i="55"/>
  <c r="G11" i="13"/>
  <c r="G10" i="13"/>
  <c r="G9" i="13"/>
  <c r="G8" i="13"/>
  <c r="A26" i="55"/>
  <c r="C2" i="23"/>
  <c r="D2" i="23"/>
  <c r="E2" i="23"/>
  <c r="F2" i="23"/>
  <c r="L2" i="23"/>
  <c r="O2" i="23"/>
  <c r="P2" i="23"/>
  <c r="R2" i="23"/>
  <c r="U2" i="23"/>
  <c r="X2" i="23"/>
  <c r="Y2" i="23"/>
  <c r="Z2" i="23"/>
  <c r="AC2" i="23"/>
  <c r="AF2" i="23"/>
  <c r="AG2" i="23"/>
  <c r="AG3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BE2" i="23"/>
  <c r="BF2" i="23"/>
  <c r="BG2" i="23"/>
  <c r="BH2" i="23"/>
  <c r="BM2" i="23"/>
  <c r="BI2" i="23"/>
  <c r="BJ2" i="23"/>
  <c r="C3" i="23"/>
  <c r="D3" i="23"/>
  <c r="E3" i="23"/>
  <c r="F3" i="23"/>
  <c r="L3" i="23"/>
  <c r="O3" i="23"/>
  <c r="P3" i="23"/>
  <c r="R3" i="23"/>
  <c r="U3" i="23"/>
  <c r="X3" i="23"/>
  <c r="Y3" i="23"/>
  <c r="Z3" i="23"/>
  <c r="AC3" i="23"/>
  <c r="AF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G3" i="23"/>
  <c r="BH3" i="23"/>
  <c r="BM3" i="23"/>
  <c r="BI3" i="23"/>
  <c r="BJ3" i="23"/>
  <c r="C4" i="23"/>
  <c r="D4" i="23"/>
  <c r="E4" i="23"/>
  <c r="F4" i="23"/>
  <c r="L4" i="23"/>
  <c r="N4" i="23"/>
  <c r="O4" i="23"/>
  <c r="P4" i="23"/>
  <c r="R4" i="23"/>
  <c r="U4" i="23"/>
  <c r="X4" i="23"/>
  <c r="Y4" i="23"/>
  <c r="Z4" i="23"/>
  <c r="AC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E4" i="23"/>
  <c r="BF4" i="23"/>
  <c r="BG4" i="23"/>
  <c r="BH4" i="23"/>
  <c r="BM4" i="23"/>
  <c r="BI4" i="23"/>
  <c r="BJ4" i="23"/>
  <c r="B5" i="23"/>
  <c r="C5" i="23"/>
  <c r="D5" i="23"/>
  <c r="E5" i="23"/>
  <c r="F5" i="23"/>
  <c r="L5" i="23"/>
  <c r="M5" i="23"/>
  <c r="N5" i="23"/>
  <c r="O5" i="23"/>
  <c r="P5" i="23"/>
  <c r="R5" i="23"/>
  <c r="U5" i="23"/>
  <c r="V5" i="23"/>
  <c r="X5" i="23"/>
  <c r="Y5" i="23"/>
  <c r="Z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N5" i="23"/>
  <c r="BJ5" i="23"/>
  <c r="B6" i="23"/>
  <c r="C6" i="23"/>
  <c r="D6" i="23"/>
  <c r="E6" i="23"/>
  <c r="F6" i="23"/>
  <c r="J6" i="23"/>
  <c r="L6" i="23"/>
  <c r="M6" i="23"/>
  <c r="N6" i="23"/>
  <c r="O6" i="23"/>
  <c r="P6" i="23"/>
  <c r="R6" i="23"/>
  <c r="S6" i="23"/>
  <c r="U6" i="23"/>
  <c r="V6" i="23"/>
  <c r="X6" i="23"/>
  <c r="Y6" i="23"/>
  <c r="Z6" i="23"/>
  <c r="AA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K6" i="23"/>
  <c r="BG6" i="23"/>
  <c r="BH6" i="23"/>
  <c r="BM6" i="23"/>
  <c r="BI6" i="23"/>
  <c r="BN6" i="23"/>
  <c r="BJ6" i="23"/>
  <c r="B7" i="23"/>
  <c r="C7" i="23"/>
  <c r="D7" i="23"/>
  <c r="E7" i="23"/>
  <c r="F7" i="23"/>
  <c r="L7" i="23"/>
  <c r="N7" i="23"/>
  <c r="O7" i="23"/>
  <c r="P7" i="23"/>
  <c r="R7" i="23"/>
  <c r="U7" i="23"/>
  <c r="X7" i="23"/>
  <c r="Y7" i="23"/>
  <c r="Z7" i="23"/>
  <c r="AC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G7" i="23"/>
  <c r="BH7" i="23"/>
  <c r="BM7" i="23"/>
  <c r="BI7" i="23"/>
  <c r="BJ7" i="23"/>
  <c r="B8" i="23"/>
  <c r="C8" i="23"/>
  <c r="D8" i="23"/>
  <c r="E8" i="23"/>
  <c r="F8" i="23"/>
  <c r="I8" i="23"/>
  <c r="J8" i="23"/>
  <c r="K8" i="23"/>
  <c r="L8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L9" i="23"/>
  <c r="M9" i="23"/>
  <c r="O9" i="23"/>
  <c r="P9" i="23"/>
  <c r="R9" i="23"/>
  <c r="U9" i="23"/>
  <c r="V9" i="23"/>
  <c r="X9" i="23"/>
  <c r="Y9" i="23"/>
  <c r="Z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G9" i="23"/>
  <c r="BH9" i="23"/>
  <c r="BM9" i="23"/>
  <c r="BI9" i="23"/>
  <c r="BN9" i="23"/>
  <c r="BJ9" i="2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<sst xmlns="http://schemas.openxmlformats.org/spreadsheetml/2006/main" count="889" uniqueCount="347">
  <si>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</si>
  <si>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</si>
  <si>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</si>
  <si>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</si>
  <si>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</si>
  <si>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</si>
  <si>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</si>
  <si>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</si>
  <si>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</si>
  <si>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</si>
  <si>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</si>
  <si>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</si>
  <si>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</si>
  <si>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</si>
  <si>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</si>
  <si>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</si>
  <si>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</si>
  <si>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</si>
  <si>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</si>
  <si>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</si>
  <si>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</si>
  <si>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</si>
  <si>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</si>
  <si>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</si>
  <si>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</si>
  <si>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</si>
  <si>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</si>
  <si>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</si>
  <si>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</si>
  <si>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</si>
  <si>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</si>
  <si>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</si>
  <si>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</si>
  <si>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</si>
  <si>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</si>
  <si>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</si>
  <si>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</si>
  <si>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</si>
  <si>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</si>
  <si>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</si>
  <si>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</si>
  <si>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</si>
  <si>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</si>
  <si>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</si>
  <si>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</si>
  <si>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</si>
  <si>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</si>
  <si>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</si>
  <si>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</si>
  <si>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</si>
  <si>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</si>
  <si>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</si>
  <si>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</si>
  <si>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</si>
  <si>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</si>
  <si>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</si>
  <si>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</si>
  <si>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</si>
  <si>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</si>
  <si>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</si>
  <si>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</si>
  <si>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</si>
  <si>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</si>
  <si>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</si>
  <si>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</si>
  <si>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</si>
  <si>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</si>
  <si>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</si>
  <si>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</si>
  <si>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</si>
  <si>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</si>
  <si>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</si>
  <si>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</si>
  <si>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</si>
  <si>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</si>
  <si>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</si>
  <si>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</si>
  <si>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</si>
  <si>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</si>
  <si>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</si>
  <si>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</si>
  <si>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</si>
  <si>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</si>
  <si>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</si>
  <si>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</si>
  <si>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</si>
  <si>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</si>
  <si>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</si>
  <si>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</si>
  <si>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</si>
  <si>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</si>
  <si>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</si>
  <si>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</si>
  <si>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</si>
  <si>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</si>
  <si>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</si>
  <si>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</si>
  <si>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</si>
  <si>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</si>
  <si>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</si>
  <si>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</si>
  <si>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</si>
  <si>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</si>
  <si>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</si>
  <si>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</si>
  <si>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</si>
  <si>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</si>
  <si>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</si>
  <si>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</si>
  <si>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</si>
  <si>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</si>
  <si>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</si>
  <si>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</si>
  <si>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</si>
  <si>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</si>
  <si>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</si>
  <si>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</si>
  <si>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</si>
  <si>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</si>
  <si>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</si>
  <si>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</si>
  <si>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</si>
  <si>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</si>
  <si>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</si>
  <si>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</si>
  <si>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</si>
  <si>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</si>
  <si>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</si>
  <si>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</si>
  <si>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</si>
  <si>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</si>
  <si>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</si>
  <si>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</si>
  <si>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</si>
  <si>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</si>
  <si>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</si>
  <si>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</si>
  <si>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</si>
  <si>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</si>
  <si>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</si>
  <si>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</si>
  <si>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</si>
  <si>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</si>
  <si>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</si>
  <si>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</si>
  <si>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</si>
  <si>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</si>
  <si>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</si>
  <si>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</si>
  <si>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</si>
  <si>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</si>
  <si>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</si>
  <si>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</si>
  <si>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</si>
  <si>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</si>
  <si>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</si>
  <si>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</si>
  <si>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</si>
  <si>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</si>
  <si>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</si>
  <si>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</si>
  <si>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</si>
  <si>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</si>
  <si>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</si>
  <si>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</si>
  <si>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</si>
  <si>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</si>
  <si>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</si>
  <si>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</si>
  <si>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</si>
  <si>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</si>
  <si>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</si>
  <si>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</si>
  <si>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</si>
  <si>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</si>
  <si>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</si>
  <si>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</si>
  <si>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</si>
  <si>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</si>
  <si>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</si>
  <si>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</si>
  <si>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</si>
  <si>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</si>
  <si>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</si>
  <si>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</si>
  <si>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</si>
  <si>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</si>
  <si>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</si>
  <si>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</si>
  <si>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</si>
  <si>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</si>
  <si>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</si>
  <si>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</si>
  <si>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</si>
  <si>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</si>
  <si>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</si>
  <si>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</si>
  <si>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</si>
  <si>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</si>
  <si>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</si>
  <si>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</si>
  <si>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</si>
  <si>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</si>
  <si>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</si>
  <si>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</si>
  <si>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</si>
  <si>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</si>
  <si>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</si>
  <si>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</si>
  <si>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</si>
  <si>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</si>
  <si>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</si>
  <si>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</si>
  <si>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</si>
  <si>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</si>
  <si>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</si>
  <si>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</si>
  <si>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</si>
  <si>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</si>
  <si>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</si>
  <si>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</si>
  <si>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</si>
  <si>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</si>
  <si>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</si>
  <si>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</si>
  <si>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</si>
  <si>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</si>
  <si>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</si>
  <si>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</si>
  <si>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</si>
  <si>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</si>
  <si>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</si>
  <si>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</si>
  <si>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</si>
  <si>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</si>
  <si>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</si>
  <si>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</si>
  <si>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old</t>
    <phoneticPr fontId="22"/>
  </si>
  <si>
    <t>youkai01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</si>
  <si>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</si>
  <si>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</si>
  <si>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</si>
  <si>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</si>
  <si>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</t>
    <phoneticPr fontId="9"/>
  </si>
  <si>
    <t>DropWizSS</t>
    <phoneticPr fontId="9"/>
  </si>
  <si>
    <t>DropWizS</t>
    <phoneticPr fontId="9"/>
  </si>
  <si>
    <t>DropN</t>
    <phoneticPr fontId="9"/>
  </si>
  <si>
    <t>-</t>
    <phoneticPr fontId="9"/>
  </si>
  <si>
    <t>required_exp_300</t>
    <phoneticPr fontId="9"/>
  </si>
  <si>
    <t>DropWizSS</t>
    <phoneticPr fontId="9"/>
  </si>
  <si>
    <t>required_exp_250</t>
    <phoneticPr fontId="9"/>
  </si>
  <si>
    <t>DropN</t>
    <phoneticPr fontId="9"/>
  </si>
  <si>
    <t>required_exp_250</t>
    <phoneticPr fontId="9"/>
  </si>
  <si>
    <t>DropW</t>
    <phoneticPr fontId="9"/>
  </si>
  <si>
    <t>DropWizSSS</t>
    <phoneticPr fontId="9"/>
  </si>
  <si>
    <t>DropWizSS</t>
    <phoneticPr fontId="9"/>
  </si>
  <si>
    <t>DropWizN</t>
    <phoneticPr fontId="9"/>
  </si>
  <si>
    <t>DropWizW</t>
    <phoneticPr fontId="9"/>
  </si>
  <si>
    <t>ja</t>
    <phoneticPr fontId="22"/>
  </si>
  <si>
    <t>ja</t>
    <phoneticPr fontId="22"/>
  </si>
  <si>
    <t>1体に大ダメージ</t>
    <rPh sb="1" eb="3">
      <t>タ</t>
    </rPh>
    <rPh sb="3" eb="8">
      <t>ダ</t>
    </rPh>
    <phoneticPr fontId="22"/>
  </si>
  <si>
    <t>単体に青属性の特大ダメージ+Cパネル(大)を2つ生成</t>
    <rPh sb="0" eb="3">
      <t>タンタ</t>
    </rPh>
    <rPh sb="3" eb="7">
      <t>ア</t>
    </rPh>
    <rPh sb="7" eb="9">
      <t>トクダ</t>
    </rPh>
    <rPh sb="9" eb="13">
      <t>ダ</t>
    </rPh>
    <rPh sb="19" eb="20">
      <t>ダ</t>
    </rPh>
    <rPh sb="24" eb="26">
      <t>セイセ</t>
    </rPh>
    <phoneticPr fontId="22"/>
  </si>
  <si>
    <t>全体に特大ダメージ</t>
    <rPh sb="0" eb="2">
      <t>ゼン</t>
    </rPh>
    <rPh sb="2" eb="3">
      <t>タ</t>
    </rPh>
    <rPh sb="3" eb="5">
      <t>トクダ</t>
    </rPh>
    <rPh sb="5" eb="9">
      <t>ダ</t>
    </rPh>
    <phoneticPr fontId="22"/>
  </si>
  <si>
    <t>DropWisN</t>
    <phoneticPr fontId="9"/>
  </si>
  <si>
    <t>DropWisW</t>
    <phoneticPr fontId="9"/>
  </si>
  <si>
    <t>雪亡の鎌</t>
    <rPh sb="0" eb="1">
      <t>ユk</t>
    </rPh>
    <rPh sb="1" eb="2">
      <t>ンaki</t>
    </rPh>
    <rPh sb="3" eb="4">
      <t>カm</t>
    </rPh>
    <phoneticPr fontId="22"/>
  </si>
  <si>
    <t>冷霊氷麗落とし</t>
    <rPh sb="0" eb="1">
      <t>ヒy</t>
    </rPh>
    <rPh sb="1" eb="2">
      <t>レ</t>
    </rPh>
    <rPh sb="2" eb="4">
      <t>ツラr</t>
    </rPh>
    <rPh sb="4" eb="7">
      <t>オt</t>
    </rPh>
    <phoneticPr fontId="22"/>
  </si>
  <si>
    <t>skill</t>
  </si>
  <si>
    <t>ja</t>
    <phoneticPr fontId="22"/>
  </si>
  <si>
    <t>character_id</t>
    <phoneticPr fontId="22"/>
  </si>
  <si>
    <t>name</t>
    <phoneticPr fontId="22"/>
  </si>
  <si>
    <t>serif_id</t>
    <phoneticPr fontId="22"/>
  </si>
  <si>
    <t>language</t>
    <phoneticPr fontId="22"/>
  </si>
  <si>
    <t>frame_type</t>
    <phoneticPr fontId="22"/>
  </si>
  <si>
    <t>serif</t>
    <phoneticPr fontId="22"/>
  </si>
  <si>
    <t>ja</t>
    <phoneticPr fontId="22"/>
  </si>
  <si>
    <t>maru</t>
    <phoneticPr fontId="22"/>
  </si>
  <si>
    <t>cskill</t>
    <phoneticPr fontId="22"/>
  </si>
  <si>
    <t>cskill</t>
    <phoneticPr fontId="22"/>
  </si>
  <si>
    <t>頭上に気をつけてね？</t>
    <rPh sb="0" eb="2">
      <t>ズジョ</t>
    </rPh>
    <rPh sb="3" eb="9">
      <t>キw</t>
    </rPh>
    <phoneticPr fontId="22"/>
  </si>
  <si>
    <t>maru</t>
    <phoneticPr fontId="22"/>
  </si>
  <si>
    <t>unit_serifs_i18n</t>
    <phoneticPr fontId="22"/>
  </si>
  <si>
    <t>いつまでも愛してあげる…</t>
    <rPh sb="5" eb="8">
      <t>アイs</t>
    </rPh>
    <phoneticPr fontId="22"/>
  </si>
  <si>
    <t>私のこと好き？</t>
    <rPh sb="0" eb="2">
      <t>ワタs</t>
    </rPh>
    <rPh sb="4" eb="6">
      <t>スk</t>
    </rPh>
    <phoneticPr fontId="22"/>
  </si>
  <si>
    <t>maru</t>
    <phoneticPr fontId="22"/>
  </si>
  <si>
    <t>逃がさない…</t>
    <rPh sb="0" eb="5">
      <t>ニガサナイw</t>
    </rPh>
    <phoneticPr fontId="22"/>
  </si>
  <si>
    <t>愛してくれる？</t>
    <rPh sb="0" eb="6">
      <t>ア</t>
    </rPh>
    <phoneticPr fontId="22"/>
  </si>
  <si>
    <t>[effect:damage, target:enemy_all, color:blue, val:1.125, animation:damage_all_blue05]</t>
    <phoneticPr fontId="22"/>
  </si>
  <si>
    <t>[effect:damage, target:enemy_one, color:blue, val:6.528, animation:damage_one_blue04][effect:change_block, new_block:crash, target:block_all, color:block_red, count:2, val:8, min_time_count:2, max_time_count:2, animation:change_block]</t>
    <phoneticPr fontId="22"/>
  </si>
  <si>
    <t>単体に特大ダメージ(ウィルス状態の敵には効果超大 )</t>
    <rPh sb="0" eb="3">
      <t>タンタ</t>
    </rPh>
    <rPh sb="3" eb="5">
      <t>トクダ</t>
    </rPh>
    <rPh sb="14" eb="17">
      <t>ジョ</t>
    </rPh>
    <rPh sb="17" eb="20">
      <t>テk</t>
    </rPh>
    <rPh sb="20" eb="22">
      <t>コウk</t>
    </rPh>
    <rPh sb="22" eb="24">
      <t>チョウダ</t>
    </rPh>
    <phoneticPr fontId="22"/>
  </si>
  <si>
    <t>1体に特大ダメージ
+確率でウィルス付与</t>
    <rPh sb="3" eb="5">
      <t>トクダ</t>
    </rPh>
    <rPh sb="11" eb="14">
      <t>カクリt</t>
    </rPh>
    <rPh sb="18" eb="20">
      <t>フy</t>
    </rPh>
    <phoneticPr fontId="22"/>
  </si>
  <si>
    <t>[effect:damage_anti_abnormal, target:enemy_one, target_effect01:virus, val1:11.2, val2:8.16, animation:damage_one_yellow04]</t>
    <phoneticPr fontId="22"/>
  </si>
  <si>
    <t>[effect:damage, target:enemy_one, color:yellow, val:1.5, animation:damage_one_yellow01],[effect:virus, target:enemy_one, turn:2, rate:0.30, val:0.84, animation:virus02]</t>
    <phoneticPr fontId="22"/>
  </si>
  <si>
    <t>[effect:damage, target:enemy_one, color:yellow, val:2.0, animation:damage_one_yellow04]</t>
    <phoneticPr fontId="22"/>
  </si>
  <si>
    <t>SCパネルを2つ生成+2ターン種族ゴッドの攻撃力特大UP</t>
    <rPh sb="8" eb="10">
      <t>セイセ</t>
    </rPh>
    <rPh sb="15" eb="17">
      <t>シュゾk</t>
    </rPh>
    <rPh sb="21" eb="24">
      <t>コウゲk</t>
    </rPh>
    <rPh sb="24" eb="26">
      <t>トクダ</t>
    </rPh>
    <phoneticPr fontId="22"/>
  </si>
  <si>
    <t>[effect:special_block,val:14, count:2, animation:change_block],[effect:enhance_unit, target:unit_god, turn:2, status:attack, val:0.128, calc:mul, animation:enhance_unit_all_attack04_unit01]</t>
    <phoneticPr fontId="22"/>
  </si>
  <si>
    <t>嵐破鬼神斬</t>
    <rPh sb="0" eb="1">
      <t>アラs</t>
    </rPh>
    <rPh sb="1" eb="2">
      <t>ハカ</t>
    </rPh>
    <rPh sb="2" eb="3">
      <t>オン</t>
    </rPh>
    <rPh sb="3" eb="4">
      <t>カm</t>
    </rPh>
    <rPh sb="4" eb="5">
      <t>キr</t>
    </rPh>
    <phoneticPr fontId="22"/>
  </si>
  <si>
    <t>桜花鬼神乱舞</t>
    <rPh sb="0" eb="2">
      <t>オウk</t>
    </rPh>
    <rPh sb="2" eb="6">
      <t>キジンランb</t>
    </rPh>
    <phoneticPr fontId="22"/>
  </si>
  <si>
    <t>忌避される病爪</t>
    <rPh sb="0" eb="2">
      <t>キh</t>
    </rPh>
    <rPh sb="5" eb="6">
      <t>ヤm</t>
    </rPh>
    <rPh sb="6" eb="7">
      <t>ツm</t>
    </rPh>
    <phoneticPr fontId="22"/>
  </si>
  <si>
    <t>増悪の愉抉毒</t>
    <rPh sb="0" eb="3">
      <t>ゾ</t>
    </rPh>
    <rPh sb="4" eb="5">
      <t>エグr</t>
    </rPh>
    <rPh sb="5" eb="6">
      <t>ドk</t>
    </rPh>
    <phoneticPr fontId="22"/>
  </si>
  <si>
    <t>やるぜェ！！</t>
    <phoneticPr fontId="22"/>
  </si>
  <si>
    <t>オラオラどうしたァ！！！</t>
    <phoneticPr fontId="22"/>
  </si>
  <si>
    <t>giza</t>
    <phoneticPr fontId="22"/>
  </si>
  <si>
    <t>調子乗ってんじゃねーぞ！</t>
    <phoneticPr fontId="22"/>
  </si>
  <si>
    <t>覚悟しやがれ！！</t>
    <phoneticPr fontId="22"/>
  </si>
  <si>
    <t>クソッ…マジでブッ飛ばす！！</t>
    <phoneticPr fontId="22"/>
  </si>
  <si>
    <t>これで終わらせるわ…！</t>
    <phoneticPr fontId="22"/>
  </si>
  <si>
    <t>本気でいくわよ…！</t>
    <rPh sb="0" eb="3">
      <t>ホン</t>
    </rPh>
    <phoneticPr fontId="22"/>
  </si>
  <si>
    <t>喰らいなさい！</t>
    <rPh sb="0" eb="1">
      <t>ク</t>
    </rPh>
    <phoneticPr fontId="22"/>
  </si>
  <si>
    <t>叩き切るわ！</t>
    <rPh sb="0" eb="5">
      <t>タタk</t>
    </rPh>
    <phoneticPr fontId="22"/>
  </si>
  <si>
    <t>maru</t>
    <phoneticPr fontId="22"/>
  </si>
  <si>
    <t>あんた邪魔よ！</t>
    <phoneticPr fontId="22"/>
  </si>
  <si>
    <t>妖杯・大喝一斉</t>
    <rPh sb="0" eb="1">
      <t>ヨウキ</t>
    </rPh>
    <rPh sb="1" eb="2">
      <t>ハ</t>
    </rPh>
    <rPh sb="3" eb="4">
      <t>ダ</t>
    </rPh>
    <rPh sb="4" eb="5">
      <t>カt</t>
    </rPh>
    <rPh sb="5" eb="7">
      <t>イッセ</t>
    </rPh>
    <phoneticPr fontId="22"/>
  </si>
  <si>
    <t>[effect:enhance_unit, target:unit_unknown, turn:1, status:action, val:2.0, calc:mul, animation:enhance_unit_one_action02],[effect:enhance_unit, target:unit_unknown, turn:3, status:attack, val:0.21, calc:mul, animation:enhance_unit_all_attack04_unit01],[effect:enhance_unit, target:unit_unknown, turn:3, status:heal, val:0.45, calc:mul, animation:enhance_unit_all_heal04_unit01]</t>
    <phoneticPr fontId="22"/>
  </si>
  <si>
    <t>万物催眠『ナイトメア』</t>
    <phoneticPr fontId="22"/>
  </si>
  <si>
    <t>万物催眠『ナイトメア』</t>
    <phoneticPr fontId="22"/>
  </si>
  <si>
    <t>妖杯・大喝一斉</t>
    <rPh sb="0" eb="1">
      <t>ヨウキ</t>
    </rPh>
    <rPh sb="1" eb="2">
      <t>サカズk</t>
    </rPh>
    <rPh sb="3" eb="4">
      <t>ダ</t>
    </rPh>
    <rPh sb="4" eb="5">
      <t>カt</t>
    </rPh>
    <rPh sb="5" eb="7">
      <t>イッセ</t>
    </rPh>
    <phoneticPr fontId="22"/>
  </si>
  <si>
    <t>1体に大ダメージ＋
確率でスリープ付与</t>
    <phoneticPr fontId="22"/>
  </si>
  <si>
    <t>[effect:damage, target:enemy_one, color:green, val:1.2, animation:damage_one_green0４],[effect:sleep, target:enemy_one, turn:1, rate:0.25, animation:sleep02]</t>
    <phoneticPr fontId="22"/>
  </si>
  <si>
    <t>悪あがきは止めとけよ！</t>
    <phoneticPr fontId="22"/>
  </si>
  <si>
    <t>さぁ　詰めていくぞ</t>
    <phoneticPr fontId="22"/>
  </si>
  <si>
    <t>百鬼夜行で歓迎してやろう！</t>
    <phoneticPr fontId="22"/>
  </si>
  <si>
    <t>出し惜しみはナシでいくぜ？</t>
    <phoneticPr fontId="22"/>
  </si>
  <si>
    <t>こいつでお寝んねしてな！</t>
    <phoneticPr fontId="22"/>
  </si>
  <si>
    <t>1ターンUnknownのタップ回数を2増やし、3ターン攻撃力と回復力を特大UP</t>
    <rPh sb="15" eb="17">
      <t>カ</t>
    </rPh>
    <rPh sb="19" eb="20">
      <t>フヤs</t>
    </rPh>
    <rPh sb="27" eb="30">
      <t>コウゲk</t>
    </rPh>
    <rPh sb="31" eb="35">
      <t>カイフk</t>
    </rPh>
    <rPh sb="35" eb="36">
      <t>トk</t>
    </rPh>
    <rPh sb="36" eb="37">
      <t>ダイ</t>
    </rPh>
    <phoneticPr fontId="22"/>
  </si>
  <si>
    <t>label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</si>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</sst>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2"/>
      <color indexed="206"/>
      <name val="ＭＳ Ｐゴシック"/>
      <family val="2"/>
      <charset val="128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66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0" fillId="23" borderId="4" xfId="0" applyFill="1" applyBorder="1"/>
    <xf numFmtId="0" fontId="0" fillId="23" borderId="0" xfId="0" applyFill="1"/>
    <xf numFmtId="0" fontId="26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4" borderId="21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17" fillId="25" borderId="12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27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7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4" fillId="26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16" fillId="27" borderId="4" xfId="0" applyFont="1" applyFill="1" applyBorder="1"/>
    <xf numFmtId="0" fontId="14" fillId="0" borderId="4" xfId="0" applyFont="1" applyBorder="1" applyAlignment="1">
      <alignment horizontal="right" vertical="center" wrapText="1"/>
    </xf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14" fillId="0" borderId="0" xfId="0" applyFont="1" applyAlignment="1">
      <alignment horizontal="right" vertical="center"/>
    </xf>
    <xf numFmtId="0" fontId="29" fillId="0" borderId="7" xfId="0" applyFont="1" applyBorder="1"/>
    <xf numFmtId="0" fontId="29" fillId="0" borderId="6" xfId="0" applyFont="1" applyBorder="1"/>
    <xf numFmtId="0" fontId="0" fillId="0" borderId="4" xfId="0" applyNumberFormat="1" applyFill="1" applyBorder="1"/>
    <xf numFmtId="0" fontId="13" fillId="23" borderId="4" xfId="0" applyFont="1" applyFill="1" applyBorder="1" applyAlignment="1">
      <alignment horizontal="left" vertical="center" wrapText="1"/>
    </xf>
    <xf numFmtId="0" fontId="16" fillId="0" borderId="26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14" fillId="28" borderId="4" xfId="0" applyFont="1" applyFill="1" applyBorder="1" applyAlignment="1">
      <alignment horizontal="left" vertical="center" wrapText="1"/>
    </xf>
  </cellXfs>
  <cellStyles count="466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赤字強調" xfId="4"/>
    <cellStyle name="青字強調" xfId="3"/>
  </cellStyles>
  <dxfs count="3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I1" workbookViewId="0">
      <selection activeCell="O21" sqref="O21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9" t="s">
        <v>131</v>
      </c>
      <c r="B1" s="109" t="s">
        <v>122</v>
      </c>
      <c r="C1" s="109" t="s">
        <v>123</v>
      </c>
      <c r="D1" s="109" t="s">
        <v>124</v>
      </c>
      <c r="E1" s="109" t="s">
        <v>125</v>
      </c>
      <c r="F1" s="109" t="s">
        <v>126</v>
      </c>
      <c r="G1" s="109" t="s">
        <v>127</v>
      </c>
      <c r="H1" s="109"/>
      <c r="I1" s="109"/>
      <c r="J1" s="109"/>
      <c r="K1" s="109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</row>
    <row r="2" spans="1:23" x14ac:dyDescent="0.15">
      <c r="A2" s="111" t="s">
        <v>237</v>
      </c>
      <c r="B2" s="111" t="s">
        <v>135</v>
      </c>
      <c r="C2" s="111" t="s">
        <v>238</v>
      </c>
      <c r="D2" s="111" t="s">
        <v>134</v>
      </c>
      <c r="E2" s="110" t="str">
        <f>B2&amp;C2&amp;D2</f>
        <v>units_youkai01.tmp</v>
      </c>
      <c r="F2" s="111" t="s">
        <v>130</v>
      </c>
      <c r="G2" s="61" t="s">
        <v>17</v>
      </c>
      <c r="H2" s="62" t="s">
        <v>102</v>
      </c>
      <c r="I2" s="62" t="s">
        <v>1</v>
      </c>
      <c r="J2" s="62" t="s">
        <v>3</v>
      </c>
      <c r="K2" s="62" t="s">
        <v>2</v>
      </c>
      <c r="L2" s="62" t="s">
        <v>104</v>
      </c>
      <c r="M2" s="62" t="s">
        <v>20</v>
      </c>
      <c r="N2" s="62" t="s">
        <v>109</v>
      </c>
      <c r="O2" s="62" t="s">
        <v>107</v>
      </c>
      <c r="P2" s="62" t="s">
        <v>45</v>
      </c>
      <c r="Q2" s="62" t="s">
        <v>63</v>
      </c>
      <c r="R2" s="111" t="s">
        <v>345</v>
      </c>
      <c r="S2" s="111"/>
      <c r="T2" s="111"/>
      <c r="U2" s="111"/>
      <c r="V2" s="111"/>
      <c r="W2" s="111"/>
    </row>
    <row r="3" spans="1:23" x14ac:dyDescent="0.15">
      <c r="A3" s="111" t="s">
        <v>237</v>
      </c>
      <c r="B3" s="111" t="s">
        <v>136</v>
      </c>
      <c r="C3" s="111" t="str">
        <f>C2</f>
        <v>youkai01</v>
      </c>
      <c r="D3" s="111" t="s">
        <v>134</v>
      </c>
      <c r="E3" s="110" t="str">
        <f>B3&amp;C3&amp;D3</f>
        <v>awake_materials_youkai01.tmp</v>
      </c>
      <c r="F3" s="111" t="s">
        <v>129</v>
      </c>
      <c r="G3" s="112" t="s">
        <v>44</v>
      </c>
      <c r="H3" s="113" t="s">
        <v>42</v>
      </c>
      <c r="I3" s="113" t="s">
        <v>43</v>
      </c>
      <c r="J3" s="115" t="s">
        <v>132</v>
      </c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</row>
    <row r="4" spans="1:23" x14ac:dyDescent="0.15">
      <c r="A4" s="111" t="s">
        <v>237</v>
      </c>
      <c r="B4" s="111" t="s">
        <v>137</v>
      </c>
      <c r="C4" s="111" t="str">
        <f t="shared" ref="C4:C10" si="0">C3</f>
        <v>youkai01</v>
      </c>
      <c r="D4" s="111" t="s">
        <v>138</v>
      </c>
      <c r="E4" s="110" t="str">
        <f t="shared" ref="E4" si="1">B4&amp;C4&amp;D4</f>
        <v>unit_levels_calc_youkai01.tmp</v>
      </c>
      <c r="F4" s="111" t="s">
        <v>128</v>
      </c>
      <c r="G4" s="57" t="s">
        <v>17</v>
      </c>
      <c r="H4" s="58" t="s">
        <v>2</v>
      </c>
      <c r="I4" s="59" t="s">
        <v>85</v>
      </c>
      <c r="J4" s="59" t="s">
        <v>86</v>
      </c>
      <c r="K4" s="59" t="s">
        <v>87</v>
      </c>
      <c r="L4" s="59" t="s">
        <v>88</v>
      </c>
      <c r="M4" s="59" t="s">
        <v>93</v>
      </c>
      <c r="N4" s="59" t="s">
        <v>94</v>
      </c>
      <c r="O4" s="59" t="s">
        <v>95</v>
      </c>
      <c r="P4" s="59" t="s">
        <v>96</v>
      </c>
      <c r="Q4" s="59" t="s">
        <v>97</v>
      </c>
      <c r="R4" s="59" t="s">
        <v>100</v>
      </c>
      <c r="S4" s="59" t="s">
        <v>98</v>
      </c>
      <c r="T4" s="59" t="s">
        <v>99</v>
      </c>
      <c r="U4" s="59" t="s">
        <v>89</v>
      </c>
      <c r="V4" s="59" t="s">
        <v>90</v>
      </c>
      <c r="W4" s="59" t="s">
        <v>91</v>
      </c>
    </row>
    <row r="5" spans="1:23" x14ac:dyDescent="0.15">
      <c r="A5" s="111" t="s">
        <v>237</v>
      </c>
      <c r="B5" s="111" t="s">
        <v>149</v>
      </c>
      <c r="C5" s="111" t="str">
        <f t="shared" si="0"/>
        <v>youkai01</v>
      </c>
      <c r="D5" s="111" t="s">
        <v>150</v>
      </c>
      <c r="E5" s="110" t="str">
        <f>B5&amp;C5&amp;D5</f>
        <v>unit_skills_data_youkai01.tmp</v>
      </c>
      <c r="F5" s="111" t="s">
        <v>151</v>
      </c>
      <c r="G5" s="119" t="s">
        <v>20</v>
      </c>
      <c r="H5" s="119" t="s">
        <v>152</v>
      </c>
      <c r="I5" s="119" t="s">
        <v>2</v>
      </c>
      <c r="J5" s="119" t="s">
        <v>153</v>
      </c>
      <c r="K5" s="119" t="s">
        <v>154</v>
      </c>
      <c r="L5" s="119" t="s">
        <v>4</v>
      </c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</row>
    <row r="6" spans="1:23" x14ac:dyDescent="0.15">
      <c r="A6" s="111" t="s">
        <v>237</v>
      </c>
      <c r="B6" s="111" t="s">
        <v>155</v>
      </c>
      <c r="C6" s="111" t="str">
        <f t="shared" si="0"/>
        <v>youkai01</v>
      </c>
      <c r="D6" s="111" t="s">
        <v>134</v>
      </c>
      <c r="E6" s="110" t="str">
        <f>B6&amp;C6&amp;D6</f>
        <v>unit_skills_i18n_youkai01.tmp</v>
      </c>
      <c r="F6" s="111" t="s">
        <v>151</v>
      </c>
      <c r="G6" s="119" t="s">
        <v>156</v>
      </c>
      <c r="H6" s="119" t="s">
        <v>140</v>
      </c>
      <c r="I6" s="119" t="s">
        <v>157</v>
      </c>
      <c r="J6" s="119" t="s">
        <v>158</v>
      </c>
      <c r="K6" s="114"/>
      <c r="L6" s="114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</row>
    <row r="7" spans="1:23" x14ac:dyDescent="0.15">
      <c r="A7" s="111" t="s">
        <v>237</v>
      </c>
      <c r="B7" s="111" t="s">
        <v>159</v>
      </c>
      <c r="C7" s="111" t="str">
        <f t="shared" si="0"/>
        <v>youkai01</v>
      </c>
      <c r="D7" s="111" t="s">
        <v>160</v>
      </c>
      <c r="E7" s="110" t="str">
        <f>B7&amp;C7&amp;D7</f>
        <v>crash_skills_data_youkai01.tmp</v>
      </c>
      <c r="F7" s="111" t="s">
        <v>161</v>
      </c>
      <c r="G7" s="119" t="s">
        <v>162</v>
      </c>
      <c r="H7" s="119" t="s">
        <v>154</v>
      </c>
      <c r="I7" s="119" t="s">
        <v>4</v>
      </c>
      <c r="J7" s="114"/>
      <c r="K7" s="114"/>
      <c r="L7" s="114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3" x14ac:dyDescent="0.15">
      <c r="A8" s="111" t="s">
        <v>237</v>
      </c>
      <c r="B8" s="111" t="s">
        <v>163</v>
      </c>
      <c r="C8" s="111" t="str">
        <f t="shared" si="0"/>
        <v>youkai01</v>
      </c>
      <c r="D8" s="111" t="s">
        <v>164</v>
      </c>
      <c r="E8" s="110" t="str">
        <f t="shared" ref="E8" si="2">B8&amp;C8&amp;D8</f>
        <v>crash_skills_i18n_youkai01.tmp</v>
      </c>
      <c r="F8" s="111" t="s">
        <v>161</v>
      </c>
      <c r="G8" s="119" t="s">
        <v>165</v>
      </c>
      <c r="H8" s="119" t="s">
        <v>166</v>
      </c>
      <c r="I8" s="119" t="s">
        <v>167</v>
      </c>
      <c r="J8" s="119" t="s">
        <v>168</v>
      </c>
      <c r="K8" s="120"/>
      <c r="L8" s="120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3" x14ac:dyDescent="0.15">
      <c r="A9" s="111" t="s">
        <v>237</v>
      </c>
      <c r="B9" s="114" t="s">
        <v>141</v>
      </c>
      <c r="C9" s="111" t="str">
        <f t="shared" si="0"/>
        <v>youkai01</v>
      </c>
      <c r="D9" s="111" t="s">
        <v>164</v>
      </c>
      <c r="E9" s="110" t="str">
        <f t="shared" ref="E9:E10" si="3">B9&amp;C9&amp;D9</f>
        <v>unit_serifs_data_youkai01.tmp</v>
      </c>
      <c r="F9" s="114" t="s">
        <v>143</v>
      </c>
      <c r="G9" s="118" t="s">
        <v>144</v>
      </c>
      <c r="H9" s="119" t="s">
        <v>145</v>
      </c>
      <c r="I9" s="119" t="s">
        <v>139</v>
      </c>
      <c r="J9" s="117" t="s">
        <v>194</v>
      </c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</row>
    <row r="10" spans="1:23" x14ac:dyDescent="0.15">
      <c r="A10" s="111" t="s">
        <v>237</v>
      </c>
      <c r="B10" s="114" t="s">
        <v>142</v>
      </c>
      <c r="C10" s="111" t="str">
        <f t="shared" si="0"/>
        <v>youkai01</v>
      </c>
      <c r="D10" s="111" t="s">
        <v>164</v>
      </c>
      <c r="E10" s="110" t="str">
        <f t="shared" si="3"/>
        <v>unit_serifs_i18n_youkai01.tmp</v>
      </c>
      <c r="F10" s="114" t="s">
        <v>281</v>
      </c>
      <c r="G10" s="118" t="s">
        <v>146</v>
      </c>
      <c r="H10" s="119" t="s">
        <v>147</v>
      </c>
      <c r="I10" s="119" t="s">
        <v>148</v>
      </c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O2" activePane="bottomRight" state="frozen"/>
      <selection pane="topRight" activeCell="J1" sqref="J1"/>
      <selection pane="bottomLeft" activeCell="A3" sqref="A3"/>
      <selection pane="bottomRight" activeCell="BO25" sqref="BO2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3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3" t="s">
        <v>114</v>
      </c>
      <c r="B1" s="85" t="s">
        <v>50</v>
      </c>
      <c r="C1" s="88" t="s">
        <v>27</v>
      </c>
      <c r="D1" s="88" t="s">
        <v>30</v>
      </c>
      <c r="E1" s="88" t="s">
        <v>28</v>
      </c>
      <c r="F1" s="88" t="s">
        <v>29</v>
      </c>
      <c r="G1" s="83" t="s">
        <v>1</v>
      </c>
      <c r="H1" s="86" t="s">
        <v>19</v>
      </c>
      <c r="I1" s="87" t="s">
        <v>0</v>
      </c>
      <c r="J1" s="89" t="s">
        <v>55</v>
      </c>
      <c r="K1" s="89" t="s">
        <v>54</v>
      </c>
      <c r="L1" s="89" t="s">
        <v>56</v>
      </c>
      <c r="M1" s="89" t="s">
        <v>57</v>
      </c>
      <c r="N1" s="83" t="s">
        <v>3</v>
      </c>
      <c r="O1" s="90" t="s">
        <v>2</v>
      </c>
      <c r="P1" s="83" t="s">
        <v>103</v>
      </c>
      <c r="Q1" s="91" t="s">
        <v>18</v>
      </c>
      <c r="R1" s="82" t="s">
        <v>58</v>
      </c>
      <c r="S1" s="92" t="s">
        <v>23</v>
      </c>
      <c r="T1" s="92" t="s">
        <v>24</v>
      </c>
      <c r="U1" s="92" t="s">
        <v>26</v>
      </c>
      <c r="V1" s="92" t="s">
        <v>25</v>
      </c>
      <c r="W1" s="87" t="s">
        <v>32</v>
      </c>
      <c r="X1" s="88" t="s">
        <v>59</v>
      </c>
      <c r="Y1" s="87" t="s">
        <v>33</v>
      </c>
      <c r="Z1" s="88" t="s">
        <v>59</v>
      </c>
      <c r="AA1" s="89" t="s">
        <v>23</v>
      </c>
      <c r="AB1" s="89" t="s">
        <v>24</v>
      </c>
      <c r="AC1" s="89" t="s">
        <v>26</v>
      </c>
      <c r="AD1" s="89" t="s">
        <v>25</v>
      </c>
      <c r="AE1" s="93" t="s">
        <v>106</v>
      </c>
      <c r="AF1" s="82" t="s">
        <v>51</v>
      </c>
      <c r="AG1" s="94" t="s">
        <v>64</v>
      </c>
      <c r="AH1" s="82" t="s">
        <v>51</v>
      </c>
      <c r="AI1" s="94" t="s">
        <v>52</v>
      </c>
      <c r="AJ1" s="84" t="s">
        <v>73</v>
      </c>
      <c r="AK1" s="82" t="s">
        <v>21</v>
      </c>
      <c r="AL1" s="95" t="s">
        <v>74</v>
      </c>
      <c r="AM1" s="96" t="s">
        <v>72</v>
      </c>
      <c r="AN1" s="96" t="s">
        <v>75</v>
      </c>
      <c r="AO1" s="97" t="s">
        <v>31</v>
      </c>
      <c r="AP1" s="93" t="s">
        <v>20</v>
      </c>
      <c r="AQ1" s="98" t="s">
        <v>119</v>
      </c>
      <c r="AR1" s="98" t="s">
        <v>113</v>
      </c>
      <c r="AS1" s="82" t="s">
        <v>110</v>
      </c>
      <c r="AT1" s="93" t="s">
        <v>108</v>
      </c>
      <c r="AU1" s="82" t="s">
        <v>116</v>
      </c>
      <c r="AV1" s="98" t="s">
        <v>113</v>
      </c>
      <c r="AW1" s="82" t="s">
        <v>110</v>
      </c>
      <c r="AX1" s="88" t="s">
        <v>4</v>
      </c>
      <c r="AY1" s="99" t="s">
        <v>60</v>
      </c>
      <c r="AZ1" s="99" t="s">
        <v>61</v>
      </c>
      <c r="BA1" s="99" t="s">
        <v>120</v>
      </c>
      <c r="BB1" s="99" t="s">
        <v>62</v>
      </c>
      <c r="BC1" s="5" t="s">
        <v>22</v>
      </c>
      <c r="BD1" s="102" t="s">
        <v>34</v>
      </c>
      <c r="BE1" s="100" t="s">
        <v>5</v>
      </c>
      <c r="BF1" s="101" t="s">
        <v>6</v>
      </c>
      <c r="BG1" s="103" t="s">
        <v>76</v>
      </c>
      <c r="BH1" s="103" t="s">
        <v>77</v>
      </c>
      <c r="BI1" s="103" t="s">
        <v>78</v>
      </c>
      <c r="BJ1" s="103" t="s">
        <v>79</v>
      </c>
      <c r="BK1" s="104" t="s">
        <v>80</v>
      </c>
      <c r="BL1" s="104" t="s">
        <v>101</v>
      </c>
      <c r="BM1" s="104" t="s">
        <v>81</v>
      </c>
      <c r="BN1" s="104" t="s">
        <v>82</v>
      </c>
      <c r="BO1" s="105" t="s">
        <v>83</v>
      </c>
      <c r="BP1" s="106" t="s">
        <v>84</v>
      </c>
      <c r="BQ1" s="84" t="s">
        <v>92</v>
      </c>
      <c r="BR1" s="10" t="s">
        <v>346</v>
      </c>
    </row>
    <row r="2" spans="1:70" ht="21" customHeight="1" x14ac:dyDescent="0.15">
      <c r="A2" s="12">
        <v>644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滑瓢 ショウキ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20</v>
      </c>
      <c r="O2" s="11">
        <f ca="1">INDEX(レベル!$A$1:$I$21,MATCH(H2,レベル!$A$1:$A$21,FALSE),MATCH(G2,レベル!$A$1:$I$1,FALSE))</f>
        <v>60</v>
      </c>
      <c r="P2" s="45">
        <f t="shared" ref="P2:P9" ca="1" si="0">G2*15</f>
        <v>60</v>
      </c>
      <c r="Q2" s="55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5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f>A3</f>
        <v>645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百鬼夜行の創大将 ショウキ</v>
      </c>
      <c r="AG2" s="5">
        <f t="shared" ref="AG2:AG9" ca="1" si="1">IF(ISNA(MATCH(A2,AE:AE,0)),A2,INDIRECT(ADDRESS(MATCH(A2,AE:AE,0),COLUMN())))</f>
        <v>644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滑瓢 ショウキ</v>
      </c>
      <c r="AI2" s="11">
        <f ca="1">IF(AE2="NULL","NULL",VLOOKUP(G2,ビット!$A$2:$B$7,2))</f>
        <v>50000</v>
      </c>
      <c r="AJ2" s="6">
        <v>2</v>
      </c>
      <c r="AK2" s="7" t="str">
        <f t="shared" ref="AK2:AK9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2"/>
      <c r="AP2" s="65">
        <f>A2</f>
        <v>644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妖杯・大喝一斉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1ターンUnknownのタップ回数を2増やし、3ターン攻撃力と回復力を特大UP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9">
        <f>A2</f>
        <v>644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万物催眠『ナイトメア』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1体に大ダメージ＋_x000D_確率でスリープ付与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1.1000000000000001</v>
      </c>
      <c r="AZ2" s="66">
        <v>1.2</v>
      </c>
      <c r="BA2" s="66">
        <v>0</v>
      </c>
      <c r="BB2" s="66">
        <v>1</v>
      </c>
      <c r="BC2" s="11">
        <f ca="1">INDEX('RC6SV'!$A$1:$G$20,MATCH(H2,'RC6SV'!$A$1:$A$20,FALSE),MATCH(G2,'RC6SV'!$A$1:$G$1,FALSE))</f>
        <v>7000</v>
      </c>
      <c r="BD2" s="45">
        <f t="shared" ref="BD2:BD9" ca="1" si="3">ROUND(BC2*IF(AJ2=1,0.95,IF(AJ2=2,1,IF(AJ2,1.05,0))),0)</f>
        <v>7000</v>
      </c>
      <c r="BE2" s="11">
        <f t="shared" ref="BE2:BE9" ca="1" si="4">ROUND(IFERROR(INDIRECT(ADDRESS(MATCH($A2,$AE:$AE,0),MATCH($BC$1,$1:$1,0))),0),0)</f>
        <v>0</v>
      </c>
      <c r="BF2" s="11">
        <f t="shared" ref="BF2:BF9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1661</v>
      </c>
      <c r="BH2" s="16">
        <f ca="1">IF($BE2&lt;=0,ROUND(BL2*0.5,0), ROUND($BE2*T2*AB2*K2*AZ2*0.8*[1]ステータス!$C$2,0))</f>
        <v>1100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843</v>
      </c>
      <c r="BK2" s="11">
        <f ca="1">ROUND(BD2*S2*AA2*J2*AY2*[1]ステータス!$B$2,0)</f>
        <v>3322</v>
      </c>
      <c r="BL2" s="11">
        <f ca="1">ROUND(BD2*T2*AB2*K2*AZ2*[1]ステータス!$C$2,0)</f>
        <v>2200</v>
      </c>
      <c r="BM2" s="11">
        <f ca="1">ROUND(BD2*U2*AC2*L2*BA2*[1]ステータス!$D$2,0)</f>
        <v>0</v>
      </c>
      <c r="BN2" s="11">
        <f ca="1">ROUND(BD2*V2*AD2*M2*BB2*[1]ステータス!$E$2,0)</f>
        <v>1685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1</v>
      </c>
    </row>
    <row r="3" spans="1:70" ht="21" customHeight="1" x14ac:dyDescent="0.15">
      <c r="A3" s="12">
        <v>645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イベント:ウィザード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5">
        <f t="shared" ca="1" si="0"/>
        <v>75</v>
      </c>
      <c r="Q3" s="55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5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5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189</v>
      </c>
      <c r="AF3" s="60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644</v>
      </c>
      <c r="AH3" s="60" t="str">
        <f ca="1">VLOOKUP($AG3,OFFSET([1]characters!$A$1,0,0,COUNTA([1]characters!$A:$A),MATCH(AH$1,[1]characters!$1:$1,0)-MATCH($A$1,[1]characters!$1:$1,0)+1),MATCH(AH$1,[1]characters!$1:$1,0)-MATCH($A$1,[1]characters!$1:$1,0)+1,FALSE)</f>
        <v>滑瓢 ショウキ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2"/>
      <c r="AP3" s="65">
        <f>A3</f>
        <v>645</v>
      </c>
      <c r="AQ3" s="55" t="str">
        <f ca="1">VLOOKUP($AP3,OFFSET(unit_skills!$A$1,0,0,COUNTA(unit_skills!$A:$A),MATCH(AQ$1,unit_skills!$1:$1,0)-MATCH($AP$1,unit_skills!$1:$1,0)+1),MATCH(AQ$1,unit_skills!$1:$1,0)-MATCH($AP$1,unit_skills!$1:$1,0)+1,FALSE)</f>
        <v>妖杯・大喝一斉</v>
      </c>
      <c r="AR3" s="55" t="str">
        <f ca="1">VLOOKUP($AP3,OFFSET(unit_skills!$A$1,0,0,COUNTA(unit_skills!$A:$A),MATCH(AR$1,unit_skills!$1:$1,0)-MATCH($AP$1,unit_skills!$1:$1,0)+1),MATCH(AR$1,unit_skills!$1:$1,0)-MATCH($AP$1,unit_skills!$1:$1,0)+1,FALSE)</f>
        <v>1ターンUnknownのタップ回数を2増やし、3ターン攻撃力と回復力を特大UP</v>
      </c>
      <c r="AS3" s="5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9">
        <f>A3</f>
        <v>645</v>
      </c>
      <c r="AU3" s="55" t="str">
        <f ca="1">VLOOKUP($AT3,OFFSET(crash_skills!$A$1,0,0,COUNTA(crash_skills!$A:$A),MATCH(AU$1,crash_skills!$1:$1,0)-MATCH($AT$1,crash_skills!$1:$1,0)+1),MATCH(AU$1,crash_skills!$1:$1,0)-MATCH($AT$1,crash_skills!$1:$1,0)+1,FALSE)</f>
        <v>万物催眠『ナイトメア』</v>
      </c>
      <c r="AV3" s="55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1体に大ダメージ＋_x000D_確率でスリープ付与</v>
      </c>
      <c r="AW3" s="5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6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6">
        <v>1.1000000000000001</v>
      </c>
      <c r="AZ3" s="66">
        <v>1.2</v>
      </c>
      <c r="BA3" s="66">
        <v>0</v>
      </c>
      <c r="BB3" s="66">
        <v>1</v>
      </c>
      <c r="BC3" s="11">
        <f ca="1">INDEX('RC6SV'!$A$1:$G$20,MATCH(H3,'RC6SV'!$A$1:$A$20,FALSE),MATCH(G3,'RC6SV'!$A$1:$G$1,FALSE))</f>
        <v>9000</v>
      </c>
      <c r="BD3" s="45">
        <f t="shared" ca="1" si="3"/>
        <v>9000</v>
      </c>
      <c r="BE3" s="11">
        <f t="shared" ca="1" si="4"/>
        <v>7000</v>
      </c>
      <c r="BF3" s="11">
        <f t="shared" ca="1" si="5"/>
        <v>1</v>
      </c>
      <c r="BG3" s="16">
        <f ca="1">IF($BE3&lt;=0,ROUND(BK3*0.5,0), ROUND($BE3*S3*AA3*J3*AY3*0.8*[1]ステータス!$B$2,0))</f>
        <v>2658</v>
      </c>
      <c r="BH3" s="16">
        <f ca="1">IF($BE3&lt;=0,ROUND(BL3*0.5,0), ROUND($BE3*T3*AB3*K3*AZ3*0.8*[1]ステータス!$C$2,0))</f>
        <v>1760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1348</v>
      </c>
      <c r="BK3" s="11">
        <f ca="1">ROUND(BD3*S3*AA3*J3*AY3*[1]ステータス!$B$2,0)</f>
        <v>4271</v>
      </c>
      <c r="BL3" s="11">
        <f ca="1">ROUND(BD3*T3*AB3*K3*AZ3*[1]ステータス!$C$2,0)</f>
        <v>2829</v>
      </c>
      <c r="BM3" s="11">
        <f ca="1">ROUND(BD3*U3*AC3*L3*BA3*[1]ステータス!$D$2,0)</f>
        <v>0</v>
      </c>
      <c r="BN3" s="11">
        <f ca="1">ROUND(BD3*V3*AD3*M3*BB3*[1]ステータス!$E$2,0)</f>
        <v>2167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1</v>
      </c>
    </row>
    <row r="4" spans="1:70" ht="21" customHeight="1" x14ac:dyDescent="0.15">
      <c r="A4" s="12">
        <v>646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雪女 ユキ</v>
      </c>
      <c r="C4" s="55" t="str">
        <f ca="1">VLOOKUP($A4,OFFSET([1]characters!$A$1,0,0,COUNTA([1]characters!$A:$A),MATCH(C$1,[1]characters!$1:$1,0)-MATCH($A$1,[1]characters!$1:$1,0)+1),MATCH(C$1,[1]characters!$1:$1,0)-MATCH($A$1,[1]characters!$1:$1,0)+1,FALSE)</f>
        <v>イベント:妖怪01</v>
      </c>
      <c r="D4" s="5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5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5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5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5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5">
        <f t="shared" ca="1" si="0"/>
        <v>60</v>
      </c>
      <c r="Q4" s="55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5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5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>A5</f>
        <v>647</v>
      </c>
      <c r="AF4" s="60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氷麗の雪化生 ユキ</v>
      </c>
      <c r="AG4" s="5">
        <f t="shared" ca="1" si="1"/>
        <v>646</v>
      </c>
      <c r="AH4" s="60" t="str">
        <f ca="1">VLOOKUP($AG4,OFFSET([1]characters!$A$1,0,0,COUNTA([1]characters!$A:$A),MATCH(AH$1,[1]characters!$1:$1,0)-MATCH($A$1,[1]characters!$1:$1,0)+1),MATCH(AH$1,[1]characters!$1:$1,0)-MATCH($A$1,[1]characters!$1:$1,0)+1,FALSE)</f>
        <v>雪女 ユキ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2"/>
      <c r="AP4" s="65">
        <f>A4</f>
        <v>646</v>
      </c>
      <c r="AQ4" s="55" t="str">
        <f ca="1">VLOOKUP($AP4,OFFSET(unit_skills!$A$1,0,0,COUNTA(unit_skills!$A:$A),MATCH(AQ$1,unit_skills!$1:$1,0)-MATCH($AP$1,unit_skills!$1:$1,0)+1),MATCH(AQ$1,unit_skills!$1:$1,0)-MATCH($AP$1,unit_skills!$1:$1,0)+1,FALSE)</f>
        <v>冷霊氷麗落とし</v>
      </c>
      <c r="AR4" s="55" t="str">
        <f ca="1">VLOOKUP($AP4,OFFSET(unit_skills!$A$1,0,0,COUNTA(unit_skills!$A:$A),MATCH(AR$1,unit_skills!$1:$1,0)-MATCH($AP$1,unit_skills!$1:$1,0)+1),MATCH(AR$1,unit_skills!$1:$1,0)-MATCH($AP$1,unit_skills!$1:$1,0)+1,FALSE)</f>
        <v>単体に青属性の特大ダメージ+Cパネル(大)を2つ生成</v>
      </c>
      <c r="AS4" s="55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9">
        <f>A4</f>
        <v>646</v>
      </c>
      <c r="AU4" s="55" t="str">
        <f ca="1">VLOOKUP($AT4,OFFSET(crash_skills!$A$1,0,0,COUNTA(crash_skills!$A:$A),MATCH(AU$1,crash_skills!$1:$1,0)-MATCH($AT$1,crash_skills!$1:$1,0)+1),MATCH(AU$1,crash_skills!$1:$1,0)-MATCH($AT$1,crash_skills!$1:$1,0)+1,FALSE)</f>
        <v>雪亡の鎌</v>
      </c>
      <c r="AV4" s="55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</v>
      </c>
      <c r="AW4" s="55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6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6">
        <v>1</v>
      </c>
      <c r="AZ4" s="66">
        <v>1.23</v>
      </c>
      <c r="BA4" s="66">
        <v>0</v>
      </c>
      <c r="BB4" s="66">
        <v>1.1000000000000001</v>
      </c>
      <c r="BC4" s="11">
        <f ca="1">INDEX('RC6SV'!$A$1:$G$20,MATCH(H4,'RC6SV'!$A$1:$A$20,FALSE),MATCH(G4,'RC6SV'!$A$1:$G$1,FALSE))</f>
        <v>5800</v>
      </c>
      <c r="BD4" s="45">
        <f t="shared" ca="1" si="3"/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1450</v>
      </c>
      <c r="BH4" s="16">
        <f ca="1">IF($BE4&lt;=0,ROUND(BL4*0.5,0), ROUND($BE4*T4*AB4*K4*AZ4*0.8*[1]ステータス!$C$2,0))</f>
        <v>1049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814</v>
      </c>
      <c r="BK4" s="11">
        <f ca="1">ROUND(BD4*S4*AA4*J4*AY4*[1]ステータス!$B$2,0)</f>
        <v>2900</v>
      </c>
      <c r="BL4" s="11">
        <f ca="1">ROUND(BD4*T4*AB4*K4*AZ4*[1]ステータス!$C$2,0)</f>
        <v>2097</v>
      </c>
      <c r="BM4" s="11">
        <f ca="1">ROUND(BD4*U4*AC4*L4*BA4*[1]ステータス!$D$2,0)</f>
        <v>0</v>
      </c>
      <c r="BN4" s="11">
        <f ca="1">ROUND(BD4*V4*AD4*M4*BB4*[1]ステータス!$E$2,0)</f>
        <v>1627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1</v>
      </c>
    </row>
    <row r="5" spans="1:70" ht="21" customHeight="1" x14ac:dyDescent="0.15">
      <c r="A5" s="12">
        <v>647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氷麗の雪化生 ユキ</v>
      </c>
      <c r="C5" s="55" t="str">
        <f ca="1">VLOOKUP($A5,OFFSET([1]characters!$A$1,0,0,COUNTA([1]characters!$A:$A),MATCH(C$1,[1]characters!$1:$1,0)-MATCH($A$1,[1]characters!$1:$1,0)+1),MATCH(C$1,[1]characters!$1:$1,0)-MATCH($A$1,[1]characters!$1:$1,0)+1,FALSE)</f>
        <v>イベント:妖怪01</v>
      </c>
      <c r="D5" s="5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5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5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5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5">
        <f t="shared" ca="1" si="0"/>
        <v>75</v>
      </c>
      <c r="Q5" s="55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5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5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189</v>
      </c>
      <c r="AF5" s="60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646</v>
      </c>
      <c r="AH5" s="60" t="str">
        <f ca="1">VLOOKUP($AG5,OFFSET([1]characters!$A$1,0,0,COUNTA([1]characters!$A:$A),MATCH(AH$1,[1]characters!$1:$1,0)-MATCH($A$1,[1]characters!$1:$1,0)+1),MATCH(AH$1,[1]characters!$1:$1,0)-MATCH($A$1,[1]characters!$1:$1,0)+1,FALSE)</f>
        <v>雪女 ユキ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2"/>
      <c r="AP5" s="65">
        <f>A5</f>
        <v>647</v>
      </c>
      <c r="AQ5" s="55" t="str">
        <f ca="1">VLOOKUP($AP5,OFFSET(unit_skills!$A$1,0,0,COUNTA(unit_skills!$A:$A),MATCH(AQ$1,unit_skills!$1:$1,0)-MATCH($AP$1,unit_skills!$1:$1,0)+1),MATCH(AQ$1,unit_skills!$1:$1,0)-MATCH($AP$1,unit_skills!$1:$1,0)+1,FALSE)</f>
        <v>冷霊氷麗落とし</v>
      </c>
      <c r="AR5" s="55" t="str">
        <f ca="1">VLOOKUP($AP5,OFFSET(unit_skills!$A$1,0,0,COUNTA(unit_skills!$A:$A),MATCH(AR$1,unit_skills!$1:$1,0)-MATCH($AP$1,unit_skills!$1:$1,0)+1),MATCH(AR$1,unit_skills!$1:$1,0)-MATCH($AP$1,unit_skills!$1:$1,0)+1,FALSE)</f>
        <v>単体に青属性の特大ダメージ+Cパネル(大)を2つ生成</v>
      </c>
      <c r="AS5" s="55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9">
        <f>A5</f>
        <v>647</v>
      </c>
      <c r="AU5" s="55" t="str">
        <f ca="1">VLOOKUP($AT5,OFFSET(crash_skills!$A$1,0,0,COUNTA(crash_skills!$A:$A),MATCH(AU$1,crash_skills!$1:$1,0)-MATCH($AT$1,crash_skills!$1:$1,0)+1),MATCH(AU$1,crash_skills!$1:$1,0)-MATCH($AT$1,crash_skills!$1:$1,0)+1,FALSE)</f>
        <v>雪亡の鎌</v>
      </c>
      <c r="AV5" s="55" t="str">
        <f ca="1">VLOOKUP($AT5,OFFSET(crash_skills!$A$1,0,0,COUNTA(crash_skills!$A:$A),MATCH(AV$1,crash_skills!$1:$1,0)-MATCH($AT$1,crash_skills!$1:$1,0)+1),MATCH(AV$1,crash_skills!$1:$1,0)-MATCH($AT$1,crash_skills!$1:$1,0)+1,FALSE)</f>
        <v>全体に特大ダメージ</v>
      </c>
      <c r="AW5" s="55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6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6">
        <v>1</v>
      </c>
      <c r="AZ5" s="66">
        <v>1.23</v>
      </c>
      <c r="BA5" s="66">
        <v>0</v>
      </c>
      <c r="BB5" s="66">
        <v>1.1000000000000001</v>
      </c>
      <c r="BC5" s="11">
        <f ca="1">INDEX('RC6SV'!$A$1:$G$20,MATCH(H5,'RC6SV'!$A$1:$A$20,FALSE),MATCH(G5,'RC6SV'!$A$1:$G$1,FALSE))</f>
        <v>7600</v>
      </c>
      <c r="BD5" s="45">
        <f t="shared" ca="1" si="3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2320</v>
      </c>
      <c r="BH5" s="16">
        <f ca="1">IF($BE5&lt;=0,ROUND(BL5*0.5,0), ROUND($BE5*T5*AB5*K5*AZ5*0.8*[1]ステータス!$C$2,0))</f>
        <v>1678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1302</v>
      </c>
      <c r="BK5" s="11">
        <f ca="1">ROUND(BD5*S5*AA5*J5*AY5*[1]ステータス!$B$2,0)</f>
        <v>3800</v>
      </c>
      <c r="BL5" s="11">
        <f ca="1">ROUND(BD5*T5*AB5*K5*AZ5*[1]ステータス!$C$2,0)</f>
        <v>2748</v>
      </c>
      <c r="BM5" s="11">
        <f ca="1">ROUND(BD5*U5*AC5*L5*BA5*[1]ステータス!$D$2,0)</f>
        <v>0</v>
      </c>
      <c r="BN5" s="11">
        <f ca="1">ROUND(BD5*V5*AD5*M5*BB5*[1]ステータス!$E$2,0)</f>
        <v>2132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1</v>
      </c>
    </row>
    <row r="6" spans="1:70" ht="21" customHeight="1" x14ac:dyDescent="0.15">
      <c r="A6" s="12">
        <v>650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土蜘蛛 ユウヤ</v>
      </c>
      <c r="C6" s="55" t="str">
        <f ca="1">VLOOKUP($A6,OFFSET([1]characters!$A$1,0,0,COUNTA([1]characters!$A:$A),MATCH(C$1,[1]characters!$1:$1,0)-MATCH($A$1,[1]characters!$1:$1,0)+1),MATCH(C$1,[1]characters!$1:$1,0)-MATCH($A$1,[1]characters!$1:$1,0)+1,FALSE)</f>
        <v>イベント:妖怪01</v>
      </c>
      <c r="D6" s="5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5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5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5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5">
        <f t="shared" ca="1" si="0"/>
        <v>60</v>
      </c>
      <c r="Q6" s="55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5" t="str">
        <f ca="1">VLOOKUP($A6,OFFSET([1]characters!$A$1,0,0,COUNTA([1]characters!$A:$A),MATCH(W$1,[1]characters!$1:$1,0)-MATCH($A$1,[1]characters!$1:$1,0)+1),MATCH(W$1,[1]characters!$1:$1,0)-MATCH($A$1,[1]characters!$1:$1,0)+1,FALSE)</f>
        <v>animal</v>
      </c>
      <c r="X6" s="5" t="str">
        <f ca="1">VLOOKUP(W6,[1]character_tribe_i18n!$A:$H,3,FALSE)</f>
        <v>アニマル</v>
      </c>
      <c r="Y6" s="55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1">
        <f ca="1">VLOOKUP(W6,[1]character_tribe_i18n!$A:$H,4,FALSE)</f>
        <v>1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0.9</v>
      </c>
      <c r="AE6" s="9">
        <f>A7</f>
        <v>651</v>
      </c>
      <c r="AF6" s="60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八重祟障 ユウヤ</v>
      </c>
      <c r="AG6" s="5">
        <f t="shared" ca="1" si="1"/>
        <v>650</v>
      </c>
      <c r="AH6" s="60" t="str">
        <f ca="1">VLOOKUP($AG6,OFFSET([1]characters!$A$1,0,0,COUNTA([1]characters!$A:$A),MATCH(AH$1,[1]characters!$1:$1,0)-MATCH($A$1,[1]characters!$1:$1,0)+1),MATCH(AH$1,[1]characters!$1:$1,0)-MATCH($A$1,[1]characters!$1:$1,0)+1,FALSE)</f>
        <v>土蜘蛛 ユウヤ</v>
      </c>
      <c r="AI6" s="11">
        <f ca="1">IF(AE6="NULL","NULL",VLOOKUP(G6,ビット!$A$2:$B$7,2))</f>
        <v>50000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2"/>
      <c r="AP6" s="65">
        <f t="shared" ref="AP6:AP9" si="6">A6</f>
        <v>650</v>
      </c>
      <c r="AQ6" s="55" t="str">
        <f ca="1">VLOOKUP($AP6,OFFSET(unit_skills!$A$1,0,0,COUNTA(unit_skills!$A:$A),MATCH(AQ$1,unit_skills!$1:$1,0)-MATCH($AP$1,unit_skills!$1:$1,0)+1),MATCH(AQ$1,unit_skills!$1:$1,0)-MATCH($AP$1,unit_skills!$1:$1,0)+1,FALSE)</f>
        <v>増悪の愉抉毒</v>
      </c>
      <c r="AR6" s="55" t="str">
        <f ca="1">VLOOKUP($AP6,OFFSET(unit_skills!$A$1,0,0,COUNTA(unit_skills!$A:$A),MATCH(AR$1,unit_skills!$1:$1,0)-MATCH($AP$1,unit_skills!$1:$1,0)+1),MATCH(AR$1,unit_skills!$1:$1,0)-MATCH($AP$1,unit_skills!$1:$1,0)+1,FALSE)</f>
        <v>単体に特大ダメージ(ウィルス状態の敵には効果超大 )</v>
      </c>
      <c r="AS6" s="55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9">
        <f t="shared" ref="AT6:AT9" si="7">A6</f>
        <v>650</v>
      </c>
      <c r="AU6" s="55" t="str">
        <f ca="1">VLOOKUP($AT6,OFFSET(crash_skills!$A$1,0,0,COUNTA(crash_skills!$A:$A),MATCH(AU$1,crash_skills!$1:$1,0)-MATCH($AT$1,crash_skills!$1:$1,0)+1),MATCH(AU$1,crash_skills!$1:$1,0)-MATCH($AT$1,crash_skills!$1:$1,0)+1,FALSE)</f>
        <v>忌避される病爪</v>
      </c>
      <c r="AV6" s="55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1体に特大ダメージ_x000D_+確率でウィルス付与</v>
      </c>
      <c r="AW6" s="55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6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6">
        <v>0.98</v>
      </c>
      <c r="AZ6" s="66">
        <v>1.3</v>
      </c>
      <c r="BA6" s="66">
        <v>0</v>
      </c>
      <c r="BB6" s="66">
        <v>0.8</v>
      </c>
      <c r="BC6" s="11">
        <f ca="1">INDEX('RC6SV'!$A$1:$G$20,MATCH(H6,'RC6SV'!$A$1:$A$20,FALSE),MATCH(G6,'RC6SV'!$A$1:$G$1,FALSE))</f>
        <v>5800</v>
      </c>
      <c r="BD6" s="45">
        <f t="shared" ca="1" si="3"/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1254</v>
      </c>
      <c r="BH6" s="16">
        <f ca="1">IF($BE6&lt;=0,ROUND(BL6*0.5,0), ROUND($BE6*T6*AB6*K6*AZ6*0.8*[1]ステータス!$C$2,0))</f>
        <v>1131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475</v>
      </c>
      <c r="BK6" s="11">
        <f ca="1">ROUND(BD6*S6*AA6*J6*AY6*[1]ステータス!$B$2,0)</f>
        <v>2507</v>
      </c>
      <c r="BL6" s="11">
        <f ca="1">ROUND(BD6*T6*AB6*K6*AZ6*[1]ステータス!$C$2,0)</f>
        <v>2262</v>
      </c>
      <c r="BM6" s="11">
        <f ca="1">ROUND(BD6*U6*AC6*L6*BA6*[1]ステータス!$D$2,0)</f>
        <v>0</v>
      </c>
      <c r="BN6" s="11">
        <f ca="1">ROUND(BD6*V6*AD6*M6*BB6*[1]ステータス!$E$2,0)</f>
        <v>949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1</v>
      </c>
    </row>
    <row r="7" spans="1:70" ht="21" customHeight="1" x14ac:dyDescent="0.15">
      <c r="A7" s="12">
        <v>651</v>
      </c>
      <c r="B7" s="55" t="str">
        <f ca="1">VLOOKUP($A7,OFFSET([1]characters!$A$1,0,0,COUNTA([1]characters!$A:$A),MATCH(B$1,[1]characters!$1:$1,0)-MATCH($A$1,[1]characters!$1:$1,0)+1),MATCH(B$1,[1]characters!$1:$1,0)-MATCH($A$1,[1]characters!$1:$1,0)+1,FALSE)</f>
        <v>八重祟障 ユウヤ</v>
      </c>
      <c r="C7" s="55" t="str">
        <f ca="1">VLOOKUP($A7,OFFSET([1]characters!$A$1,0,0,COUNTA([1]characters!$A:$A),MATCH(C$1,[1]characters!$1:$1,0)-MATCH($A$1,[1]characters!$1:$1,0)+1),MATCH(C$1,[1]characters!$1:$1,0)-MATCH($A$1,[1]characters!$1:$1,0)+1,FALSE)</f>
        <v>イベント:妖怪01</v>
      </c>
      <c r="D7" s="5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5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5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5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5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5">
        <f t="shared" ca="1" si="0"/>
        <v>75</v>
      </c>
      <c r="Q7" s="55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5" t="str">
        <f ca="1">VLOOKUP($A7,OFFSET([1]characters!$A$1,0,0,COUNTA([1]characters!$A:$A),MATCH(W$1,[1]characters!$1:$1,0)-MATCH($A$1,[1]characters!$1:$1,0)+1),MATCH(W$1,[1]characters!$1:$1,0)-MATCH($A$1,[1]characters!$1:$1,0)+1,FALSE)</f>
        <v>animal</v>
      </c>
      <c r="X7" s="5" t="str">
        <f ca="1">VLOOKUP(W7,[1]character_tribe_i18n!$A:$H,3,FALSE)</f>
        <v>アニマル</v>
      </c>
      <c r="Y7" s="55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1">
        <f ca="1">VLOOKUP(W7,[1]character_tribe_i18n!$A:$H,4,FALSE)</f>
        <v>1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0.9</v>
      </c>
      <c r="AE7" s="9" t="s">
        <v>189</v>
      </c>
      <c r="AF7" s="60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650</v>
      </c>
      <c r="AH7" s="60" t="str">
        <f ca="1">VLOOKUP($AG7,OFFSET([1]characters!$A$1,0,0,COUNTA([1]characters!$A:$A),MATCH(AH$1,[1]characters!$1:$1,0)-MATCH($A$1,[1]characters!$1:$1,0)+1),MATCH(AH$1,[1]characters!$1:$1,0)-MATCH($A$1,[1]characters!$1:$1,0)+1,FALSE)</f>
        <v>土蜘蛛 ユウヤ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2"/>
      <c r="AP7" s="65">
        <f t="shared" si="6"/>
        <v>651</v>
      </c>
      <c r="AQ7" s="55" t="str">
        <f ca="1">VLOOKUP($AP7,OFFSET(unit_skills!$A$1,0,0,COUNTA(unit_skills!$A:$A),MATCH(AQ$1,unit_skills!$1:$1,0)-MATCH($AP$1,unit_skills!$1:$1,0)+1),MATCH(AQ$1,unit_skills!$1:$1,0)-MATCH($AP$1,unit_skills!$1:$1,0)+1,FALSE)</f>
        <v>増悪の愉抉毒</v>
      </c>
      <c r="AR7" s="55" t="str">
        <f ca="1">VLOOKUP($AP7,OFFSET(unit_skills!$A$1,0,0,COUNTA(unit_skills!$A:$A),MATCH(AR$1,unit_skills!$1:$1,0)-MATCH($AP$1,unit_skills!$1:$1,0)+1),MATCH(AR$1,unit_skills!$1:$1,0)-MATCH($AP$1,unit_skills!$1:$1,0)+1,FALSE)</f>
        <v>単体に特大ダメージ(ウィルス状態の敵には効果超大 )</v>
      </c>
      <c r="AS7" s="55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9">
        <f t="shared" si="7"/>
        <v>651</v>
      </c>
      <c r="AU7" s="55" t="str">
        <f ca="1">VLOOKUP($AT7,OFFSET(crash_skills!$A$1,0,0,COUNTA(crash_skills!$A:$A),MATCH(AU$1,crash_skills!$1:$1,0)-MATCH($AT$1,crash_skills!$1:$1,0)+1),MATCH(AU$1,crash_skills!$1:$1,0)-MATCH($AT$1,crash_skills!$1:$1,0)+1,FALSE)</f>
        <v>忌避される病爪</v>
      </c>
      <c r="AV7" s="55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1体に特大ダメージ_x000D_+確率でウィルス付与</v>
      </c>
      <c r="AW7" s="55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6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6">
        <v>0.98</v>
      </c>
      <c r="AZ7" s="66">
        <v>1.3</v>
      </c>
      <c r="BA7" s="66">
        <v>0</v>
      </c>
      <c r="BB7" s="66">
        <v>0.8</v>
      </c>
      <c r="BC7" s="11">
        <f ca="1">INDEX('RC6SV'!$A$1:$G$20,MATCH(H7,'RC6SV'!$A$1:$A$20,FALSE),MATCH(G7,'RC6SV'!$A$1:$G$1,FALSE))</f>
        <v>7600</v>
      </c>
      <c r="BD7" s="45">
        <f t="shared" ca="1" si="3"/>
        <v>7600</v>
      </c>
      <c r="BE7" s="11">
        <f t="shared" ca="1" si="4"/>
        <v>5800</v>
      </c>
      <c r="BF7" s="11">
        <f t="shared" ca="1" si="5"/>
        <v>1</v>
      </c>
      <c r="BG7" s="16">
        <f ca="1">IF($BE7&lt;=0,ROUND(BK7*0.5,0), ROUND($BE7*S7*AA7*J7*AY7*0.8*[1]ステータス!$B$2,0))</f>
        <v>2005</v>
      </c>
      <c r="BH7" s="16">
        <f ca="1">IF($BE7&lt;=0,ROUND(BL7*0.5,0), ROUND($BE7*T7*AB7*K7*AZ7*0.8*[1]ステータス!$C$2,0))</f>
        <v>1809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759</v>
      </c>
      <c r="BK7" s="11">
        <f ca="1">ROUND(BD7*S7*AA7*J7*AY7*[1]ステータス!$B$2,0)</f>
        <v>3285</v>
      </c>
      <c r="BL7" s="11">
        <f ca="1">ROUND(BD7*T7*AB7*K7*AZ7*[1]ステータス!$C$2,0)</f>
        <v>2964</v>
      </c>
      <c r="BM7" s="11">
        <f ca="1">ROUND(BD7*U7*AC7*L7*BA7*[1]ステータス!$D$2,0)</f>
        <v>0</v>
      </c>
      <c r="BN7" s="11">
        <f ca="1">ROUND(BD7*V7*AD7*M7*BB7*[1]ステータス!$E$2,0)</f>
        <v>1244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1</v>
      </c>
    </row>
    <row r="8" spans="1:70" ht="21" customHeight="1" x14ac:dyDescent="0.15">
      <c r="A8" s="12">
        <v>654</v>
      </c>
      <c r="B8" s="55" t="str">
        <f ca="1">VLOOKUP($A8,OFFSET([1]characters!$A$1,0,0,COUNTA([1]characters!$A:$A),MATCH(B$1,[1]characters!$1:$1,0)-MATCH($A$1,[1]characters!$1:$1,0)+1),MATCH(B$1,[1]characters!$1:$1,0)-MATCH($A$1,[1]characters!$1:$1,0)+1,FALSE)</f>
        <v>酒呑童子 ヨミ</v>
      </c>
      <c r="C8" s="55" t="str">
        <f ca="1">VLOOKUP($A8,OFFSET([1]characters!$A$1,0,0,COUNTA([1]characters!$A:$A),MATCH(C$1,[1]characters!$1:$1,0)-MATCH($A$1,[1]characters!$1:$1,0)+1),MATCH(C$1,[1]characters!$1:$1,0)-MATCH($A$1,[1]characters!$1:$1,0)+1,FALSE)</f>
        <v>イベント:ウィザード</v>
      </c>
      <c r="D8" s="5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5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5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5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5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5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20</v>
      </c>
      <c r="O8" s="11">
        <f ca="1">INDEX(レベル!$A$1:$I$21,MATCH(H8,レベル!$A$1:$A$21,FALSE),MATCH(G8,レベル!$A$1:$I$1,FALSE))</f>
        <v>60</v>
      </c>
      <c r="P8" s="45">
        <f t="shared" ca="1" si="0"/>
        <v>60</v>
      </c>
      <c r="Q8" s="55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5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5" t="str">
        <f ca="1">VLOOKUP($A8,OFFSET([1]characters!$A$1,0,0,COUNTA([1]characters!$A:$A),MATCH(Y$1,[1]characters!$1:$1,0)-MATCH($A$1,[1]characters!$1:$1,0)+1),MATCH(Y$1,[1]characters!$1:$1,0)-MATCH($A$1,[1]characters!$1:$1,0)+1,FALSE)</f>
        <v>unknown</v>
      </c>
      <c r="Z8" s="5" t="str">
        <f ca="1">VLOOKUP(Y8,[1]character_tribe_i18n!$A:$H,3,FALSE)</f>
        <v>Unknown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f>A9</f>
        <v>655</v>
      </c>
      <c r="AF8" s="60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桜花舞う嵐鬼神 ヨミ</v>
      </c>
      <c r="AG8" s="5">
        <f t="shared" ca="1" si="1"/>
        <v>654</v>
      </c>
      <c r="AH8" s="60" t="str">
        <f ca="1">VLOOKUP($AG8,OFFSET([1]characters!$A$1,0,0,COUNTA([1]characters!$A:$A),MATCH(AH$1,[1]characters!$1:$1,0)-MATCH($A$1,[1]characters!$1:$1,0)+1),MATCH(AH$1,[1]characters!$1:$1,0)-MATCH($A$1,[1]characters!$1:$1,0)+1,FALSE)</f>
        <v>酒呑童子 ヨミ</v>
      </c>
      <c r="AI8" s="11">
        <f ca="1">IF(AE8="NULL","NULL",VLOOKUP(G8,ビット!$A$2:$B$7,2))</f>
        <v>50000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2"/>
      <c r="AP8" s="65">
        <f t="shared" si="6"/>
        <v>654</v>
      </c>
      <c r="AQ8" s="55" t="str">
        <f ca="1">VLOOKUP($AP8,OFFSET(unit_skills!$A$1,0,0,COUNTA(unit_skills!$A:$A),MATCH(AQ$1,unit_skills!$1:$1,0)-MATCH($AP$1,unit_skills!$1:$1,0)+1),MATCH(AQ$1,unit_skills!$1:$1,0)-MATCH($AP$1,unit_skills!$1:$1,0)+1,FALSE)</f>
        <v>桜花鬼神乱舞</v>
      </c>
      <c r="AR8" s="55" t="str">
        <f ca="1">VLOOKUP($AP8,OFFSET(unit_skills!$A$1,0,0,COUNTA(unit_skills!$A:$A),MATCH(AR$1,unit_skills!$1:$1,0)-MATCH($AP$1,unit_skills!$1:$1,0)+1),MATCH(AR$1,unit_skills!$1:$1,0)-MATCH($AP$1,unit_skills!$1:$1,0)+1,FALSE)</f>
        <v>SCパネルを2つ生成+2ターン種族ゴッドの攻撃力特大UP</v>
      </c>
      <c r="AS8" s="55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9">
        <f t="shared" si="7"/>
        <v>654</v>
      </c>
      <c r="AU8" s="55" t="str">
        <f ca="1">VLOOKUP($AT8,OFFSET(crash_skills!$A$1,0,0,COUNTA(crash_skills!$A:$A),MATCH(AU$1,crash_skills!$1:$1,0)-MATCH($AT$1,crash_skills!$1:$1,0)+1),MATCH(AU$1,crash_skills!$1:$1,0)-MATCH($AT$1,crash_skills!$1:$1,0)+1,FALSE)</f>
        <v>嵐破鬼神斬</v>
      </c>
      <c r="AV8" s="55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</v>
      </c>
      <c r="AW8" s="55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6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6">
        <v>0.94</v>
      </c>
      <c r="AZ8" s="66">
        <v>1.03</v>
      </c>
      <c r="BA8" s="66">
        <v>0</v>
      </c>
      <c r="BB8" s="66">
        <v>0.9</v>
      </c>
      <c r="BC8" s="11">
        <f ca="1">INDEX('RC6SV'!$A$1:$G$20,MATCH(H8,'RC6SV'!$A$1:$A$20,FALSE),MATCH(G8,'RC6SV'!$A$1:$G$1,FALSE))</f>
        <v>7000</v>
      </c>
      <c r="BD8" s="45">
        <f t="shared" ca="1" si="3"/>
        <v>7000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1548</v>
      </c>
      <c r="BH8" s="16">
        <f ca="1">IF($BE8&lt;=0,ROUND(BL8*0.5,0), ROUND($BE8*T8*AB8*K8*AZ8*0.8*[1]ステータス!$C$2,0))</f>
        <v>1482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544</v>
      </c>
      <c r="BK8" s="11">
        <f ca="1">ROUND(BD8*S8*AA8*J8*AY8*[1]ステータス!$B$2,0)</f>
        <v>3095</v>
      </c>
      <c r="BL8" s="11">
        <f ca="1">ROUND(BD8*T8*AB8*K8*AZ8*[1]ステータス!$C$2,0)</f>
        <v>2964</v>
      </c>
      <c r="BM8" s="11">
        <f ca="1">ROUND(BD8*U8*AC8*L8*BA8*[1]ステータス!$D$2,0)</f>
        <v>0</v>
      </c>
      <c r="BN8" s="11">
        <f ca="1">ROUND(BD8*V8*AD8*M8*BB8*[1]ステータス!$E$2,0)</f>
        <v>1087</v>
      </c>
      <c r="BO8" s="10">
        <v>0</v>
      </c>
      <c r="BP8" s="10">
        <v>1</v>
      </c>
      <c r="BQ8" s="10" t="s">
        <v>53</v>
      </c>
      <c r="BR8" s="10">
        <f ca="1">VLOOKUP(H8,ghosts_label!$A$2:$B$19,2,FALSE)</f>
        <v>1</v>
      </c>
    </row>
    <row r="9" spans="1:70" ht="21" customHeight="1" x14ac:dyDescent="0.15">
      <c r="A9" s="12">
        <v>655</v>
      </c>
      <c r="B9" s="55" t="str">
        <f ca="1">VLOOKUP($A9,OFFSET([1]characters!$A$1,0,0,COUNTA([1]characters!$A:$A),MATCH(B$1,[1]characters!$1:$1,0)-MATCH($A$1,[1]characters!$1:$1,0)+1),MATCH(B$1,[1]characters!$1:$1,0)-MATCH($A$1,[1]characters!$1:$1,0)+1,FALSE)</f>
        <v>桜花舞う嵐鬼神 ヨミ</v>
      </c>
      <c r="C9" s="55" t="str">
        <f ca="1">VLOOKUP($A9,OFFSET([1]characters!$A$1,0,0,COUNTA([1]characters!$A:$A),MATCH(C$1,[1]characters!$1:$1,0)-MATCH($A$1,[1]characters!$1:$1,0)+1),MATCH(C$1,[1]characters!$1:$1,0)-MATCH($A$1,[1]characters!$1:$1,0)+1,FALSE)</f>
        <v>イベント:ウィザード</v>
      </c>
      <c r="D9" s="55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5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5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5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5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5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5">
        <f t="shared" ca="1" si="0"/>
        <v>75</v>
      </c>
      <c r="Q9" s="55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5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5" t="str">
        <f ca="1">VLOOKUP($A9,OFFSET([1]characters!$A$1,0,0,COUNTA([1]characters!$A:$A),MATCH(Y$1,[1]characters!$1:$1,0)-MATCH($A$1,[1]characters!$1:$1,0)+1),MATCH(Y$1,[1]characters!$1:$1,0)-MATCH($A$1,[1]characters!$1:$1,0)+1,FALSE)</f>
        <v>unknown</v>
      </c>
      <c r="Z9" s="5" t="str">
        <f ca="1">VLOOKUP(Y9,[1]character_tribe_i18n!$A:$H,3,FALSE)</f>
        <v>Unknown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189</v>
      </c>
      <c r="AF9" s="60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654</v>
      </c>
      <c r="AH9" s="60" t="str">
        <f ca="1">VLOOKUP($AG9,OFFSET([1]characters!$A$1,0,0,COUNTA([1]characters!$A:$A),MATCH(AH$1,[1]characters!$1:$1,0)-MATCH($A$1,[1]characters!$1:$1,0)+1),MATCH(AH$1,[1]characters!$1:$1,0)-MATCH($A$1,[1]characters!$1:$1,0)+1,FALSE)</f>
        <v>酒呑童子 ヨミ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2"/>
      <c r="AP9" s="65">
        <f t="shared" si="6"/>
        <v>655</v>
      </c>
      <c r="AQ9" s="55" t="str">
        <f ca="1">VLOOKUP($AP9,OFFSET(unit_skills!$A$1,0,0,COUNTA(unit_skills!$A:$A),MATCH(AQ$1,unit_skills!$1:$1,0)-MATCH($AP$1,unit_skills!$1:$1,0)+1),MATCH(AQ$1,unit_skills!$1:$1,0)-MATCH($AP$1,unit_skills!$1:$1,0)+1,FALSE)</f>
        <v>桜花鬼神乱舞</v>
      </c>
      <c r="AR9" s="55" t="str">
        <f ca="1">VLOOKUP($AP9,OFFSET(unit_skills!$A$1,0,0,COUNTA(unit_skills!$A:$A),MATCH(AR$1,unit_skills!$1:$1,0)-MATCH($AP$1,unit_skills!$1:$1,0)+1),MATCH(AR$1,unit_skills!$1:$1,0)-MATCH($AP$1,unit_skills!$1:$1,0)+1,FALSE)</f>
        <v>SCパネルを2つ生成+2ターン種族ゴッドの攻撃力特大UP</v>
      </c>
      <c r="AS9" s="55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9">
        <f t="shared" si="7"/>
        <v>655</v>
      </c>
      <c r="AU9" s="55" t="str">
        <f ca="1">VLOOKUP($AT9,OFFSET(crash_skills!$A$1,0,0,COUNTA(crash_skills!$A:$A),MATCH(AU$1,crash_skills!$1:$1,0)-MATCH($AT$1,crash_skills!$1:$1,0)+1),MATCH(AU$1,crash_skills!$1:$1,0)-MATCH($AT$1,crash_skills!$1:$1,0)+1,FALSE)</f>
        <v>嵐破鬼神斬</v>
      </c>
      <c r="AV9" s="55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</v>
      </c>
      <c r="AW9" s="55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6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6">
        <v>0.94</v>
      </c>
      <c r="AZ9" s="66">
        <v>1.03</v>
      </c>
      <c r="BA9" s="66">
        <v>0</v>
      </c>
      <c r="BB9" s="66">
        <v>0.9</v>
      </c>
      <c r="BC9" s="11">
        <f ca="1">INDEX('RC6SV'!$A$1:$G$20,MATCH(H9,'RC6SV'!$A$1:$A$20,FALSE),MATCH(G9,'RC6SV'!$A$1:$G$1,FALSE))</f>
        <v>9000</v>
      </c>
      <c r="BD9" s="45">
        <f t="shared" ca="1" si="3"/>
        <v>9000</v>
      </c>
      <c r="BE9" s="11">
        <f t="shared" ca="1" si="4"/>
        <v>7000</v>
      </c>
      <c r="BF9" s="11">
        <f t="shared" ca="1" si="5"/>
        <v>1</v>
      </c>
      <c r="BG9" s="16">
        <f ca="1">IF($BE9&lt;=0,ROUND(BK9*0.5,0), ROUND($BE9*S9*AA9*J9*AY9*0.8*[1]ステータス!$B$2,0))</f>
        <v>2476</v>
      </c>
      <c r="BH9" s="16">
        <f ca="1">IF($BE9&lt;=0,ROUND(BL9*0.5,0), ROUND($BE9*T9*AB9*K9*AZ9*0.8*[1]ステータス!$C$2,0))</f>
        <v>2371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870</v>
      </c>
      <c r="BK9" s="11">
        <f ca="1">ROUND(BD9*S9*AA9*J9*AY9*[1]ステータス!$B$2,0)</f>
        <v>3980</v>
      </c>
      <c r="BL9" s="11">
        <f ca="1">ROUND(BD9*T9*AB9*K9*AZ9*[1]ステータス!$C$2,0)</f>
        <v>3810</v>
      </c>
      <c r="BM9" s="11">
        <f ca="1">ROUND(BD9*U9*AC9*L9*BA9*[1]ステータス!$D$2,0)</f>
        <v>0</v>
      </c>
      <c r="BN9" s="11">
        <f ca="1">ROUND(BD9*V9*AD9*M9*BB9*[1]ステータス!$E$2,0)</f>
        <v>1398</v>
      </c>
      <c r="BO9" s="10">
        <v>0</v>
      </c>
      <c r="BP9" s="10">
        <v>1</v>
      </c>
      <c r="BQ9" s="10" t="s">
        <v>53</v>
      </c>
      <c r="BR9" s="10">
        <f ca="1">VLOOKUP(H9,ghosts_label!$A$2:$B$19,2,FALSE)</f>
        <v>1</v>
      </c>
    </row>
  </sheetData>
  <autoFilter ref="A1:BQ1"/>
  <phoneticPr fontId="10"/>
  <conditionalFormatting sqref="BO1">
    <cfRule type="cellIs" dxfId="33" priority="120" stopIfTrue="1" operator="equal">
      <formula>1</formula>
    </cfRule>
  </conditionalFormatting>
  <conditionalFormatting sqref="BQ1">
    <cfRule type="cellIs" dxfId="3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33" bestFit="1" customWidth="1"/>
    <col min="2" max="2" width="13" style="133" bestFit="1" customWidth="1"/>
    <col min="3" max="3" width="21.83203125" style="133" customWidth="1"/>
    <col min="4" max="4" width="41.83203125" style="133" customWidth="1"/>
    <col min="5" max="5" width="9" style="133" customWidth="1"/>
    <col min="6" max="6" width="7.83203125" style="133" bestFit="1" customWidth="1"/>
    <col min="7" max="7" width="8.1640625" style="133" bestFit="1" customWidth="1"/>
    <col min="8" max="8" width="13.6640625" style="133" bestFit="1" customWidth="1"/>
    <col min="9" max="10" width="51.6640625" style="133" customWidth="1"/>
    <col min="11" max="11" width="10.83203125" style="133" customWidth="1" outlineLevel="1"/>
    <col min="12" max="17" width="9.5" style="132" customWidth="1" outlineLevel="1"/>
    <col min="18" max="18" width="20.33203125" style="133" customWidth="1" outlineLevel="1"/>
    <col min="19" max="19" width="10.33203125" style="133" bestFit="1" customWidth="1"/>
    <col min="20" max="16384" width="13" style="133"/>
  </cols>
  <sheetData>
    <row r="1" spans="1:19" s="132" customFormat="1" ht="21" customHeight="1" x14ac:dyDescent="0.15">
      <c r="A1" s="121" t="s">
        <v>20</v>
      </c>
      <c r="B1" s="122" t="s">
        <v>140</v>
      </c>
      <c r="C1" s="123" t="s">
        <v>46</v>
      </c>
      <c r="D1" s="124" t="s">
        <v>169</v>
      </c>
      <c r="E1" s="124" t="s">
        <v>170</v>
      </c>
      <c r="F1" s="121" t="s">
        <v>152</v>
      </c>
      <c r="G1" s="125" t="s">
        <v>2</v>
      </c>
      <c r="H1" s="125" t="s">
        <v>171</v>
      </c>
      <c r="I1" s="125" t="s">
        <v>172</v>
      </c>
      <c r="J1" s="126" t="s">
        <v>190</v>
      </c>
      <c r="K1" s="125" t="s">
        <v>4</v>
      </c>
      <c r="L1" s="127" t="s">
        <v>173</v>
      </c>
      <c r="M1" s="128" t="s">
        <v>174</v>
      </c>
      <c r="N1" s="128" t="s">
        <v>175</v>
      </c>
      <c r="O1" s="128" t="s">
        <v>176</v>
      </c>
      <c r="P1" s="128" t="s">
        <v>177</v>
      </c>
      <c r="Q1" s="129" t="s">
        <v>178</v>
      </c>
      <c r="R1" s="130" t="s">
        <v>179</v>
      </c>
      <c r="S1" s="131" t="s">
        <v>180</v>
      </c>
    </row>
    <row r="2" spans="1:19" ht="21" customHeight="1" x14ac:dyDescent="0.15">
      <c r="A2" s="12">
        <v>646</v>
      </c>
      <c r="B2" s="157" t="s">
        <v>258</v>
      </c>
      <c r="C2" s="158" t="s">
        <v>266</v>
      </c>
      <c r="D2" s="158" t="s">
        <v>261</v>
      </c>
      <c r="E2" s="159">
        <f>LEN(D2)</f>
        <v>26</v>
      </c>
      <c r="F2" s="120">
        <v>14</v>
      </c>
      <c r="G2" s="120">
        <v>5</v>
      </c>
      <c r="H2" s="160">
        <f>2001</f>
        <v>2001</v>
      </c>
      <c r="I2" s="160" t="s">
        <v>288</v>
      </c>
      <c r="J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雪女 ユキ</v>
      </c>
      <c r="K2" s="161">
        <v>3</v>
      </c>
      <c r="L2" s="162"/>
      <c r="M2" s="163"/>
      <c r="N2" s="163"/>
      <c r="O2" s="163"/>
      <c r="P2" s="163"/>
      <c r="Q2" s="163"/>
      <c r="R2" s="158"/>
      <c r="S2" s="164"/>
    </row>
    <row r="3" spans="1:19" ht="21" customHeight="1" x14ac:dyDescent="0.15">
      <c r="A3" s="12">
        <v>647</v>
      </c>
      <c r="B3" s="157" t="s">
        <v>258</v>
      </c>
      <c r="C3" s="158" t="s">
        <v>266</v>
      </c>
      <c r="D3" s="158" t="s">
        <v>261</v>
      </c>
      <c r="E3" s="159">
        <f>LEN(D3)</f>
        <v>26</v>
      </c>
      <c r="F3" s="120">
        <v>14</v>
      </c>
      <c r="G3" s="120">
        <v>5</v>
      </c>
      <c r="H3" s="160">
        <f>2001</f>
        <v>2001</v>
      </c>
      <c r="I3" s="160" t="str">
        <f>I2</f>
        <v>[effect:damage, target:enemy_one, color:blue, val:6.528, animation:damage_one_blue04][effect:change_block, new_block:crash, target:block_all, color:block_red, count:2, val:8, min_time_count:2, max_time_count:2, animation:change_block]</v>
      </c>
      <c r="J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氷麗の雪化生 ユキ</v>
      </c>
      <c r="K3" s="161">
        <v>3</v>
      </c>
      <c r="L3" s="162"/>
      <c r="M3" s="163"/>
      <c r="N3" s="163"/>
      <c r="O3" s="163"/>
      <c r="P3" s="163"/>
      <c r="Q3" s="163"/>
      <c r="R3" s="158"/>
      <c r="S3" s="164"/>
    </row>
    <row r="4" spans="1:19" ht="21" customHeight="1" x14ac:dyDescent="0.15">
      <c r="A4" s="12">
        <v>650</v>
      </c>
      <c r="B4" s="157" t="s">
        <v>258</v>
      </c>
      <c r="C4" s="158" t="s">
        <v>299</v>
      </c>
      <c r="D4" s="158" t="s">
        <v>289</v>
      </c>
      <c r="E4" s="159">
        <f t="shared" ref="E4:E7" si="0">LEN(D4)</f>
        <v>26</v>
      </c>
      <c r="F4" s="120">
        <v>13</v>
      </c>
      <c r="G4" s="120">
        <v>5</v>
      </c>
      <c r="H4" s="160">
        <f>2001</f>
        <v>2001</v>
      </c>
      <c r="I4" s="160" t="s">
        <v>291</v>
      </c>
      <c r="J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土蜘蛛 ユウヤ</v>
      </c>
      <c r="K4" s="161">
        <v>3</v>
      </c>
      <c r="L4" s="162"/>
      <c r="M4" s="163"/>
      <c r="N4" s="163"/>
      <c r="O4" s="163"/>
      <c r="P4" s="163"/>
      <c r="Q4" s="163"/>
      <c r="R4" s="158"/>
      <c r="S4" s="164"/>
    </row>
    <row r="5" spans="1:19" ht="21" customHeight="1" x14ac:dyDescent="0.15">
      <c r="A5" s="12">
        <v>651</v>
      </c>
      <c r="B5" s="157" t="s">
        <v>258</v>
      </c>
      <c r="C5" s="158" t="s">
        <v>299</v>
      </c>
      <c r="D5" s="158" t="s">
        <v>289</v>
      </c>
      <c r="E5" s="159">
        <f t="shared" si="0"/>
        <v>26</v>
      </c>
      <c r="F5" s="120">
        <v>13</v>
      </c>
      <c r="G5" s="120">
        <v>5</v>
      </c>
      <c r="H5" s="160">
        <f>2001</f>
        <v>2001</v>
      </c>
      <c r="I5" s="160" t="str">
        <f>I4</f>
        <v>[effect:damage_anti_abnormal, target:enemy_one, target_effect01:virus, val1:11.2, val2:8.16, animation:damage_one_yellow04]</v>
      </c>
      <c r="J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八重祟障 ユウヤ</v>
      </c>
      <c r="K5" s="161">
        <v>3</v>
      </c>
      <c r="L5" s="162"/>
      <c r="M5" s="163"/>
      <c r="N5" s="163"/>
      <c r="O5" s="163"/>
      <c r="P5" s="163"/>
      <c r="Q5" s="163"/>
      <c r="R5" s="158"/>
      <c r="S5" s="164"/>
    </row>
    <row r="6" spans="1:19" ht="21" customHeight="1" x14ac:dyDescent="0.15">
      <c r="A6" s="12">
        <v>654</v>
      </c>
      <c r="B6" s="157" t="s">
        <v>258</v>
      </c>
      <c r="C6" s="158" t="s">
        <v>297</v>
      </c>
      <c r="D6" s="158" t="s">
        <v>294</v>
      </c>
      <c r="E6" s="159">
        <f t="shared" si="0"/>
        <v>28</v>
      </c>
      <c r="F6" s="120">
        <v>10</v>
      </c>
      <c r="G6" s="120">
        <v>5</v>
      </c>
      <c r="H6" s="160">
        <f>2001</f>
        <v>2001</v>
      </c>
      <c r="I6" s="160" t="s">
        <v>295</v>
      </c>
      <c r="J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酒呑童子 ヨミ</v>
      </c>
      <c r="K6" s="161">
        <v>3</v>
      </c>
      <c r="L6" s="162"/>
      <c r="M6" s="163"/>
      <c r="N6" s="163"/>
      <c r="O6" s="163"/>
      <c r="P6" s="163"/>
      <c r="Q6" s="163"/>
      <c r="R6" s="158"/>
      <c r="S6" s="164"/>
    </row>
    <row r="7" spans="1:19" ht="21" customHeight="1" x14ac:dyDescent="0.15">
      <c r="A7" s="12">
        <v>655</v>
      </c>
      <c r="B7" s="157" t="s">
        <v>258</v>
      </c>
      <c r="C7" s="158" t="s">
        <v>297</v>
      </c>
      <c r="D7" s="158" t="s">
        <v>294</v>
      </c>
      <c r="E7" s="159">
        <f t="shared" si="0"/>
        <v>28</v>
      </c>
      <c r="F7" s="120">
        <v>10</v>
      </c>
      <c r="G7" s="120">
        <v>5</v>
      </c>
      <c r="H7" s="160">
        <f>2001</f>
        <v>2001</v>
      </c>
      <c r="I7" s="160" t="str">
        <f>I6</f>
        <v>[effect:special_block,val:14, count:2, animation:change_block],[effect:enhance_unit, target:unit_god, turn:2, status:attack, val:0.128, calc:mul, animation:enhance_unit_all_attack04_unit01]</v>
      </c>
      <c r="J7" s="55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桜花舞う嵐鬼神 ヨミ</v>
      </c>
      <c r="K7" s="161">
        <v>3</v>
      </c>
      <c r="L7" s="162"/>
      <c r="M7" s="163"/>
      <c r="N7" s="163"/>
      <c r="O7" s="163"/>
      <c r="P7" s="163"/>
      <c r="Q7" s="163"/>
      <c r="R7" s="158"/>
      <c r="S7" s="164"/>
    </row>
    <row r="8" spans="1:19" ht="21" customHeight="1" x14ac:dyDescent="0.15">
      <c r="A8" s="12">
        <v>644</v>
      </c>
      <c r="B8" s="157" t="s">
        <v>258</v>
      </c>
      <c r="C8" s="158" t="s">
        <v>312</v>
      </c>
      <c r="D8" s="158" t="s">
        <v>324</v>
      </c>
      <c r="E8" s="159">
        <f t="shared" ref="E8:E9" si="1">LEN(D8)</f>
        <v>39</v>
      </c>
      <c r="F8" s="120">
        <v>11</v>
      </c>
      <c r="G8" s="120">
        <v>5</v>
      </c>
      <c r="H8" s="160">
        <f>2001</f>
        <v>2001</v>
      </c>
      <c r="I8" s="160" t="s">
        <v>313</v>
      </c>
      <c r="J8" s="55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滑瓢 ショウキ</v>
      </c>
      <c r="K8" s="161">
        <v>3</v>
      </c>
      <c r="L8" s="162"/>
      <c r="M8" s="163"/>
      <c r="N8" s="163"/>
      <c r="O8" s="163"/>
      <c r="P8" s="163"/>
      <c r="Q8" s="163"/>
      <c r="R8" s="158"/>
      <c r="S8" s="164"/>
    </row>
    <row r="9" spans="1:19" ht="21" customHeight="1" x14ac:dyDescent="0.15">
      <c r="A9" s="12">
        <v>645</v>
      </c>
      <c r="B9" s="157" t="s">
        <v>258</v>
      </c>
      <c r="C9" s="158" t="s">
        <v>316</v>
      </c>
      <c r="D9" s="158" t="s">
        <v>324</v>
      </c>
      <c r="E9" s="159">
        <f t="shared" si="1"/>
        <v>39</v>
      </c>
      <c r="F9" s="120">
        <v>11</v>
      </c>
      <c r="G9" s="120">
        <v>5</v>
      </c>
      <c r="H9" s="160">
        <f>2001</f>
        <v>2001</v>
      </c>
      <c r="I9" s="160" t="str">
        <f>I8</f>
        <v>[effect:enhance_unit, target:unit_unknown, turn:1, status:action, val:2.0, calc:mul, animation:enhance_unit_one_action02],[effect:enhance_unit, target:unit_unknown, turn:3, status:attack, val:0.21, calc:mul, animation:enhance_unit_all_attack04_unit01],[effect:enhance_unit, target:unit_unknown, turn:3, status:heal, val:0.45, calc:mul, animation:enhance_unit_all_heal04_unit01]</v>
      </c>
      <c r="J9" s="55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百鬼夜行の創大将 ショウキ</v>
      </c>
      <c r="K9" s="161">
        <v>3</v>
      </c>
      <c r="L9" s="162"/>
      <c r="M9" s="163"/>
      <c r="N9" s="163"/>
      <c r="O9" s="163"/>
      <c r="P9" s="163"/>
      <c r="Q9" s="163"/>
      <c r="R9" s="158"/>
      <c r="S9" s="164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31" priority="11" operator="greaterThan">
      <formula>41</formula>
    </cfRule>
  </conditionalFormatting>
  <conditionalFormatting sqref="E2 E4 E6">
    <cfRule type="cellIs" dxfId="30" priority="4" operator="greaterThan">
      <formula>41</formula>
    </cfRule>
  </conditionalFormatting>
  <conditionalFormatting sqref="E3 E5 E7">
    <cfRule type="cellIs" dxfId="29" priority="3" operator="greaterThan">
      <formula>41</formula>
    </cfRule>
  </conditionalFormatting>
  <conditionalFormatting sqref="E8">
    <cfRule type="cellIs" dxfId="28" priority="2" operator="greaterThan">
      <formula>41</formula>
    </cfRule>
  </conditionalFormatting>
  <conditionalFormatting sqref="E9">
    <cfRule type="cellIs" dxfId="27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9"/>
  <sheetViews>
    <sheetView showGridLines="0" workbookViewId="0">
      <pane xSplit="4" ySplit="1" topLeftCell="G2" activePane="bottomRight" state="frozen"/>
      <selection pane="topRight" activeCell="D1" sqref="D1"/>
      <selection pane="bottomLeft" activeCell="A3" sqref="A3"/>
      <selection pane="bottomRight" activeCell="K9" sqref="K9"/>
    </sheetView>
  </sheetViews>
  <sheetFormatPr baseColWidth="12" defaultColWidth="13" defaultRowHeight="21" customHeight="1" x14ac:dyDescent="0.15"/>
  <cols>
    <col min="1" max="2" width="12.1640625" style="133" customWidth="1"/>
    <col min="3" max="3" width="48.83203125" style="134" customWidth="1"/>
    <col min="4" max="4" width="23.83203125" style="134" customWidth="1"/>
    <col min="5" max="5" width="10.5" style="134" customWidth="1"/>
    <col min="6" max="7" width="59.1640625" style="134" customWidth="1"/>
    <col min="8" max="8" width="6.83203125" style="133" bestFit="1" customWidth="1"/>
    <col min="9" max="9" width="20.33203125" style="133" customWidth="1"/>
    <col min="10" max="10" width="5" style="133" bestFit="1" customWidth="1"/>
    <col min="11" max="16384" width="13" style="133"/>
  </cols>
  <sheetData>
    <row r="1" spans="1:19" ht="21" customHeight="1" x14ac:dyDescent="0.15">
      <c r="A1" s="121" t="s">
        <v>188</v>
      </c>
      <c r="B1" s="122" t="s">
        <v>187</v>
      </c>
      <c r="C1" s="123" t="s">
        <v>186</v>
      </c>
      <c r="D1" s="124" t="s">
        <v>185</v>
      </c>
      <c r="E1" s="124" t="s">
        <v>184</v>
      </c>
      <c r="F1" s="125" t="s">
        <v>183</v>
      </c>
      <c r="G1" s="126" t="s">
        <v>190</v>
      </c>
      <c r="H1" s="125" t="s">
        <v>182</v>
      </c>
      <c r="I1" s="126" t="s">
        <v>181</v>
      </c>
      <c r="J1" s="130" t="s">
        <v>180</v>
      </c>
    </row>
    <row r="2" spans="1:19" ht="21" customHeight="1" x14ac:dyDescent="0.15">
      <c r="A2" s="12">
        <v>646</v>
      </c>
      <c r="B2" s="157" t="s">
        <v>259</v>
      </c>
      <c r="C2" s="158" t="s">
        <v>265</v>
      </c>
      <c r="D2" s="165" t="s">
        <v>262</v>
      </c>
      <c r="E2" s="159">
        <f t="shared" ref="E2:E3" si="0">LEN(D2)</f>
        <v>9</v>
      </c>
      <c r="F2" s="120" t="s">
        <v>287</v>
      </c>
      <c r="G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雪女 ユキ</v>
      </c>
      <c r="H2" s="160">
        <v>3</v>
      </c>
      <c r="I2" s="160"/>
      <c r="J2" s="166"/>
      <c r="K2" s="161">
        <v>1</v>
      </c>
      <c r="L2" s="162"/>
      <c r="M2" s="163"/>
      <c r="N2" s="163"/>
      <c r="O2" s="163"/>
      <c r="P2" s="163"/>
      <c r="Q2" s="163"/>
      <c r="R2" s="158"/>
      <c r="S2" s="164"/>
    </row>
    <row r="3" spans="1:19" ht="21" customHeight="1" x14ac:dyDescent="0.15">
      <c r="A3" s="12">
        <v>647</v>
      </c>
      <c r="B3" s="157" t="s">
        <v>259</v>
      </c>
      <c r="C3" s="158" t="s">
        <v>265</v>
      </c>
      <c r="D3" s="165" t="s">
        <v>262</v>
      </c>
      <c r="E3" s="159">
        <f t="shared" si="0"/>
        <v>9</v>
      </c>
      <c r="F3" s="120" t="s">
        <v>287</v>
      </c>
      <c r="G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氷麗の雪化生 ユキ</v>
      </c>
      <c r="H3" s="160">
        <v>3</v>
      </c>
      <c r="I3" s="160"/>
      <c r="J3" s="166"/>
      <c r="K3" s="161">
        <v>1</v>
      </c>
      <c r="L3" s="162"/>
      <c r="M3" s="163"/>
      <c r="N3" s="163"/>
      <c r="O3" s="163"/>
      <c r="P3" s="163"/>
      <c r="Q3" s="163"/>
      <c r="R3" s="158"/>
      <c r="S3" s="164"/>
    </row>
    <row r="4" spans="1:19" ht="21" customHeight="1" x14ac:dyDescent="0.15">
      <c r="A4" s="12">
        <v>650</v>
      </c>
      <c r="B4" s="157" t="s">
        <v>259</v>
      </c>
      <c r="C4" s="158" t="s">
        <v>298</v>
      </c>
      <c r="D4" s="179" t="s">
        <v>290</v>
      </c>
      <c r="E4" s="159">
        <f t="shared" ref="E4:E6" si="1">LEN(D4)</f>
        <v>20</v>
      </c>
      <c r="F4" s="120" t="s">
        <v>292</v>
      </c>
      <c r="G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土蜘蛛 ユウヤ</v>
      </c>
      <c r="H4" s="160">
        <v>3</v>
      </c>
      <c r="I4" s="160"/>
      <c r="J4" s="166"/>
      <c r="K4" s="161">
        <v>1</v>
      </c>
      <c r="L4" s="162"/>
      <c r="M4" s="163"/>
      <c r="N4" s="163"/>
      <c r="O4" s="163"/>
      <c r="P4" s="163"/>
      <c r="Q4" s="163"/>
      <c r="R4" s="158"/>
      <c r="S4" s="164"/>
    </row>
    <row r="5" spans="1:19" ht="21" customHeight="1" x14ac:dyDescent="0.15">
      <c r="A5" s="12">
        <v>651</v>
      </c>
      <c r="B5" s="157" t="s">
        <v>259</v>
      </c>
      <c r="C5" s="158" t="s">
        <v>298</v>
      </c>
      <c r="D5" s="179" t="s">
        <v>290</v>
      </c>
      <c r="E5" s="159">
        <f t="shared" si="1"/>
        <v>20</v>
      </c>
      <c r="F5" s="120" t="str">
        <f>F4</f>
        <v>[effect:damage, target:enemy_one, color:yellow, val:1.5, animation:damage_one_yellow01],[effect:virus, target:enemy_one, turn:2, rate:0.30, val:0.84, animation:virus02]</v>
      </c>
      <c r="G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八重祟障 ユウヤ</v>
      </c>
      <c r="H5" s="160">
        <v>3</v>
      </c>
      <c r="I5" s="160"/>
      <c r="J5" s="166"/>
      <c r="K5" s="161">
        <v>1</v>
      </c>
      <c r="L5" s="162"/>
      <c r="M5" s="163"/>
      <c r="N5" s="163"/>
      <c r="O5" s="163"/>
      <c r="P5" s="163"/>
      <c r="Q5" s="163"/>
      <c r="R5" s="158"/>
      <c r="S5" s="164"/>
    </row>
    <row r="6" spans="1:19" ht="21" customHeight="1" x14ac:dyDescent="0.15">
      <c r="A6" s="12">
        <v>654</v>
      </c>
      <c r="B6" s="157" t="s">
        <v>259</v>
      </c>
      <c r="C6" s="158" t="s">
        <v>296</v>
      </c>
      <c r="D6" s="165" t="s">
        <v>260</v>
      </c>
      <c r="E6" s="159">
        <f t="shared" si="1"/>
        <v>8</v>
      </c>
      <c r="F6" s="120" t="s">
        <v>293</v>
      </c>
      <c r="G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酒呑童子 ヨミ</v>
      </c>
      <c r="H6" s="160">
        <v>3</v>
      </c>
      <c r="I6" s="160"/>
      <c r="J6" s="166"/>
      <c r="K6" s="161">
        <v>1</v>
      </c>
      <c r="L6" s="162"/>
      <c r="M6" s="163"/>
      <c r="N6" s="163"/>
      <c r="O6" s="163"/>
      <c r="P6" s="163"/>
      <c r="Q6" s="163"/>
      <c r="R6" s="158"/>
      <c r="S6" s="164"/>
    </row>
    <row r="7" spans="1:19" ht="21" customHeight="1" x14ac:dyDescent="0.15">
      <c r="A7" s="12">
        <v>655</v>
      </c>
      <c r="B7" s="157" t="s">
        <v>259</v>
      </c>
      <c r="C7" s="158" t="s">
        <v>296</v>
      </c>
      <c r="D7" s="165" t="s">
        <v>260</v>
      </c>
      <c r="E7" s="159">
        <f t="shared" ref="E7:E8" si="2">LEN(D7)</f>
        <v>8</v>
      </c>
      <c r="F7" s="120" t="str">
        <f>F6</f>
        <v>[effect:damage, target:enemy_one, color:yellow, val:2.0, animation:damage_one_yellow04]</v>
      </c>
      <c r="G7" s="55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桜花舞う嵐鬼神 ヨミ</v>
      </c>
      <c r="H7" s="160">
        <v>3</v>
      </c>
      <c r="I7" s="160"/>
      <c r="J7" s="166"/>
      <c r="K7" s="161">
        <v>2</v>
      </c>
      <c r="L7" s="162"/>
      <c r="M7" s="163"/>
      <c r="N7" s="163"/>
      <c r="O7" s="163"/>
      <c r="P7" s="163"/>
      <c r="Q7" s="163"/>
      <c r="R7" s="158"/>
      <c r="S7" s="164"/>
    </row>
    <row r="8" spans="1:19" ht="21" customHeight="1" x14ac:dyDescent="0.15">
      <c r="A8" s="12">
        <v>644</v>
      </c>
      <c r="B8" s="157" t="s">
        <v>258</v>
      </c>
      <c r="C8" s="158" t="s">
        <v>314</v>
      </c>
      <c r="D8" s="165" t="s">
        <v>317</v>
      </c>
      <c r="E8" s="159">
        <f t="shared" si="2"/>
        <v>19</v>
      </c>
      <c r="F8" s="120" t="s">
        <v>318</v>
      </c>
      <c r="G8" s="55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滑瓢 ショウキ</v>
      </c>
      <c r="H8" s="160">
        <v>3</v>
      </c>
      <c r="I8" s="160"/>
      <c r="J8" s="166"/>
      <c r="K8" s="161">
        <v>1</v>
      </c>
      <c r="L8" s="162"/>
      <c r="M8" s="163"/>
      <c r="N8" s="163"/>
      <c r="O8" s="163"/>
      <c r="P8" s="163"/>
      <c r="Q8" s="163"/>
      <c r="R8" s="158"/>
      <c r="S8" s="164"/>
    </row>
    <row r="9" spans="1:19" ht="21" customHeight="1" x14ac:dyDescent="0.15">
      <c r="A9" s="12">
        <v>645</v>
      </c>
      <c r="B9" s="157" t="s">
        <v>258</v>
      </c>
      <c r="C9" s="158" t="s">
        <v>315</v>
      </c>
      <c r="D9" s="165" t="s">
        <v>317</v>
      </c>
      <c r="E9" s="159">
        <f t="shared" ref="E9" si="3">LEN(D9)</f>
        <v>19</v>
      </c>
      <c r="F9" s="120" t="s">
        <v>318</v>
      </c>
      <c r="G9" s="55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百鬼夜行の創大将 ショウキ</v>
      </c>
      <c r="H9" s="160">
        <v>3</v>
      </c>
      <c r="I9" s="160"/>
      <c r="J9" s="166"/>
      <c r="K9" s="161">
        <v>2</v>
      </c>
      <c r="L9" s="162"/>
      <c r="M9" s="163"/>
      <c r="N9" s="163"/>
      <c r="O9" s="163"/>
      <c r="P9" s="163"/>
      <c r="Q9" s="163"/>
      <c r="R9" s="158"/>
      <c r="S9" s="164"/>
    </row>
  </sheetData>
  <sheetProtection selectLockedCells="1" selectUnlockedCells="1"/>
  <autoFilter ref="A1:J1"/>
  <phoneticPr fontId="22"/>
  <conditionalFormatting sqref="E2 E4 E6:E7">
    <cfRule type="cellIs" dxfId="26" priority="3" operator="greaterThan">
      <formula>41</formula>
    </cfRule>
  </conditionalFormatting>
  <conditionalFormatting sqref="E3 E5">
    <cfRule type="cellIs" dxfId="25" priority="2" operator="greaterThan">
      <formula>41</formula>
    </cfRule>
  </conditionalFormatting>
  <conditionalFormatting sqref="E8:E9">
    <cfRule type="cellIs" dxfId="24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9"/>
  <sheetViews>
    <sheetView topLeftCell="A9" workbookViewId="0">
      <selection activeCell="F34" sqref="F34"/>
    </sheetView>
  </sheetViews>
  <sheetFormatPr baseColWidth="12" defaultRowHeight="15" outlineLevelCol="1" x14ac:dyDescent="0.15"/>
  <cols>
    <col min="2" max="2" width="12.83203125" style="137"/>
    <col min="4" max="4" width="12.83203125" style="137" customWidth="1" outlineLevel="1"/>
    <col min="5" max="5" width="12.83203125" style="137"/>
    <col min="8" max="8" width="24.33203125" customWidth="1"/>
  </cols>
  <sheetData>
    <row r="1" spans="1:8" x14ac:dyDescent="0.15">
      <c r="A1" s="117" t="s">
        <v>191</v>
      </c>
      <c r="B1" s="136" t="s">
        <v>192</v>
      </c>
      <c r="C1" s="117" t="s">
        <v>193</v>
      </c>
      <c r="D1" s="136" t="s">
        <v>195</v>
      </c>
      <c r="E1" s="136" t="s">
        <v>196</v>
      </c>
      <c r="F1" s="115" t="s">
        <v>197</v>
      </c>
      <c r="G1" s="117" t="s">
        <v>194</v>
      </c>
      <c r="H1" s="115" t="s">
        <v>198</v>
      </c>
    </row>
    <row r="2" spans="1:8" x14ac:dyDescent="0.15">
      <c r="A2" s="172">
        <v>646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雪女 ユキ</v>
      </c>
      <c r="C2" s="173" t="s">
        <v>267</v>
      </c>
      <c r="D2" s="174"/>
      <c r="E2" s="175" t="str">
        <f>A2&amp;+(COUNTIF(A$2:A2,A2)-1)</f>
        <v>6460</v>
      </c>
      <c r="F2" s="160" t="s">
        <v>268</v>
      </c>
      <c r="G2" s="160" t="str">
        <f>VLOOKUP(E2,unit_serifs_i18n!C:F,3,FALSE)</f>
        <v>maru</v>
      </c>
      <c r="H2" s="176" t="str">
        <f>VLOOKUP(E2,unit_serifs_i18n!C:F,4,FALSE)</f>
        <v>頭上に気をつけてね？</v>
      </c>
    </row>
    <row r="3" spans="1:8" x14ac:dyDescent="0.15">
      <c r="A3" s="172">
        <v>646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雪女 ユキ</v>
      </c>
      <c r="C3" s="173" t="s">
        <v>277</v>
      </c>
      <c r="D3" s="174"/>
      <c r="E3" s="175" t="str">
        <f>A3&amp;+(COUNTIF(A$2:A3,A3)-1)</f>
        <v>6461</v>
      </c>
      <c r="F3" s="160" t="s">
        <v>268</v>
      </c>
      <c r="G3" s="160" t="str">
        <f>VLOOKUP(E3,unit_serifs_i18n!C:F,3,FALSE)</f>
        <v>maru</v>
      </c>
      <c r="H3" s="176" t="str">
        <f>VLOOKUP(E3,unit_serifs_i18n!C:F,4,FALSE)</f>
        <v>私のこと好き？</v>
      </c>
    </row>
    <row r="4" spans="1:8" x14ac:dyDescent="0.15">
      <c r="A4" s="172">
        <v>646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雪女 ユキ</v>
      </c>
      <c r="C4" s="173" t="s">
        <v>277</v>
      </c>
      <c r="D4" s="174"/>
      <c r="E4" s="175" t="str">
        <f>A4&amp;+(COUNTIF(A$2:A4,A4)-1)</f>
        <v>6462</v>
      </c>
      <c r="F4" s="160" t="s">
        <v>268</v>
      </c>
      <c r="G4" s="160" t="str">
        <f>VLOOKUP(E4,unit_serifs_i18n!C:F,3,FALSE)</f>
        <v>maru</v>
      </c>
      <c r="H4" s="176" t="str">
        <f>VLOOKUP(E4,unit_serifs_i18n!C:F,4,FALSE)</f>
        <v>逃がさない…</v>
      </c>
    </row>
    <row r="5" spans="1:8" x14ac:dyDescent="0.15">
      <c r="A5" s="172">
        <v>647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氷麗の雪化生 ユキ</v>
      </c>
      <c r="C5" s="173" t="s">
        <v>267</v>
      </c>
      <c r="D5" s="174"/>
      <c r="E5" s="175" t="str">
        <f>A5&amp;+(COUNTIF(A$2:A5,A5)-1)</f>
        <v>6470</v>
      </c>
      <c r="F5" s="160" t="s">
        <v>268</v>
      </c>
      <c r="G5" s="160" t="str">
        <f>VLOOKUP(E5,unit_serifs_i18n!C:F,3,FALSE)</f>
        <v>maru</v>
      </c>
      <c r="H5" s="176" t="str">
        <f>VLOOKUP(E5,unit_serifs_i18n!C:F,4,FALSE)</f>
        <v>いつまでも愛してあげる…</v>
      </c>
    </row>
    <row r="6" spans="1:8" x14ac:dyDescent="0.15">
      <c r="A6" s="172">
        <v>647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氷麗の雪化生 ユキ</v>
      </c>
      <c r="C6" s="173" t="s">
        <v>278</v>
      </c>
      <c r="D6" s="174"/>
      <c r="E6" s="175" t="str">
        <f>A6&amp;+(COUNTIF(A$2:A6,A6)-1)</f>
        <v>6471</v>
      </c>
      <c r="F6" s="160" t="s">
        <v>268</v>
      </c>
      <c r="G6" s="160" t="str">
        <f>VLOOKUP(E6,unit_serifs_i18n!C:F,3,FALSE)</f>
        <v>maru</v>
      </c>
      <c r="H6" s="176" t="str">
        <f>VLOOKUP(E6,unit_serifs_i18n!C:F,4,FALSE)</f>
        <v>愛してくれる？</v>
      </c>
    </row>
    <row r="7" spans="1:8" x14ac:dyDescent="0.15">
      <c r="A7" s="172">
        <v>647</v>
      </c>
      <c r="B7" s="55" t="str">
        <f ca="1">VLOOKUP($A7,OFFSET([1]characters!$A$1,0,0,COUNTA([1]characters!$A:$A),MATCH(B$1,[1]characters!$1:$1,0)-MATCH($A$1,[1]characters!$1:$1,0)+1),MATCH(B$1,[1]characters!$1:$1,0)-MATCH($A$1,[1]characters!$1:$1,0)+1,FALSE)</f>
        <v>氷麗の雪化生 ユキ</v>
      </c>
      <c r="C7" s="173" t="s">
        <v>278</v>
      </c>
      <c r="D7" s="174"/>
      <c r="E7" s="175" t="str">
        <f>E3</f>
        <v>6461</v>
      </c>
      <c r="F7" s="160" t="s">
        <v>268</v>
      </c>
      <c r="G7" s="160" t="str">
        <f>VLOOKUP(E7,unit_serifs_i18n!C:F,3,FALSE)</f>
        <v>maru</v>
      </c>
      <c r="H7" s="176" t="str">
        <f>VLOOKUP(E7,unit_serifs_i18n!C:F,4,FALSE)</f>
        <v>私のこと好き？</v>
      </c>
    </row>
    <row r="8" spans="1:8" x14ac:dyDescent="0.15">
      <c r="A8" s="172">
        <v>647</v>
      </c>
      <c r="B8" s="55" t="str">
        <f ca="1">VLOOKUP($A8,OFFSET([1]characters!$A$1,0,0,COUNTA([1]characters!$A:$A),MATCH(B$1,[1]characters!$1:$1,0)-MATCH($A$1,[1]characters!$1:$1,0)+1),MATCH(B$1,[1]characters!$1:$1,0)-MATCH($A$1,[1]characters!$1:$1,0)+1,FALSE)</f>
        <v>氷麗の雪化生 ユキ</v>
      </c>
      <c r="C8" s="173" t="s">
        <v>278</v>
      </c>
      <c r="D8" s="174"/>
      <c r="E8" s="175" t="str">
        <f>E4</f>
        <v>6462</v>
      </c>
      <c r="F8" s="160" t="s">
        <v>268</v>
      </c>
      <c r="G8" s="160" t="str">
        <f>VLOOKUP(E8,unit_serifs_i18n!C:F,3,FALSE)</f>
        <v>maru</v>
      </c>
      <c r="H8" s="176" t="str">
        <f>VLOOKUP(E8,unit_serifs_i18n!C:F,4,FALSE)</f>
        <v>逃がさない…</v>
      </c>
    </row>
    <row r="9" spans="1:8" x14ac:dyDescent="0.15">
      <c r="A9" s="172">
        <v>650</v>
      </c>
      <c r="B9" s="55" t="str">
        <f ca="1">VLOOKUP($A9,OFFSET([1]characters!$A$1,0,0,COUNTA([1]characters!$A:$A),MATCH(B$1,[1]characters!$1:$1,0)-MATCH($A$1,[1]characters!$1:$1,0)+1),MATCH(B$1,[1]characters!$1:$1,0)-MATCH($A$1,[1]characters!$1:$1,0)+1,FALSE)</f>
        <v>土蜘蛛 ユウヤ</v>
      </c>
      <c r="C9" s="173" t="s">
        <v>267</v>
      </c>
      <c r="D9" s="174"/>
      <c r="E9" s="175" t="str">
        <f>A9&amp;+(COUNTIF(A$2:A9,A9)-1)</f>
        <v>6500</v>
      </c>
      <c r="F9" s="160" t="s">
        <v>268</v>
      </c>
      <c r="G9" s="160" t="str">
        <f>VLOOKUP(E9,unit_serifs_i18n!C:F,3,FALSE)</f>
        <v>giza</v>
      </c>
      <c r="H9" s="176" t="str">
        <f>VLOOKUP(E9,unit_serifs_i18n!C:F,4,FALSE)</f>
        <v>覚悟しやがれ！！</v>
      </c>
    </row>
    <row r="10" spans="1:8" x14ac:dyDescent="0.15">
      <c r="A10" s="172">
        <v>650</v>
      </c>
      <c r="B10" s="55" t="str">
        <f ca="1">VLOOKUP($A10,OFFSET([1]characters!$A$1,0,0,COUNTA([1]characters!$A:$A),MATCH(B$1,[1]characters!$1:$1,0)-MATCH($A$1,[1]characters!$1:$1,0)+1),MATCH(B$1,[1]characters!$1:$1,0)-MATCH($A$1,[1]characters!$1:$1,0)+1,FALSE)</f>
        <v>土蜘蛛 ユウヤ</v>
      </c>
      <c r="C10" s="173" t="s">
        <v>277</v>
      </c>
      <c r="D10" s="174"/>
      <c r="E10" s="175" t="str">
        <f>A10&amp;+(COUNTIF(A$2:A10,A10)-1)</f>
        <v>6501</v>
      </c>
      <c r="F10" s="160" t="s">
        <v>268</v>
      </c>
      <c r="G10" s="160" t="str">
        <f>VLOOKUP(E10,unit_serifs_i18n!C:F,3,FALSE)</f>
        <v>giza</v>
      </c>
      <c r="H10" s="176" t="str">
        <f>VLOOKUP(E10,unit_serifs_i18n!C:F,4,FALSE)</f>
        <v>やるぜェ！！</v>
      </c>
    </row>
    <row r="11" spans="1:8" x14ac:dyDescent="0.15">
      <c r="A11" s="172">
        <v>650</v>
      </c>
      <c r="B11" s="55" t="str">
        <f ca="1">VLOOKUP($A11,OFFSET([1]characters!$A$1,0,0,COUNTA([1]characters!$A:$A),MATCH(B$1,[1]characters!$1:$1,0)-MATCH($A$1,[1]characters!$1:$1,0)+1),MATCH(B$1,[1]characters!$1:$1,0)-MATCH($A$1,[1]characters!$1:$1,0)+1,FALSE)</f>
        <v>土蜘蛛 ユウヤ</v>
      </c>
      <c r="C11" s="173" t="s">
        <v>277</v>
      </c>
      <c r="D11" s="174"/>
      <c r="E11" s="175" t="str">
        <f>A11&amp;+(COUNTIF(A$2:A11,A11)-1)</f>
        <v>6502</v>
      </c>
      <c r="F11" s="160" t="s">
        <v>268</v>
      </c>
      <c r="G11" s="160" t="str">
        <f>VLOOKUP(E11,unit_serifs_i18n!C:F,3,FALSE)</f>
        <v>giza</v>
      </c>
      <c r="H11" s="176" t="str">
        <f>VLOOKUP(E11,unit_serifs_i18n!C:F,4,FALSE)</f>
        <v>オラオラどうしたァ！！！</v>
      </c>
    </row>
    <row r="12" spans="1:8" x14ac:dyDescent="0.15">
      <c r="A12" s="172">
        <v>651</v>
      </c>
      <c r="B12" s="55" t="str">
        <f ca="1">VLOOKUP($A12,OFFSET([1]characters!$A$1,0,0,COUNTA([1]characters!$A:$A),MATCH(B$1,[1]characters!$1:$1,0)-MATCH($A$1,[1]characters!$1:$1,0)+1),MATCH(B$1,[1]characters!$1:$1,0)-MATCH($A$1,[1]characters!$1:$1,0)+1,FALSE)</f>
        <v>八重祟障 ユウヤ</v>
      </c>
      <c r="C12" s="173" t="s">
        <v>267</v>
      </c>
      <c r="D12" s="174"/>
      <c r="E12" s="175" t="str">
        <f>A12&amp;+(COUNTIF(A$2:A12,A12)-1)</f>
        <v>6510</v>
      </c>
      <c r="F12" s="160" t="s">
        <v>268</v>
      </c>
      <c r="G12" s="160" t="str">
        <f>VLOOKUP(E12,unit_serifs_i18n!C:F,3,FALSE)</f>
        <v>giza</v>
      </c>
      <c r="H12" s="176" t="str">
        <f>VLOOKUP(E12,unit_serifs_i18n!C:F,4,FALSE)</f>
        <v>クソッ…マジでブッ飛ばす！！</v>
      </c>
    </row>
    <row r="13" spans="1:8" x14ac:dyDescent="0.15">
      <c r="A13" s="172">
        <v>651</v>
      </c>
      <c r="B13" s="55" t="str">
        <f ca="1">VLOOKUP($A13,OFFSET([1]characters!$A$1,0,0,COUNTA([1]characters!$A:$A),MATCH(B$1,[1]characters!$1:$1,0)-MATCH($A$1,[1]characters!$1:$1,0)+1),MATCH(B$1,[1]characters!$1:$1,0)-MATCH($A$1,[1]characters!$1:$1,0)+1,FALSE)</f>
        <v>八重祟障 ユウヤ</v>
      </c>
      <c r="C13" s="173" t="s">
        <v>278</v>
      </c>
      <c r="D13" s="174"/>
      <c r="E13" s="175" t="str">
        <f>A13&amp;+(COUNTIF(A$2:A13,A13)-1)</f>
        <v>6511</v>
      </c>
      <c r="F13" s="160" t="s">
        <v>268</v>
      </c>
      <c r="G13" s="160" t="str">
        <f>VLOOKUP(E13,unit_serifs_i18n!C:F,3,FALSE)</f>
        <v>giza</v>
      </c>
      <c r="H13" s="176" t="str">
        <f>VLOOKUP(E13,unit_serifs_i18n!C:F,4,FALSE)</f>
        <v>調子乗ってんじゃねーぞ！</v>
      </c>
    </row>
    <row r="14" spans="1:8" x14ac:dyDescent="0.15">
      <c r="A14" s="172">
        <v>651</v>
      </c>
      <c r="B14" s="55" t="str">
        <f ca="1">VLOOKUP($A14,OFFSET([1]characters!$A$1,0,0,COUNTA([1]characters!$A:$A),MATCH(B$1,[1]characters!$1:$1,0)-MATCH($A$1,[1]characters!$1:$1,0)+1),MATCH(B$1,[1]characters!$1:$1,0)-MATCH($A$1,[1]characters!$1:$1,0)+1,FALSE)</f>
        <v>八重祟障 ユウヤ</v>
      </c>
      <c r="C14" s="173" t="s">
        <v>278</v>
      </c>
      <c r="D14" s="174"/>
      <c r="E14" s="175" t="str">
        <f>E10</f>
        <v>6501</v>
      </c>
      <c r="F14" s="160" t="s">
        <v>268</v>
      </c>
      <c r="G14" s="160" t="str">
        <f>VLOOKUP(E14,unit_serifs_i18n!C:F,3,FALSE)</f>
        <v>giza</v>
      </c>
      <c r="H14" s="176" t="str">
        <f>VLOOKUP(E14,unit_serifs_i18n!C:F,4,FALSE)</f>
        <v>やるぜェ！！</v>
      </c>
    </row>
    <row r="15" spans="1:8" x14ac:dyDescent="0.15">
      <c r="A15" s="172">
        <v>651</v>
      </c>
      <c r="B15" s="55" t="str">
        <f ca="1">VLOOKUP($A15,OFFSET([1]characters!$A$1,0,0,COUNTA([1]characters!$A:$A),MATCH(B$1,[1]characters!$1:$1,0)-MATCH($A$1,[1]characters!$1:$1,0)+1),MATCH(B$1,[1]characters!$1:$1,0)-MATCH($A$1,[1]characters!$1:$1,0)+1,FALSE)</f>
        <v>八重祟障 ユウヤ</v>
      </c>
      <c r="C15" s="173" t="s">
        <v>278</v>
      </c>
      <c r="D15" s="174"/>
      <c r="E15" s="175" t="str">
        <f>E11</f>
        <v>6502</v>
      </c>
      <c r="F15" s="160" t="s">
        <v>268</v>
      </c>
      <c r="G15" s="160" t="str">
        <f>VLOOKUP(E15,unit_serifs_i18n!C:F,3,FALSE)</f>
        <v>giza</v>
      </c>
      <c r="H15" s="176" t="str">
        <f>VLOOKUP(E15,unit_serifs_i18n!C:F,4,FALSE)</f>
        <v>オラオラどうしたァ！！！</v>
      </c>
    </row>
    <row r="16" spans="1:8" x14ac:dyDescent="0.15">
      <c r="A16" s="172">
        <v>654</v>
      </c>
      <c r="B16" s="55" t="str">
        <f ca="1">VLOOKUP($A16,OFFSET([1]characters!$A$1,0,0,COUNTA([1]characters!$A:$A),MATCH(B$1,[1]characters!$1:$1,0)-MATCH($A$1,[1]characters!$1:$1,0)+1),MATCH(B$1,[1]characters!$1:$1,0)-MATCH($A$1,[1]characters!$1:$1,0)+1,FALSE)</f>
        <v>酒呑童子 ヨミ</v>
      </c>
      <c r="C16" s="173" t="s">
        <v>267</v>
      </c>
      <c r="D16" s="174"/>
      <c r="E16" s="175" t="str">
        <f>A16&amp;+(COUNTIF(A$2:A16,A16)-1)</f>
        <v>6540</v>
      </c>
      <c r="F16" s="160" t="s">
        <v>268</v>
      </c>
      <c r="G16" s="160" t="str">
        <f>VLOOKUP(E16,unit_serifs_i18n!C:F,3,FALSE)</f>
        <v>maru</v>
      </c>
      <c r="H16" s="176" t="str">
        <f>VLOOKUP(E16,unit_serifs_i18n!C:F,4,FALSE)</f>
        <v>本気でいくわよ…！</v>
      </c>
    </row>
    <row r="17" spans="1:8" x14ac:dyDescent="0.15">
      <c r="A17" s="172">
        <v>654</v>
      </c>
      <c r="B17" s="55" t="str">
        <f ca="1">VLOOKUP($A17,OFFSET([1]characters!$A$1,0,0,COUNTA([1]characters!$A:$A),MATCH(B$1,[1]characters!$1:$1,0)-MATCH($A$1,[1]characters!$1:$1,0)+1),MATCH(B$1,[1]characters!$1:$1,0)-MATCH($A$1,[1]characters!$1:$1,0)+1,FALSE)</f>
        <v>酒呑童子 ヨミ</v>
      </c>
      <c r="C17" s="173" t="s">
        <v>277</v>
      </c>
      <c r="D17" s="174"/>
      <c r="E17" s="175" t="str">
        <f>A17&amp;+(COUNTIF(A$2:A17,A17)-1)</f>
        <v>6541</v>
      </c>
      <c r="F17" s="160" t="s">
        <v>268</v>
      </c>
      <c r="G17" s="160" t="str">
        <f>VLOOKUP(E17,unit_serifs_i18n!C:F,3,FALSE)</f>
        <v>giza</v>
      </c>
      <c r="H17" s="176" t="str">
        <f>VLOOKUP(E17,unit_serifs_i18n!C:F,4,FALSE)</f>
        <v>叩き切るわ！</v>
      </c>
    </row>
    <row r="18" spans="1:8" x14ac:dyDescent="0.15">
      <c r="A18" s="172">
        <v>654</v>
      </c>
      <c r="B18" s="55" t="str">
        <f ca="1">VLOOKUP($A18,OFFSET([1]characters!$A$1,0,0,COUNTA([1]characters!$A:$A),MATCH(B$1,[1]characters!$1:$1,0)-MATCH($A$1,[1]characters!$1:$1,0)+1),MATCH(B$1,[1]characters!$1:$1,0)-MATCH($A$1,[1]characters!$1:$1,0)+1,FALSE)</f>
        <v>酒呑童子 ヨミ</v>
      </c>
      <c r="C18" s="173" t="s">
        <v>277</v>
      </c>
      <c r="D18" s="174"/>
      <c r="E18" s="175" t="str">
        <f>A18&amp;+(COUNTIF(A$2:A18,A18)-1)</f>
        <v>6542</v>
      </c>
      <c r="F18" s="160" t="s">
        <v>268</v>
      </c>
      <c r="G18" s="160" t="str">
        <f>VLOOKUP(E18,unit_serifs_i18n!C:F,3,FALSE)</f>
        <v>giza</v>
      </c>
      <c r="H18" s="176" t="str">
        <f>VLOOKUP(E18,unit_serifs_i18n!C:F,4,FALSE)</f>
        <v>喰らいなさい！</v>
      </c>
    </row>
    <row r="19" spans="1:8" x14ac:dyDescent="0.15">
      <c r="A19" s="172">
        <v>655</v>
      </c>
      <c r="B19" s="55" t="str">
        <f ca="1">VLOOKUP($A19,OFFSET([1]characters!$A$1,0,0,COUNTA([1]characters!$A:$A),MATCH(B$1,[1]characters!$1:$1,0)-MATCH($A$1,[1]characters!$1:$1,0)+1),MATCH(B$1,[1]characters!$1:$1,0)-MATCH($A$1,[1]characters!$1:$1,0)+1,FALSE)</f>
        <v>桜花舞う嵐鬼神 ヨミ</v>
      </c>
      <c r="C19" s="173" t="s">
        <v>267</v>
      </c>
      <c r="D19" s="174"/>
      <c r="E19" s="175" t="str">
        <f>A19&amp;+(COUNTIF(A$2:A19,A19)-1)</f>
        <v>6550</v>
      </c>
      <c r="F19" s="160" t="s">
        <v>268</v>
      </c>
      <c r="G19" s="160" t="str">
        <f>VLOOKUP(E19,unit_serifs_i18n!C:F,3,FALSE)</f>
        <v>maru</v>
      </c>
      <c r="H19" s="176" t="str">
        <f>VLOOKUP(E19,unit_serifs_i18n!C:F,4,FALSE)</f>
        <v>これで終わらせるわ…！</v>
      </c>
    </row>
    <row r="20" spans="1:8" x14ac:dyDescent="0.15">
      <c r="A20" s="172">
        <v>655</v>
      </c>
      <c r="B20" s="55" t="str">
        <f ca="1">VLOOKUP($A20,OFFSET([1]characters!$A$1,0,0,COUNTA([1]characters!$A:$A),MATCH(B$1,[1]characters!$1:$1,0)-MATCH($A$1,[1]characters!$1:$1,0)+1),MATCH(B$1,[1]characters!$1:$1,0)-MATCH($A$1,[1]characters!$1:$1,0)+1,FALSE)</f>
        <v>桜花舞う嵐鬼神 ヨミ</v>
      </c>
      <c r="C20" s="173" t="s">
        <v>278</v>
      </c>
      <c r="D20" s="174"/>
      <c r="E20" s="175" t="str">
        <f>A20&amp;+(COUNTIF(A$2:A20,A20)-1)</f>
        <v>6551</v>
      </c>
      <c r="F20" s="160" t="s">
        <v>268</v>
      </c>
      <c r="G20" s="160" t="str">
        <f>VLOOKUP(E20,unit_serifs_i18n!C:F,3,FALSE)</f>
        <v>giza</v>
      </c>
      <c r="H20" s="176" t="str">
        <f>VLOOKUP(E20,unit_serifs_i18n!C:F,4,FALSE)</f>
        <v>あんた邪魔よ！</v>
      </c>
    </row>
    <row r="21" spans="1:8" x14ac:dyDescent="0.15">
      <c r="A21" s="172">
        <v>655</v>
      </c>
      <c r="B21" s="55" t="str">
        <f ca="1">VLOOKUP($A21,OFFSET([1]characters!$A$1,0,0,COUNTA([1]characters!$A:$A),MATCH(B$1,[1]characters!$1:$1,0)-MATCH($A$1,[1]characters!$1:$1,0)+1),MATCH(B$1,[1]characters!$1:$1,0)-MATCH($A$1,[1]characters!$1:$1,0)+1,FALSE)</f>
        <v>桜花舞う嵐鬼神 ヨミ</v>
      </c>
      <c r="C21" s="173" t="s">
        <v>278</v>
      </c>
      <c r="D21" s="174"/>
      <c r="E21" s="175" t="str">
        <f>E17</f>
        <v>6541</v>
      </c>
      <c r="F21" s="160" t="s">
        <v>268</v>
      </c>
      <c r="G21" s="160" t="str">
        <f>VLOOKUP(E21,unit_serifs_i18n!C:F,3,FALSE)</f>
        <v>giza</v>
      </c>
      <c r="H21" s="176" t="str">
        <f>VLOOKUP(E21,unit_serifs_i18n!C:F,4,FALSE)</f>
        <v>叩き切るわ！</v>
      </c>
    </row>
    <row r="22" spans="1:8" x14ac:dyDescent="0.15">
      <c r="A22" s="172">
        <v>655</v>
      </c>
      <c r="B22" s="55" t="str">
        <f ca="1">VLOOKUP($A22,OFFSET([1]characters!$A$1,0,0,COUNTA([1]characters!$A:$A),MATCH(B$1,[1]characters!$1:$1,0)-MATCH($A$1,[1]characters!$1:$1,0)+1),MATCH(B$1,[1]characters!$1:$1,0)-MATCH($A$1,[1]characters!$1:$1,0)+1,FALSE)</f>
        <v>桜花舞う嵐鬼神 ヨミ</v>
      </c>
      <c r="C22" s="173" t="s">
        <v>278</v>
      </c>
      <c r="D22" s="174"/>
      <c r="E22" s="175" t="str">
        <f>E18</f>
        <v>6542</v>
      </c>
      <c r="F22" s="160" t="s">
        <v>268</v>
      </c>
      <c r="G22" s="160" t="str">
        <f>VLOOKUP(E22,unit_serifs_i18n!C:F,3,FALSE)</f>
        <v>giza</v>
      </c>
      <c r="H22" s="176" t="str">
        <f>VLOOKUP(E22,unit_serifs_i18n!C:F,4,FALSE)</f>
        <v>喰らいなさい！</v>
      </c>
    </row>
    <row r="23" spans="1:8" x14ac:dyDescent="0.15">
      <c r="A23" s="172">
        <v>644</v>
      </c>
      <c r="B23" s="55" t="str">
        <f ca="1">VLOOKUP($A23,OFFSET([1]characters!$A$1,0,0,COUNTA([1]characters!$A:$A),MATCH(B$1,[1]characters!$1:$1,0)-MATCH($A$1,[1]characters!$1:$1,0)+1),MATCH(B$1,[1]characters!$1:$1,0)-MATCH($A$1,[1]characters!$1:$1,0)+1,FALSE)</f>
        <v>滑瓢 ショウキ</v>
      </c>
      <c r="C23" s="173" t="s">
        <v>267</v>
      </c>
      <c r="D23" s="174"/>
      <c r="E23" s="175" t="str">
        <f>A23&amp;+(COUNTIF(A$2:A23,A23)-1)</f>
        <v>6440</v>
      </c>
      <c r="F23" s="160" t="s">
        <v>268</v>
      </c>
      <c r="G23" s="160" t="str">
        <f>VLOOKUP(E23,unit_serifs_i18n!C:F,3,FALSE)</f>
        <v>maru</v>
      </c>
      <c r="H23" s="176" t="str">
        <f>VLOOKUP(E23,unit_serifs_i18n!C:F,4,FALSE)</f>
        <v>出し惜しみはナシでいくぜ？</v>
      </c>
    </row>
    <row r="24" spans="1:8" x14ac:dyDescent="0.15">
      <c r="A24" s="172">
        <v>644</v>
      </c>
      <c r="B24" s="55" t="str">
        <f ca="1">VLOOKUP($A24,OFFSET([1]characters!$A$1,0,0,COUNTA([1]characters!$A:$A),MATCH(B$1,[1]characters!$1:$1,0)-MATCH($A$1,[1]characters!$1:$1,0)+1),MATCH(B$1,[1]characters!$1:$1,0)-MATCH($A$1,[1]characters!$1:$1,0)+1,FALSE)</f>
        <v>滑瓢 ショウキ</v>
      </c>
      <c r="C24" s="173" t="s">
        <v>277</v>
      </c>
      <c r="D24" s="174"/>
      <c r="E24" s="175" t="str">
        <f>A24&amp;+(COUNTIF(A$2:A24,A24)-1)</f>
        <v>6441</v>
      </c>
      <c r="F24" s="160" t="s">
        <v>268</v>
      </c>
      <c r="G24" s="160" t="str">
        <f>VLOOKUP(E24,unit_serifs_i18n!C:F,3,FALSE)</f>
        <v>maru</v>
      </c>
      <c r="H24" s="176" t="str">
        <f>VLOOKUP(E24,unit_serifs_i18n!C:F,4,FALSE)</f>
        <v>さぁ　詰めていくぞ</v>
      </c>
    </row>
    <row r="25" spans="1:8" x14ac:dyDescent="0.15">
      <c r="A25" s="172">
        <v>644</v>
      </c>
      <c r="B25" s="55" t="str">
        <f ca="1">VLOOKUP($A25,OFFSET([1]characters!$A$1,0,0,COUNTA([1]characters!$A:$A),MATCH(B$1,[1]characters!$1:$1,0)-MATCH($A$1,[1]characters!$1:$1,0)+1),MATCH(B$1,[1]characters!$1:$1,0)-MATCH($A$1,[1]characters!$1:$1,0)+1,FALSE)</f>
        <v>滑瓢 ショウキ</v>
      </c>
      <c r="C25" s="173" t="s">
        <v>277</v>
      </c>
      <c r="D25" s="174"/>
      <c r="E25" s="175" t="str">
        <f>A25&amp;+(COUNTIF(A$2:A25,A25)-1)</f>
        <v>6442</v>
      </c>
      <c r="F25" s="160" t="s">
        <v>268</v>
      </c>
      <c r="G25" s="160" t="str">
        <f>VLOOKUP(E25,unit_serifs_i18n!C:F,3,FALSE)</f>
        <v>maru</v>
      </c>
      <c r="H25" s="176" t="str">
        <f>VLOOKUP(E25,unit_serifs_i18n!C:F,4,FALSE)</f>
        <v>こいつでお寝んねしてな！</v>
      </c>
    </row>
    <row r="26" spans="1:8" x14ac:dyDescent="0.15">
      <c r="A26" s="172">
        <v>645</v>
      </c>
      <c r="B26" s="55" t="str">
        <f ca="1">VLOOKUP($A26,OFFSET([1]characters!$A$1,0,0,COUNTA([1]characters!$A:$A),MATCH(B$1,[1]characters!$1:$1,0)-MATCH($A$1,[1]characters!$1:$1,0)+1),MATCH(B$1,[1]characters!$1:$1,0)-MATCH($A$1,[1]characters!$1:$1,0)+1,FALSE)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6" s="173" t="s">
        <v>267</v>
      </c>
      <c r="D26" s="174"/>
      <c r="E26" s="175" t="str">
        <f>A26&amp;+(COUNTIF(A$2:A26,A26)-1)</f>
        <v>6450</v>
      </c>
      <c r="F26" s="160" t="s">
        <v>268</v>
      </c>
      <c r="G26" s="160" t="str">
        <f>VLOOKUP(E26,unit_serifs_i18n!C:F,3,FALSE)</f>
        <v>giza</v>
      </c>
      <c r="H26" s="176" t="str">
        <f>VLOOKUP(E26,unit_serifs_i18n!C:F,4,FALSE)</f>
        <v>百鬼夜行で歓迎してやろう！</v>
      </c>
    </row>
    <row r="27" spans="1:8" x14ac:dyDescent="0.15">
      <c r="A27" s="172">
        <v>645</v>
      </c>
      <c r="B27" s="55" t="str">
        <f ca="1">VLOOKUP($A27,OFFSET([1]characters!$A$1,0,0,COUNTA([1]characters!$A:$A),MATCH(B$1,[1]characters!$1:$1,0)-MATCH($A$1,[1]characters!$1:$1,0)+1),MATCH(B$1,[1]characters!$1:$1,0)-MATCH($A$1,[1]characters!$1:$1,0)+1,FALSE)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7" s="173" t="s">
        <v>277</v>
      </c>
      <c r="D27" s="174"/>
      <c r="E27" s="175" t="str">
        <f>A27&amp;+(COUNTIF(A$2:A27,A27)-1)</f>
        <v>6451</v>
      </c>
      <c r="F27" s="160" t="s">
        <v>268</v>
      </c>
      <c r="G27" s="160" t="str">
        <f>VLOOKUP(E27,unit_serifs_i18n!C:F,3,FALSE)</f>
        <v>maru</v>
      </c>
      <c r="H27" s="176" t="str">
        <f>VLOOKUP(E27,unit_serifs_i18n!C:F,4,FALSE)</f>
        <v>悪あがきは止めとけよ！</v>
      </c>
    </row>
    <row r="28" spans="1:8" x14ac:dyDescent="0.15">
      <c r="A28" s="172">
        <v>645</v>
      </c>
      <c r="B28" s="55" t="str">
        <f ca="1">VLOOKUP($A28,OFFSET([1]characters!$A$1,0,0,COUNTA([1]characters!$A:$A),MATCH(B$1,[1]characters!$1:$1,0)-MATCH($A$1,[1]characters!$1:$1,0)+1),MATCH(B$1,[1]characters!$1:$1,0)-MATCH($A$1,[1]characters!$1:$1,0)+1,FALSE)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8" s="173" t="s">
        <v>277</v>
      </c>
      <c r="D28" s="174"/>
      <c r="E28" s="175" t="str">
        <f>E24</f>
        <v>6441</v>
      </c>
      <c r="F28" s="160" t="s">
        <v>268</v>
      </c>
      <c r="G28" s="160" t="str">
        <f>VLOOKUP(E28,unit_serifs_i18n!C:F,3,FALSE)</f>
        <v>maru</v>
      </c>
      <c r="H28" s="176" t="str">
        <f>VLOOKUP(E28,unit_serifs_i18n!C:F,4,FALSE)</f>
        <v>さぁ　詰めていくぞ</v>
      </c>
    </row>
    <row r="29" spans="1:8" x14ac:dyDescent="0.15">
      <c r="A29" s="172">
        <v>645</v>
      </c>
      <c r="B29" s="55" t="str">
        <f ca="1">VLOOKUP($A29,OFFSET([1]characters!$A$1,0,0,COUNTA([1]characters!$A:$A),MATCH(B$1,[1]characters!$1:$1,0)-MATCH($A$1,[1]characters!$1:$1,0)+1),MATCH(B$1,[1]characters!$1:$1,0)-MATCH($A$1,[1]characters!$1:$1,0)+1,FALSE)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9" s="173" t="s">
        <v>277</v>
      </c>
      <c r="D29" s="174"/>
      <c r="E29" s="175" t="str">
        <f>E25</f>
        <v>6442</v>
      </c>
      <c r="F29" s="160" t="s">
        <v>268</v>
      </c>
      <c r="G29" s="160" t="str">
        <f>VLOOKUP(E29,unit_serifs_i18n!C:F,3,FALSE)</f>
        <v>maru</v>
      </c>
      <c r="H29" s="176" t="str">
        <f>VLOOKUP(E29,unit_serifs_i18n!C:F,4,FALSE)</f>
        <v>こいつでお寝んねしてな！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F21"/>
  <sheetViews>
    <sheetView workbookViewId="0">
      <selection activeCell="F11" sqref="F11"/>
    </sheetView>
  </sheetViews>
  <sheetFormatPr baseColWidth="12" defaultRowHeight="15" x14ac:dyDescent="0.15"/>
  <cols>
    <col min="6" max="6" width="27.1640625" bestFit="1" customWidth="1"/>
  </cols>
  <sheetData>
    <row r="1" spans="1:6" x14ac:dyDescent="0.15">
      <c r="A1" s="117" t="s">
        <v>269</v>
      </c>
      <c r="B1" s="136" t="s">
        <v>270</v>
      </c>
      <c r="C1" s="115" t="s">
        <v>271</v>
      </c>
      <c r="D1" s="115" t="s">
        <v>272</v>
      </c>
      <c r="E1" s="115" t="s">
        <v>273</v>
      </c>
      <c r="F1" s="115" t="s">
        <v>274</v>
      </c>
    </row>
    <row r="2" spans="1:6" x14ac:dyDescent="0.15">
      <c r="A2" s="177">
        <v>646</v>
      </c>
      <c r="B2" s="178" t="str">
        <f ca="1">VLOOKUP($A2,OFFSET([1]characters!$A$1,0,0,COUNTA([1]characters!$A:$A),MATCH(B$1,[1]characters!$1:$1,0)-MATCH($A$1,[1]characters!$1:$1,0)+1),MATCH(B$1,[1]characters!$1:$1,0)-MATCH($A$1,[1]characters!$1:$1,0)+1,FALSE)</f>
        <v>雪女 ユキ</v>
      </c>
      <c r="C2" s="175" t="str">
        <f>A2&amp;+(COUNTIF(A$2:A2,A2)-1)</f>
        <v>6460</v>
      </c>
      <c r="D2" s="160" t="s">
        <v>275</v>
      </c>
      <c r="E2" s="160" t="s">
        <v>276</v>
      </c>
      <c r="F2" s="114" t="s">
        <v>279</v>
      </c>
    </row>
    <row r="3" spans="1:6" x14ac:dyDescent="0.15">
      <c r="A3" s="177">
        <v>646</v>
      </c>
      <c r="B3" s="178" t="str">
        <f ca="1">VLOOKUP($A3,OFFSET([1]characters!$A$1,0,0,COUNTA([1]characters!$A:$A),MATCH(B$1,[1]characters!$1:$1,0)-MATCH($A$1,[1]characters!$1:$1,0)+1),MATCH(B$1,[1]characters!$1:$1,0)-MATCH($A$1,[1]characters!$1:$1,0)+1,FALSE)</f>
        <v>雪女 ユキ</v>
      </c>
      <c r="C3" s="175" t="str">
        <f>A3&amp;+(COUNTIF(A$2:A3,A3)-1)</f>
        <v>6461</v>
      </c>
      <c r="D3" s="160" t="s">
        <v>275</v>
      </c>
      <c r="E3" s="160" t="s">
        <v>280</v>
      </c>
      <c r="F3" s="114" t="s">
        <v>283</v>
      </c>
    </row>
    <row r="4" spans="1:6" x14ac:dyDescent="0.15">
      <c r="A4" s="177">
        <v>646</v>
      </c>
      <c r="B4" s="178" t="str">
        <f ca="1">VLOOKUP($A4,OFFSET([1]characters!$A$1,0,0,COUNTA([1]characters!$A:$A),MATCH(B$1,[1]characters!$1:$1,0)-MATCH($A$1,[1]characters!$1:$1,0)+1),MATCH(B$1,[1]characters!$1:$1,0)-MATCH($A$1,[1]characters!$1:$1,0)+1,FALSE)</f>
        <v>雪女 ユキ</v>
      </c>
      <c r="C4" s="175" t="str">
        <f>A4&amp;+(COUNTIF(A$2:A4,A4)-1)</f>
        <v>6462</v>
      </c>
      <c r="D4" s="160" t="s">
        <v>275</v>
      </c>
      <c r="E4" s="160" t="s">
        <v>284</v>
      </c>
      <c r="F4" s="114" t="s">
        <v>285</v>
      </c>
    </row>
    <row r="5" spans="1:6" x14ac:dyDescent="0.15">
      <c r="A5" s="177">
        <v>647</v>
      </c>
      <c r="B5" s="178" t="str">
        <f ca="1">VLOOKUP($A5,OFFSET([1]characters!$A$1,0,0,COUNTA([1]characters!$A:$A),MATCH(B$1,[1]characters!$1:$1,0)-MATCH($A$1,[1]characters!$1:$1,0)+1),MATCH(B$1,[1]characters!$1:$1,0)-MATCH($A$1,[1]characters!$1:$1,0)+1,FALSE)</f>
        <v>氷麗の雪化生 ユキ</v>
      </c>
      <c r="C5" s="175" t="str">
        <f>A5&amp;+(COUNTIF(A$2:A5,A5)-1)</f>
        <v>6470</v>
      </c>
      <c r="D5" s="160" t="s">
        <v>275</v>
      </c>
      <c r="E5" s="160" t="s">
        <v>276</v>
      </c>
      <c r="F5" s="114" t="s">
        <v>282</v>
      </c>
    </row>
    <row r="6" spans="1:6" x14ac:dyDescent="0.15">
      <c r="A6" s="177">
        <v>647</v>
      </c>
      <c r="B6" s="178" t="str">
        <f ca="1">VLOOKUP($A6,OFFSET([1]characters!$A$1,0,0,COUNTA([1]characters!$A:$A),MATCH(B$1,[1]characters!$1:$1,0)-MATCH($A$1,[1]characters!$1:$1,0)+1),MATCH(B$1,[1]characters!$1:$1,0)-MATCH($A$1,[1]characters!$1:$1,0)+1,FALSE)</f>
        <v>氷麗の雪化生 ユキ</v>
      </c>
      <c r="C6" s="175" t="str">
        <f>A6&amp;+(COUNTIF(A$2:A6,A6)-1)</f>
        <v>6471</v>
      </c>
      <c r="D6" s="160" t="s">
        <v>275</v>
      </c>
      <c r="E6" s="160" t="s">
        <v>284</v>
      </c>
      <c r="F6" s="114" t="s">
        <v>286</v>
      </c>
    </row>
    <row r="7" spans="1:6" x14ac:dyDescent="0.15">
      <c r="A7" s="177">
        <v>650</v>
      </c>
      <c r="B7" s="178" t="str">
        <f ca="1">VLOOKUP($A7,OFFSET([1]characters!$A$1,0,0,COUNTA([1]characters!$A:$A),MATCH(B$1,[1]characters!$1:$1,0)-MATCH($A$1,[1]characters!$1:$1,0)+1),MATCH(B$1,[1]characters!$1:$1,0)-MATCH($A$1,[1]characters!$1:$1,0)+1,FALSE)</f>
        <v>土蜘蛛 ユウヤ</v>
      </c>
      <c r="C7" s="175" t="str">
        <f>A7&amp;+(COUNTIF(A$2:A7,A7)-1)</f>
        <v>6500</v>
      </c>
      <c r="D7" s="160" t="s">
        <v>258</v>
      </c>
      <c r="E7" s="160" t="s">
        <v>302</v>
      </c>
      <c r="F7" s="114" t="s">
        <v>304</v>
      </c>
    </row>
    <row r="8" spans="1:6" x14ac:dyDescent="0.15">
      <c r="A8" s="177">
        <v>650</v>
      </c>
      <c r="B8" s="178" t="str">
        <f ca="1">VLOOKUP($A8,OFFSET([1]characters!$A$1,0,0,COUNTA([1]characters!$A:$A),MATCH(B$1,[1]characters!$1:$1,0)-MATCH($A$1,[1]characters!$1:$1,0)+1),MATCH(B$1,[1]characters!$1:$1,0)-MATCH($A$1,[1]characters!$1:$1,0)+1,FALSE)</f>
        <v>土蜘蛛 ユウヤ</v>
      </c>
      <c r="C8" s="175" t="str">
        <f>A8&amp;+(COUNTIF(A$2:A8,A8)-1)</f>
        <v>6501</v>
      </c>
      <c r="D8" s="160" t="s">
        <v>258</v>
      </c>
      <c r="E8" s="160" t="s">
        <v>302</v>
      </c>
      <c r="F8" s="114" t="s">
        <v>300</v>
      </c>
    </row>
    <row r="9" spans="1:6" x14ac:dyDescent="0.15">
      <c r="A9" s="177">
        <v>650</v>
      </c>
      <c r="B9" s="178" t="str">
        <f ca="1">VLOOKUP($A9,OFFSET([1]characters!$A$1,0,0,COUNTA([1]characters!$A:$A),MATCH(B$1,[1]characters!$1:$1,0)-MATCH($A$1,[1]characters!$1:$1,0)+1),MATCH(B$1,[1]characters!$1:$1,0)-MATCH($A$1,[1]characters!$1:$1,0)+1,FALSE)</f>
        <v>土蜘蛛 ユウヤ</v>
      </c>
      <c r="C9" s="175" t="str">
        <f>A9&amp;+(COUNTIF(A$2:A9,A9)-1)</f>
        <v>6502</v>
      </c>
      <c r="D9" s="160" t="s">
        <v>258</v>
      </c>
      <c r="E9" s="160" t="s">
        <v>302</v>
      </c>
      <c r="F9" s="114" t="s">
        <v>301</v>
      </c>
    </row>
    <row r="10" spans="1:6" x14ac:dyDescent="0.15">
      <c r="A10" s="177">
        <v>651</v>
      </c>
      <c r="B10" s="178" t="str">
        <f ca="1">VLOOKUP($A10,OFFSET([1]characters!$A$1,0,0,COUNTA([1]characters!$A:$A),MATCH(B$1,[1]characters!$1:$1,0)-MATCH($A$1,[1]characters!$1:$1,0)+1),MATCH(B$1,[1]characters!$1:$1,0)-MATCH($A$1,[1]characters!$1:$1,0)+1,FALSE)</f>
        <v>八重祟障 ユウヤ</v>
      </c>
      <c r="C10" s="175" t="str">
        <f>A10&amp;+(COUNTIF(A$2:A10,A10)-1)</f>
        <v>6510</v>
      </c>
      <c r="D10" s="160" t="s">
        <v>258</v>
      </c>
      <c r="E10" s="160" t="s">
        <v>302</v>
      </c>
      <c r="F10" s="114" t="s">
        <v>305</v>
      </c>
    </row>
    <row r="11" spans="1:6" x14ac:dyDescent="0.15">
      <c r="A11" s="177">
        <v>651</v>
      </c>
      <c r="B11" s="178" t="str">
        <f ca="1">VLOOKUP($A11,OFFSET([1]characters!$A$1,0,0,COUNTA([1]characters!$A:$A),MATCH(B$1,[1]characters!$1:$1,0)-MATCH($A$1,[1]characters!$1:$1,0)+1),MATCH(B$1,[1]characters!$1:$1,0)-MATCH($A$1,[1]characters!$1:$1,0)+1,FALSE)</f>
        <v>八重祟障 ユウヤ</v>
      </c>
      <c r="C11" s="175" t="str">
        <f>A11&amp;+(COUNTIF(A$2:A11,A11)-1)</f>
        <v>6511</v>
      </c>
      <c r="D11" s="160" t="s">
        <v>258</v>
      </c>
      <c r="E11" s="160" t="s">
        <v>302</v>
      </c>
      <c r="F11" s="114" t="s">
        <v>303</v>
      </c>
    </row>
    <row r="12" spans="1:6" x14ac:dyDescent="0.15">
      <c r="A12" s="177">
        <v>654</v>
      </c>
      <c r="B12" s="178" t="str">
        <f ca="1">VLOOKUP($A12,OFFSET([1]characters!$A$1,0,0,COUNTA([1]characters!$A:$A),MATCH(B$1,[1]characters!$1:$1,0)-MATCH($A$1,[1]characters!$1:$1,0)+1),MATCH(B$1,[1]characters!$1:$1,0)-MATCH($A$1,[1]characters!$1:$1,0)+1,FALSE)</f>
        <v>酒呑童子 ヨミ</v>
      </c>
      <c r="C12" s="175" t="str">
        <f>A12&amp;+(COUNTIF(A$2:A12,A12)-1)</f>
        <v>6540</v>
      </c>
      <c r="D12" s="160" t="s">
        <v>258</v>
      </c>
      <c r="E12" s="160" t="s">
        <v>310</v>
      </c>
      <c r="F12" s="114" t="s">
        <v>307</v>
      </c>
    </row>
    <row r="13" spans="1:6" x14ac:dyDescent="0.15">
      <c r="A13" s="177">
        <v>654</v>
      </c>
      <c r="B13" s="178" t="str">
        <f ca="1">VLOOKUP($A13,OFFSET([1]characters!$A$1,0,0,COUNTA([1]characters!$A:$A),MATCH(B$1,[1]characters!$1:$1,0)-MATCH($A$1,[1]characters!$1:$1,0)+1),MATCH(B$1,[1]characters!$1:$1,0)-MATCH($A$1,[1]characters!$1:$1,0)+1,FALSE)</f>
        <v>酒呑童子 ヨミ</v>
      </c>
      <c r="C13" s="175" t="str">
        <f>A13&amp;+(COUNTIF(A$2:A13,A13)-1)</f>
        <v>6541</v>
      </c>
      <c r="D13" s="160" t="s">
        <v>258</v>
      </c>
      <c r="E13" s="160" t="s">
        <v>302</v>
      </c>
      <c r="F13" s="114" t="s">
        <v>309</v>
      </c>
    </row>
    <row r="14" spans="1:6" x14ac:dyDescent="0.15">
      <c r="A14" s="177">
        <v>654</v>
      </c>
      <c r="B14" s="178" t="str">
        <f ca="1">VLOOKUP($A14,OFFSET([1]characters!$A$1,0,0,COUNTA([1]characters!$A:$A),MATCH(B$1,[1]characters!$1:$1,0)-MATCH($A$1,[1]characters!$1:$1,0)+1),MATCH(B$1,[1]characters!$1:$1,0)-MATCH($A$1,[1]characters!$1:$1,0)+1,FALSE)</f>
        <v>酒呑童子 ヨミ</v>
      </c>
      <c r="C14" s="175" t="str">
        <f>A14&amp;+(COUNTIF(A$2:A14,A14)-1)</f>
        <v>6542</v>
      </c>
      <c r="D14" s="160" t="s">
        <v>258</v>
      </c>
      <c r="E14" s="160" t="s">
        <v>302</v>
      </c>
      <c r="F14" s="114" t="s">
        <v>308</v>
      </c>
    </row>
    <row r="15" spans="1:6" x14ac:dyDescent="0.15">
      <c r="A15" s="177">
        <v>655</v>
      </c>
      <c r="B15" s="178" t="str">
        <f ca="1">VLOOKUP($A15,OFFSET([1]characters!$A$1,0,0,COUNTA([1]characters!$A:$A),MATCH(B$1,[1]characters!$1:$1,0)-MATCH($A$1,[1]characters!$1:$1,0)+1),MATCH(B$1,[1]characters!$1:$1,0)-MATCH($A$1,[1]characters!$1:$1,0)+1,FALSE)</f>
        <v>桜花舞う嵐鬼神 ヨミ</v>
      </c>
      <c r="C15" s="175" t="str">
        <f>A15&amp;+(COUNTIF(A$2:A15,A15)-1)</f>
        <v>6550</v>
      </c>
      <c r="D15" s="160" t="s">
        <v>258</v>
      </c>
      <c r="E15" s="160" t="s">
        <v>310</v>
      </c>
      <c r="F15" s="114" t="s">
        <v>306</v>
      </c>
    </row>
    <row r="16" spans="1:6" x14ac:dyDescent="0.15">
      <c r="A16" s="177">
        <v>655</v>
      </c>
      <c r="B16" s="178" t="str">
        <f ca="1">VLOOKUP($A16,OFFSET([1]characters!$A$1,0,0,COUNTA([1]characters!$A:$A),MATCH(B$1,[1]characters!$1:$1,0)-MATCH($A$1,[1]characters!$1:$1,0)+1),MATCH(B$1,[1]characters!$1:$1,0)-MATCH($A$1,[1]characters!$1:$1,0)+1,FALSE)</f>
        <v>桜花舞う嵐鬼神 ヨミ</v>
      </c>
      <c r="C16" s="175" t="str">
        <f>A16&amp;+(COUNTIF(A$2:A16,A16)-1)</f>
        <v>6551</v>
      </c>
      <c r="D16" s="160" t="s">
        <v>258</v>
      </c>
      <c r="E16" s="160" t="s">
        <v>302</v>
      </c>
      <c r="F16" s="114" t="s">
        <v>311</v>
      </c>
    </row>
    <row r="17" spans="1:6" x14ac:dyDescent="0.15">
      <c r="A17" s="177">
        <v>644</v>
      </c>
      <c r="B17" s="178" t="str">
        <f ca="1">VLOOKUP($A17,OFFSET([1]characters!$A$1,0,0,COUNTA([1]characters!$A:$A),MATCH(B$1,[1]characters!$1:$1,0)-MATCH($A$1,[1]characters!$1:$1,0)+1),MATCH(B$1,[1]characters!$1:$1,0)-MATCH($A$1,[1]characters!$1:$1,0)+1,FALSE)</f>
        <v>滑瓢 ショウキ</v>
      </c>
      <c r="C17" s="175" t="str">
        <f>A17&amp;+(COUNTIF(A$2:A17,A17)-1)</f>
        <v>6440</v>
      </c>
      <c r="D17" s="160" t="s">
        <v>258</v>
      </c>
      <c r="E17" s="160" t="s">
        <v>284</v>
      </c>
      <c r="F17" s="114" t="s">
        <v>322</v>
      </c>
    </row>
    <row r="18" spans="1:6" x14ac:dyDescent="0.15">
      <c r="A18" s="177">
        <v>644</v>
      </c>
      <c r="B18" s="178" t="str">
        <f ca="1">VLOOKUP($A18,OFFSET([1]characters!$A$1,0,0,COUNTA([1]characters!$A:$A),MATCH(B$1,[1]characters!$1:$1,0)-MATCH($A$1,[1]characters!$1:$1,0)+1),MATCH(B$1,[1]characters!$1:$1,0)-MATCH($A$1,[1]characters!$1:$1,0)+1,FALSE)</f>
        <v>滑瓢 ショウキ</v>
      </c>
      <c r="C18" s="175" t="str">
        <f>A18&amp;+(COUNTIF(A$2:A18,A18)-1)</f>
        <v>6441</v>
      </c>
      <c r="D18" s="160" t="s">
        <v>258</v>
      </c>
      <c r="E18" s="160" t="s">
        <v>284</v>
      </c>
      <c r="F18" s="114" t="s">
        <v>320</v>
      </c>
    </row>
    <row r="19" spans="1:6" x14ac:dyDescent="0.15">
      <c r="A19" s="177">
        <v>644</v>
      </c>
      <c r="B19" s="178" t="str">
        <f ca="1">VLOOKUP($A19,OFFSET([1]characters!$A$1,0,0,COUNTA([1]characters!$A:$A),MATCH(B$1,[1]characters!$1:$1,0)-MATCH($A$1,[1]characters!$1:$1,0)+1),MATCH(B$1,[1]characters!$1:$1,0)-MATCH($A$1,[1]characters!$1:$1,0)+1,FALSE)</f>
        <v>滑瓢 ショウキ</v>
      </c>
      <c r="C19" s="175" t="str">
        <f>A19&amp;+(COUNTIF(A$2:A19,A19)-1)</f>
        <v>6442</v>
      </c>
      <c r="D19" s="160" t="s">
        <v>258</v>
      </c>
      <c r="E19" s="160" t="s">
        <v>284</v>
      </c>
      <c r="F19" s="114" t="s">
        <v>323</v>
      </c>
    </row>
    <row r="20" spans="1:6" x14ac:dyDescent="0.15">
      <c r="A20" s="177">
        <v>645</v>
      </c>
      <c r="B20" s="178" t="str">
        <f ca="1">VLOOKUP($A20,OFFSET([1]characters!$A$1,0,0,COUNTA([1]characters!$A:$A),MATCH(B$1,[1]characters!$1:$1,0)-MATCH($A$1,[1]characters!$1:$1,0)+1),MATCH(B$1,[1]characters!$1:$1,0)-MATCH($A$1,[1]characters!$1:$1,0)+1,FALSE)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0" s="175" t="str">
        <f>A20&amp;+(COUNTIF(A$2:A20,A20)-1)</f>
        <v>6450</v>
      </c>
      <c r="D20" s="160" t="s">
        <v>258</v>
      </c>
      <c r="E20" s="160" t="s">
        <v>302</v>
      </c>
      <c r="F20" s="114" t="s">
        <v>321</v>
      </c>
    </row>
    <row r="21" spans="1:6" x14ac:dyDescent="0.15">
      <c r="A21" s="177">
        <v>645</v>
      </c>
      <c r="B21" s="178" t="str">
        <f ca="1">VLOOKUP($A21,OFFSET([1]characters!$A$1,0,0,COUNTA([1]characters!$A:$A),MATCH(B$1,[1]characters!$1:$1,0)-MATCH($A$1,[1]characters!$1:$1,0)+1),MATCH(B$1,[1]characters!$1:$1,0)-MATCH($A$1,[1]characters!$1:$1,0)+1,FALSE)</f>
        <v>百鬼夜行の創大将 ショウキ</v>
      </c>
      <c r="C21" s="175" t="str">
        <f>A21&amp;+(COUNTIF(A$2:A21,A21)-1)</f>
        <v>6451</v>
      </c>
      <c r="D21" s="160" t="s">
        <v>258</v>
      </c>
      <c r="E21" s="160" t="s">
        <v>284</v>
      </c>
      <c r="F21" s="114" t="s">
        <v>319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5"/>
  <sheetViews>
    <sheetView showGridLines="0" workbookViewId="0">
      <pane ySplit="1" topLeftCell="A2" activePane="bottomLeft" state="frozen"/>
      <selection pane="bottomLeft" activeCell="F18" sqref="F18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3" t="s">
        <v>105</v>
      </c>
      <c r="B1" s="40" t="s">
        <v>44</v>
      </c>
      <c r="C1" s="19" t="s">
        <v>46</v>
      </c>
      <c r="D1" s="19" t="s">
        <v>48</v>
      </c>
      <c r="E1" s="19" t="s">
        <v>49</v>
      </c>
      <c r="F1" s="41" t="s">
        <v>42</v>
      </c>
      <c r="G1" s="19" t="s">
        <v>47</v>
      </c>
      <c r="H1" s="18" t="s">
        <v>43</v>
      </c>
      <c r="I1" s="116" t="s">
        <v>133</v>
      </c>
    </row>
    <row r="2" spans="1:9" x14ac:dyDescent="0.15">
      <c r="A2" s="63" t="str">
        <f t="shared" ref="A2:A5" si="0">B2&amp;"_"&amp;F2</f>
        <v>646_112</v>
      </c>
      <c r="B2" s="167">
        <v>646</v>
      </c>
      <c r="C2" s="168" t="e">
        <f ca="1">VLOOKUP($B2,OFFSET([2]units!$A$1,0,0,COUNTA([2]units!$A:$A),MATCH(C$1,[2]units!$1:$1,0)-COLUMN(INDIRECT("character_id"))+1),MATCH(C$1,[2]units!$1:$1,0)-COLUMN(INDIRECT("character_id"))+1,FALSE)</f>
        <v>#VALUE!</v>
      </c>
      <c r="D2" s="168" t="e">
        <f ca="1">VLOOKUP($B2,OFFSET([2]units!$A$1,0,0,COUNTA([2]units!$A:$A),MATCH(D$1,[2]units!$1:$1,0)-COLUMN(INDIRECT("character_id"))+1),MATCH(D$1,[2]units!$1:$1,0)-COLUMN(INDIRECT("character_id"))+1,FALSE)</f>
        <v>#VALUE!</v>
      </c>
      <c r="E2" s="168" t="e">
        <f ca="1">VLOOKUP($B2,OFFSET([2]units!$A$1,0,0,COUNTA([2]units!$A:$A),MATCH(E$1,[2]units!$1:$1,0)-COLUMN(INDIRECT("character_id"))+1),MATCH(E$1,[2]units!$1:$1,0)-COLUMN(INDIRECT("character_id"))+1,FALSE)</f>
        <v>#VALUE!</v>
      </c>
      <c r="F2" s="169">
        <v>112</v>
      </c>
      <c r="G2" s="168" t="e">
        <f ca="1">VLOOKUP($F2,OFFSET([2]units!$A$1,0,0,COUNTA([2]units!$A:$A),MATCH(G$1,[2]units!$1:$1,0)-COLUMN(INDIRECT("character_id"))+1),MATCH(G$1,[2]units!$1:$1,0)-COLUMN(INDIRECT("character_id"))+1,FALSE)</f>
        <v>#VALUE!</v>
      </c>
      <c r="H2" s="170">
        <v>1</v>
      </c>
      <c r="I2" s="171">
        <v>1</v>
      </c>
    </row>
    <row r="3" spans="1:9" x14ac:dyDescent="0.15">
      <c r="A3" s="63" t="str">
        <f t="shared" si="0"/>
        <v>646_111</v>
      </c>
      <c r="B3" s="167">
        <v>646</v>
      </c>
      <c r="C3" s="168" t="e">
        <f ca="1">VLOOKUP($B3,OFFSET([2]units!$A$1,0,0,COUNTA([2]units!$A:$A),MATCH(C$1,[2]units!$1:$1,0)-COLUMN(INDIRECT("character_id"))+1),MATCH(C$1,[2]units!$1:$1,0)-COLUMN(INDIRECT("character_id"))+1,FALSE)</f>
        <v>#VALUE!</v>
      </c>
      <c r="D3" s="168" t="e">
        <f ca="1">VLOOKUP($B3,OFFSET([2]units!$A$1,0,0,COUNTA([2]units!$A:$A),MATCH(D$1,[2]units!$1:$1,0)-COLUMN(INDIRECT("character_id"))+1),MATCH(D$1,[2]units!$1:$1,0)-COLUMN(INDIRECT("character_id"))+1,FALSE)</f>
        <v>#VALUE!</v>
      </c>
      <c r="E3" s="168" t="e">
        <f ca="1">VLOOKUP($B3,OFFSET([2]units!$A$1,0,0,COUNTA([2]units!$A:$A),MATCH(E$1,[2]units!$1:$1,0)-COLUMN(INDIRECT("character_id"))+1),MATCH(E$1,[2]units!$1:$1,0)-COLUMN(INDIRECT("character_id"))+1,FALSE)</f>
        <v>#VALUE!</v>
      </c>
      <c r="F3" s="169">
        <f>F2-1</f>
        <v>111</v>
      </c>
      <c r="G3" s="168" t="e">
        <f ca="1">VLOOKUP($F3,OFFSET([2]units!$A$1,0,0,COUNTA([2]units!$A:$A),MATCH(G$1,[2]units!$1:$1,0)-COLUMN(INDIRECT("character_id"))+1),MATCH(G$1,[2]units!$1:$1,0)-COLUMN(INDIRECT("character_id"))+1,FALSE)</f>
        <v>#VALUE!</v>
      </c>
      <c r="H3" s="170">
        <v>1</v>
      </c>
      <c r="I3" s="171">
        <v>1</v>
      </c>
    </row>
    <row r="4" spans="1:9" x14ac:dyDescent="0.15">
      <c r="A4" s="63" t="str">
        <f t="shared" si="0"/>
        <v>646_110</v>
      </c>
      <c r="B4" s="167">
        <v>646</v>
      </c>
      <c r="C4" s="168" t="e">
        <f ca="1">VLOOKUP($B4,OFFSET([2]units!$A$1,0,0,COUNTA([2]units!$A:$A),MATCH(C$1,[2]units!$1:$1,0)-COLUMN(INDIRECT("character_id"))+1),MATCH(C$1,[2]units!$1:$1,0)-COLUMN(INDIRECT("character_id"))+1,FALSE)</f>
        <v>#VALUE!</v>
      </c>
      <c r="D4" s="168" t="e">
        <f ca="1">VLOOKUP($B4,OFFSET([2]units!$A$1,0,0,COUNTA([2]units!$A:$A),MATCH(D$1,[2]units!$1:$1,0)-COLUMN(INDIRECT("character_id"))+1),MATCH(D$1,[2]units!$1:$1,0)-COLUMN(INDIRECT("character_id"))+1,FALSE)</f>
        <v>#VALUE!</v>
      </c>
      <c r="E4" s="168" t="e">
        <f ca="1">VLOOKUP($B4,OFFSET([2]units!$A$1,0,0,COUNTA([2]units!$A:$A),MATCH(E$1,[2]units!$1:$1,0)-COLUMN(INDIRECT("character_id"))+1),MATCH(E$1,[2]units!$1:$1,0)-COLUMN(INDIRECT("character_id"))+1,FALSE)</f>
        <v>#VALUE!</v>
      </c>
      <c r="F4" s="169">
        <f t="shared" ref="F4:F5" si="1">F3-1</f>
        <v>110</v>
      </c>
      <c r="G4" s="168" t="e">
        <f ca="1">VLOOKUP($F4,OFFSET([2]units!$A$1,0,0,COUNTA([2]units!$A:$A),MATCH(G$1,[2]units!$1:$1,0)-COLUMN(INDIRECT("character_id"))+1),MATCH(G$1,[2]units!$1:$1,0)-COLUMN(INDIRECT("character_id"))+1,FALSE)</f>
        <v>#VALUE!</v>
      </c>
      <c r="H4" s="170">
        <v>2</v>
      </c>
      <c r="I4" s="171">
        <v>1</v>
      </c>
    </row>
    <row r="5" spans="1:9" x14ac:dyDescent="0.15">
      <c r="A5" s="63" t="str">
        <f t="shared" si="0"/>
        <v>646_109</v>
      </c>
      <c r="B5" s="167">
        <v>646</v>
      </c>
      <c r="C5" s="168" t="e">
        <f ca="1">VLOOKUP($B5,OFFSET([2]units!$A$1,0,0,COUNTA([2]units!$A:$A),MATCH(C$1,[2]units!$1:$1,0)-COLUMN(INDIRECT("character_id"))+1),MATCH(C$1,[2]units!$1:$1,0)-COLUMN(INDIRECT("character_id"))+1,FALSE)</f>
        <v>#VALUE!</v>
      </c>
      <c r="D5" s="168" t="e">
        <f ca="1">VLOOKUP($B5,OFFSET([2]units!$A$1,0,0,COUNTA([2]units!$A:$A),MATCH(D$1,[2]units!$1:$1,0)-COLUMN(INDIRECT("character_id"))+1),MATCH(D$1,[2]units!$1:$1,0)-COLUMN(INDIRECT("character_id"))+1,FALSE)</f>
        <v>#VALUE!</v>
      </c>
      <c r="E5" s="168" t="e">
        <f ca="1">VLOOKUP($B5,OFFSET([2]units!$A$1,0,0,COUNTA([2]units!$A:$A),MATCH(E$1,[2]units!$1:$1,0)-COLUMN(INDIRECT("character_id"))+1),MATCH(E$1,[2]units!$1:$1,0)-COLUMN(INDIRECT("character_id"))+1,FALSE)</f>
        <v>#VALUE!</v>
      </c>
      <c r="F5" s="169">
        <f t="shared" si="1"/>
        <v>109</v>
      </c>
      <c r="G5" s="168" t="e">
        <f ca="1">VLOOKUP($F5,OFFSET([2]units!$A$1,0,0,COUNTA([2]units!$A:$A),MATCH(G$1,[2]units!$1:$1,0)-COLUMN(INDIRECT("character_id"))+1),MATCH(G$1,[2]units!$1:$1,0)-COLUMN(INDIRECT("character_id"))+1,FALSE)</f>
        <v>#VALUE!</v>
      </c>
      <c r="H5" s="170">
        <v>1</v>
      </c>
      <c r="I5" s="171">
        <v>1</v>
      </c>
    </row>
    <row r="6" spans="1:9" x14ac:dyDescent="0.15">
      <c r="A6" s="63" t="str">
        <f t="shared" ref="A6:A12" si="2">B6&amp;"_"&amp;F6</f>
        <v>650_116</v>
      </c>
      <c r="B6" s="167">
        <v>650</v>
      </c>
      <c r="C6" s="168" t="e">
        <f ca="1">VLOOKUP($B6,OFFSET([2]units!$A$1,0,0,COUNTA([2]units!$A:$A),MATCH(C$1,[2]units!$1:$1,0)-COLUMN(INDIRECT("character_id"))+1),MATCH(C$1,[2]units!$1:$1,0)-COLUMN(INDIRECT("character_id"))+1,FALSE)</f>
        <v>#VALUE!</v>
      </c>
      <c r="D6" s="168" t="e">
        <f ca="1">VLOOKUP($B6,OFFSET([2]units!$A$1,0,0,COUNTA([2]units!$A:$A),MATCH(D$1,[2]units!$1:$1,0)-COLUMN(INDIRECT("character_id"))+1),MATCH(D$1,[2]units!$1:$1,0)-COLUMN(INDIRECT("character_id"))+1,FALSE)</f>
        <v>#VALUE!</v>
      </c>
      <c r="E6" s="168" t="e">
        <f ca="1">VLOOKUP($B6,OFFSET([2]units!$A$1,0,0,COUNTA([2]units!$A:$A),MATCH(E$1,[2]units!$1:$1,0)-COLUMN(INDIRECT("character_id"))+1),MATCH(E$1,[2]units!$1:$1,0)-COLUMN(INDIRECT("character_id"))+1,FALSE)</f>
        <v>#VALUE!</v>
      </c>
      <c r="F6" s="169">
        <v>116</v>
      </c>
      <c r="G6" s="168" t="e">
        <f ca="1">VLOOKUP($F6,OFFSET([2]units!$A$1,0,0,COUNTA([2]units!$A:$A),MATCH(G$1,[2]units!$1:$1,0)-COLUMN(INDIRECT("character_id"))+1),MATCH(G$1,[2]units!$1:$1,0)-COLUMN(INDIRECT("character_id"))+1,FALSE)</f>
        <v>#VALUE!</v>
      </c>
      <c r="H6" s="170">
        <v>1</v>
      </c>
      <c r="I6" s="171">
        <v>1</v>
      </c>
    </row>
    <row r="7" spans="1:9" x14ac:dyDescent="0.15">
      <c r="A7" s="63" t="str">
        <f t="shared" si="2"/>
        <v>650_115</v>
      </c>
      <c r="B7" s="167">
        <v>650</v>
      </c>
      <c r="C7" s="168" t="e">
        <f ca="1">VLOOKUP($B7,OFFSET([2]units!$A$1,0,0,COUNTA([2]units!$A:$A),MATCH(C$1,[2]units!$1:$1,0)-COLUMN(INDIRECT("character_id"))+1),MATCH(C$1,[2]units!$1:$1,0)-COLUMN(INDIRECT("character_id"))+1,FALSE)</f>
        <v>#VALUE!</v>
      </c>
      <c r="D7" s="168" t="e">
        <f ca="1">VLOOKUP($B7,OFFSET([2]units!$A$1,0,0,COUNTA([2]units!$A:$A),MATCH(D$1,[2]units!$1:$1,0)-COLUMN(INDIRECT("character_id"))+1),MATCH(D$1,[2]units!$1:$1,0)-COLUMN(INDIRECT("character_id"))+1,FALSE)</f>
        <v>#VALUE!</v>
      </c>
      <c r="E7" s="168" t="e">
        <f ca="1">VLOOKUP($B7,OFFSET([2]units!$A$1,0,0,COUNTA([2]units!$A:$A),MATCH(E$1,[2]units!$1:$1,0)-COLUMN(INDIRECT("character_id"))+1),MATCH(E$1,[2]units!$1:$1,0)-COLUMN(INDIRECT("character_id"))+1,FALSE)</f>
        <v>#VALUE!</v>
      </c>
      <c r="F7" s="169">
        <f>F6-1</f>
        <v>115</v>
      </c>
      <c r="G7" s="168" t="e">
        <f ca="1">VLOOKUP($F7,OFFSET([2]units!$A$1,0,0,COUNTA([2]units!$A:$A),MATCH(G$1,[2]units!$1:$1,0)-COLUMN(INDIRECT("character_id"))+1),MATCH(G$1,[2]units!$1:$1,0)-COLUMN(INDIRECT("character_id"))+1,FALSE)</f>
        <v>#VALUE!</v>
      </c>
      <c r="H7" s="170">
        <v>1</v>
      </c>
      <c r="I7" s="171">
        <v>1</v>
      </c>
    </row>
    <row r="8" spans="1:9" x14ac:dyDescent="0.15">
      <c r="A8" s="63" t="str">
        <f t="shared" si="2"/>
        <v>650_114</v>
      </c>
      <c r="B8" s="167">
        <v>650</v>
      </c>
      <c r="C8" s="168" t="e">
        <f ca="1">VLOOKUP($B8,OFFSET([2]units!$A$1,0,0,COUNTA([2]units!$A:$A),MATCH(C$1,[2]units!$1:$1,0)-COLUMN(INDIRECT("character_id"))+1),MATCH(C$1,[2]units!$1:$1,0)-COLUMN(INDIRECT("character_id"))+1,FALSE)</f>
        <v>#VALUE!</v>
      </c>
      <c r="D8" s="168" t="e">
        <f ca="1">VLOOKUP($B8,OFFSET([2]units!$A$1,0,0,COUNTA([2]units!$A:$A),MATCH(D$1,[2]units!$1:$1,0)-COLUMN(INDIRECT("character_id"))+1),MATCH(D$1,[2]units!$1:$1,0)-COLUMN(INDIRECT("character_id"))+1,FALSE)</f>
        <v>#VALUE!</v>
      </c>
      <c r="E8" s="168" t="e">
        <f ca="1">VLOOKUP($B8,OFFSET([2]units!$A$1,0,0,COUNTA([2]units!$A:$A),MATCH(E$1,[2]units!$1:$1,0)-COLUMN(INDIRECT("character_id"))+1),MATCH(E$1,[2]units!$1:$1,0)-COLUMN(INDIRECT("character_id"))+1,FALSE)</f>
        <v>#VALUE!</v>
      </c>
      <c r="F8" s="169">
        <f>F7-1</f>
        <v>114</v>
      </c>
      <c r="G8" s="168" t="e">
        <f ca="1">VLOOKUP($F8,OFFSET([2]units!$A$1,0,0,COUNTA([2]units!$A:$A),MATCH(G$1,[2]units!$1:$1,0)-COLUMN(INDIRECT("character_id"))+1),MATCH(G$1,[2]units!$1:$1,0)-COLUMN(INDIRECT("character_id"))+1,FALSE)</f>
        <v>#VALUE!</v>
      </c>
      <c r="H8" s="170">
        <v>2</v>
      </c>
      <c r="I8" s="171">
        <v>1</v>
      </c>
    </row>
    <row r="9" spans="1:9" x14ac:dyDescent="0.15">
      <c r="A9" s="63" t="str">
        <f t="shared" si="2"/>
        <v>650_113</v>
      </c>
      <c r="B9" s="167">
        <v>650</v>
      </c>
      <c r="C9" s="168" t="e">
        <f ca="1">VLOOKUP($B9,OFFSET([2]units!$A$1,0,0,COUNTA([2]units!$A:$A),MATCH(C$1,[2]units!$1:$1,0)-COLUMN(INDIRECT("character_id"))+1),MATCH(C$1,[2]units!$1:$1,0)-COLUMN(INDIRECT("character_id"))+1,FALSE)</f>
        <v>#VALUE!</v>
      </c>
      <c r="D9" s="168" t="e">
        <f ca="1">VLOOKUP($B9,OFFSET([2]units!$A$1,0,0,COUNTA([2]units!$A:$A),MATCH(D$1,[2]units!$1:$1,0)-COLUMN(INDIRECT("character_id"))+1),MATCH(D$1,[2]units!$1:$1,0)-COLUMN(INDIRECT("character_id"))+1,FALSE)</f>
        <v>#VALUE!</v>
      </c>
      <c r="E9" s="168" t="e">
        <f ca="1">VLOOKUP($B9,OFFSET([2]units!$A$1,0,0,COUNTA([2]units!$A:$A),MATCH(E$1,[2]units!$1:$1,0)-COLUMN(INDIRECT("character_id"))+1),MATCH(E$1,[2]units!$1:$1,0)-COLUMN(INDIRECT("character_id"))+1,FALSE)</f>
        <v>#VALUE!</v>
      </c>
      <c r="F9" s="169">
        <f>F8-1</f>
        <v>113</v>
      </c>
      <c r="G9" s="168" t="e">
        <f ca="1">VLOOKUP($F9,OFFSET([2]units!$A$1,0,0,COUNTA([2]units!$A:$A),MATCH(G$1,[2]units!$1:$1,0)-COLUMN(INDIRECT("character_id"))+1),MATCH(G$1,[2]units!$1:$1,0)-COLUMN(INDIRECT("character_id"))+1,FALSE)</f>
        <v>#VALUE!</v>
      </c>
      <c r="H9" s="170">
        <v>1</v>
      </c>
      <c r="I9" s="171">
        <v>1</v>
      </c>
    </row>
    <row r="10" spans="1:9" x14ac:dyDescent="0.15">
      <c r="A10" s="63" t="str">
        <f t="shared" si="2"/>
        <v>654_116</v>
      </c>
      <c r="B10" s="167">
        <v>654</v>
      </c>
      <c r="C10" s="168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168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168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169">
        <v>116</v>
      </c>
      <c r="G10" s="168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70">
        <v>1</v>
      </c>
      <c r="I10" s="171">
        <v>1</v>
      </c>
    </row>
    <row r="11" spans="1:9" x14ac:dyDescent="0.15">
      <c r="A11" s="63" t="str">
        <f t="shared" si="2"/>
        <v>654_424</v>
      </c>
      <c r="B11" s="167">
        <v>654</v>
      </c>
      <c r="C11" s="168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168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168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169">
        <v>424</v>
      </c>
      <c r="G11" s="168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70">
        <v>1</v>
      </c>
      <c r="I11" s="171">
        <v>2</v>
      </c>
    </row>
    <row r="12" spans="1:9" x14ac:dyDescent="0.15">
      <c r="A12" s="63" t="str">
        <f t="shared" si="2"/>
        <v>654_646</v>
      </c>
      <c r="B12" s="167">
        <v>654</v>
      </c>
      <c r="C12" s="168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168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168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169">
        <v>646</v>
      </c>
      <c r="G12" s="168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70">
        <v>1</v>
      </c>
      <c r="I12" s="171">
        <v>2</v>
      </c>
    </row>
    <row r="13" spans="1:9" x14ac:dyDescent="0.15">
      <c r="A13" s="63" t="str">
        <f t="shared" ref="A13:A15" si="3">B13&amp;"_"&amp;F13</f>
        <v>644_108</v>
      </c>
      <c r="B13" s="167">
        <v>644</v>
      </c>
      <c r="C13" s="168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168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168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169">
        <v>108</v>
      </c>
      <c r="G13" s="168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70">
        <v>1</v>
      </c>
      <c r="I13" s="171">
        <v>1</v>
      </c>
    </row>
    <row r="14" spans="1:9" x14ac:dyDescent="0.15">
      <c r="A14" s="63" t="str">
        <f t="shared" si="3"/>
        <v>644_646</v>
      </c>
      <c r="B14" s="167">
        <v>644</v>
      </c>
      <c r="C14" s="168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168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168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169">
        <v>646</v>
      </c>
      <c r="G14" s="168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70">
        <v>1</v>
      </c>
      <c r="I14" s="171">
        <v>2</v>
      </c>
    </row>
    <row r="15" spans="1:9" x14ac:dyDescent="0.15">
      <c r="A15" s="63" t="str">
        <f t="shared" si="3"/>
        <v>644_650</v>
      </c>
      <c r="B15" s="167">
        <v>644</v>
      </c>
      <c r="C15" s="168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168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168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169">
        <v>650</v>
      </c>
      <c r="G15" s="168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70">
        <v>1</v>
      </c>
      <c r="I15" s="171">
        <v>3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9"/>
  <sheetViews>
    <sheetView workbookViewId="0">
      <selection activeCell="J14" sqref="J14"/>
    </sheetView>
  </sheetViews>
  <sheetFormatPr baseColWidth="12" defaultRowHeight="15" x14ac:dyDescent="0.15"/>
  <sheetData>
    <row r="1" spans="1:2" x14ac:dyDescent="0.15">
      <c r="A1" t="s">
        <v>325</v>
      </c>
      <c r="B1" t="s">
        <v>344</v>
      </c>
    </row>
    <row r="2" spans="1:2" x14ac:dyDescent="0.15">
      <c r="A2" t="s">
        <v>326</v>
      </c>
      <c r="B2">
        <v>1</v>
      </c>
    </row>
    <row r="3" spans="1:2" x14ac:dyDescent="0.15">
      <c r="A3" t="s">
        <v>327</v>
      </c>
      <c r="B3">
        <v>1</v>
      </c>
    </row>
    <row r="4" spans="1:2" x14ac:dyDescent="0.15">
      <c r="A4" t="s">
        <v>328</v>
      </c>
      <c r="B4">
        <v>1</v>
      </c>
    </row>
    <row r="5" spans="1:2" x14ac:dyDescent="0.15">
      <c r="A5" t="s">
        <v>329</v>
      </c>
      <c r="B5">
        <v>1</v>
      </c>
    </row>
    <row r="6" spans="1:2" x14ac:dyDescent="0.15">
      <c r="A6" t="s">
        <v>330</v>
      </c>
      <c r="B6">
        <v>1</v>
      </c>
    </row>
    <row r="7" spans="1:2" x14ac:dyDescent="0.15">
      <c r="A7" t="s">
        <v>331</v>
      </c>
      <c r="B7">
        <v>1</v>
      </c>
    </row>
    <row r="8" spans="1:2" x14ac:dyDescent="0.15">
      <c r="A8" t="s">
        <v>332</v>
      </c>
      <c r="B8">
        <v>1</v>
      </c>
    </row>
    <row r="9" spans="1:2" x14ac:dyDescent="0.15">
      <c r="A9" t="s">
        <v>333</v>
      </c>
      <c r="B9">
        <v>1</v>
      </c>
    </row>
    <row r="10" spans="1:2" x14ac:dyDescent="0.15">
      <c r="A10" t="s">
        <v>334</v>
      </c>
      <c r="B10">
        <v>1</v>
      </c>
    </row>
    <row r="11" spans="1:2" x14ac:dyDescent="0.15">
      <c r="A11" t="s">
        <v>335</v>
      </c>
      <c r="B11">
        <v>1</v>
      </c>
    </row>
    <row r="12" spans="1:2" x14ac:dyDescent="0.15">
      <c r="A12" t="s">
        <v>336</v>
      </c>
      <c r="B12">
        <v>1</v>
      </c>
    </row>
    <row r="13" spans="1:2" x14ac:dyDescent="0.15">
      <c r="A13" t="s">
        <v>337</v>
      </c>
      <c r="B13">
        <v>0</v>
      </c>
    </row>
    <row r="14" spans="1:2" x14ac:dyDescent="0.15">
      <c r="A14" t="s">
        <v>338</v>
      </c>
      <c r="B14">
        <v>500</v>
      </c>
    </row>
    <row r="15" spans="1:2" x14ac:dyDescent="0.15">
      <c r="A15" t="s">
        <v>339</v>
      </c>
      <c r="B15">
        <v>600</v>
      </c>
    </row>
    <row r="16" spans="1:2" x14ac:dyDescent="0.15">
      <c r="A16" t="s">
        <v>340</v>
      </c>
      <c r="B16">
        <v>700</v>
      </c>
    </row>
    <row r="17" spans="1:2" x14ac:dyDescent="0.15">
      <c r="A17" t="s">
        <v>341</v>
      </c>
      <c r="B17">
        <v>5500</v>
      </c>
    </row>
    <row r="18" spans="1:2" x14ac:dyDescent="0.15">
      <c r="A18" t="s">
        <v>342</v>
      </c>
      <c r="B18">
        <v>6000</v>
      </c>
    </row>
    <row r="19" spans="1:2" x14ac:dyDescent="0.15">
      <c r="A19" t="s">
        <v>343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211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39" t="s">
        <v>239</v>
      </c>
      <c r="B2" s="140"/>
      <c r="C2" s="141"/>
      <c r="D2" s="142" t="s">
        <v>115</v>
      </c>
      <c r="E2" s="142">
        <v>30</v>
      </c>
      <c r="F2" s="142">
        <v>40</v>
      </c>
      <c r="G2" s="142">
        <f>15+F2</f>
        <v>55</v>
      </c>
      <c r="H2" s="141"/>
      <c r="I2" s="141"/>
    </row>
    <row r="3" spans="1:9" s="4" customFormat="1" ht="21" customHeight="1" x14ac:dyDescent="0.15">
      <c r="A3" s="139" t="s">
        <v>240</v>
      </c>
      <c r="B3" s="143"/>
      <c r="C3" s="144"/>
      <c r="D3" s="145" t="s">
        <v>241</v>
      </c>
      <c r="E3" s="145">
        <v>25</v>
      </c>
      <c r="F3" s="145">
        <v>35</v>
      </c>
      <c r="G3" s="142">
        <f t="shared" ref="G3:G5" si="0">15+F3</f>
        <v>50</v>
      </c>
      <c r="H3" s="144"/>
      <c r="I3" s="144"/>
    </row>
    <row r="4" spans="1:9" s="4" customFormat="1" ht="21" customHeight="1" x14ac:dyDescent="0.15">
      <c r="A4" s="139" t="s">
        <v>242</v>
      </c>
      <c r="B4" s="146"/>
      <c r="C4" s="147"/>
      <c r="D4" s="148">
        <v>10</v>
      </c>
      <c r="E4" s="148">
        <v>20</v>
      </c>
      <c r="F4" s="148">
        <v>30</v>
      </c>
      <c r="G4" s="148">
        <f t="shared" si="0"/>
        <v>45</v>
      </c>
      <c r="H4" s="147"/>
      <c r="I4" s="147"/>
    </row>
    <row r="5" spans="1:9" s="4" customFormat="1" ht="21" customHeight="1" x14ac:dyDescent="0.15">
      <c r="A5" s="149" t="s">
        <v>263</v>
      </c>
      <c r="B5" s="150"/>
      <c r="C5" s="151"/>
      <c r="D5" s="27">
        <v>9</v>
      </c>
      <c r="E5" s="27">
        <v>18</v>
      </c>
      <c r="F5" s="27">
        <v>28</v>
      </c>
      <c r="G5" s="37">
        <f t="shared" si="0"/>
        <v>43</v>
      </c>
      <c r="H5" s="151"/>
      <c r="I5" s="151"/>
    </row>
    <row r="6" spans="1:9" s="4" customFormat="1" ht="21" customHeight="1" x14ac:dyDescent="0.15">
      <c r="A6" s="149" t="s">
        <v>264</v>
      </c>
      <c r="B6" s="150"/>
      <c r="C6" s="151"/>
      <c r="D6" s="27">
        <v>7</v>
      </c>
      <c r="E6" s="27">
        <v>16</v>
      </c>
      <c r="F6" s="67" t="s">
        <v>11</v>
      </c>
      <c r="G6" s="67" t="s">
        <v>11</v>
      </c>
      <c r="H6" s="151"/>
      <c r="I6" s="151"/>
    </row>
    <row r="7" spans="1:9" ht="21" customHeight="1" x14ac:dyDescent="0.15">
      <c r="A7" s="76" t="s">
        <v>212</v>
      </c>
      <c r="B7" s="44" t="s">
        <v>11</v>
      </c>
      <c r="C7" s="44" t="s">
        <v>11</v>
      </c>
      <c r="D7" s="37" t="s">
        <v>115</v>
      </c>
      <c r="E7" s="37" t="s">
        <v>213</v>
      </c>
      <c r="F7" s="37" t="s">
        <v>213</v>
      </c>
      <c r="G7" s="37" t="s">
        <v>213</v>
      </c>
      <c r="H7" s="37" t="s">
        <v>213</v>
      </c>
      <c r="I7" s="37" t="s">
        <v>213</v>
      </c>
    </row>
    <row r="8" spans="1:9" ht="21" customHeight="1" x14ac:dyDescent="0.15">
      <c r="A8" s="77" t="s">
        <v>206</v>
      </c>
      <c r="B8" s="44" t="s">
        <v>11</v>
      </c>
      <c r="C8" s="44" t="s">
        <v>11</v>
      </c>
      <c r="D8" s="37" t="s">
        <v>115</v>
      </c>
      <c r="E8" s="37">
        <v>30</v>
      </c>
      <c r="F8" s="37">
        <v>40</v>
      </c>
      <c r="G8" s="37">
        <f>15+F8</f>
        <v>55</v>
      </c>
      <c r="H8" s="37" t="s">
        <v>115</v>
      </c>
      <c r="I8" s="37" t="s">
        <v>115</v>
      </c>
    </row>
    <row r="9" spans="1:9" s="43" customFormat="1" ht="21" customHeight="1" x14ac:dyDescent="0.15">
      <c r="A9" s="78" t="s">
        <v>207</v>
      </c>
      <c r="B9" s="27" t="s">
        <v>11</v>
      </c>
      <c r="C9" s="27" t="s">
        <v>11</v>
      </c>
      <c r="D9" s="108" t="s">
        <v>115</v>
      </c>
      <c r="E9" s="108">
        <v>25</v>
      </c>
      <c r="F9" s="108">
        <v>35</v>
      </c>
      <c r="G9" s="37">
        <f t="shared" ref="G9:G11" si="1">15+F9</f>
        <v>50</v>
      </c>
      <c r="H9" s="108" t="s">
        <v>115</v>
      </c>
      <c r="I9" s="108" t="s">
        <v>115</v>
      </c>
    </row>
    <row r="10" spans="1:9" ht="21" customHeight="1" x14ac:dyDescent="0.15">
      <c r="A10" s="78" t="s">
        <v>9</v>
      </c>
      <c r="B10" s="67" t="s">
        <v>11</v>
      </c>
      <c r="C10" s="67" t="s">
        <v>11</v>
      </c>
      <c r="D10" s="27">
        <v>10</v>
      </c>
      <c r="E10" s="27">
        <v>20</v>
      </c>
      <c r="F10" s="27">
        <v>30</v>
      </c>
      <c r="G10" s="37">
        <f t="shared" si="1"/>
        <v>45</v>
      </c>
      <c r="H10" s="67" t="s">
        <v>11</v>
      </c>
      <c r="I10" s="67" t="s">
        <v>11</v>
      </c>
    </row>
    <row r="11" spans="1:9" ht="21" customHeight="1" x14ac:dyDescent="0.15">
      <c r="A11" s="78" t="s">
        <v>216</v>
      </c>
      <c r="B11" s="67" t="s">
        <v>11</v>
      </c>
      <c r="C11" s="67" t="s">
        <v>11</v>
      </c>
      <c r="D11" s="27">
        <v>9</v>
      </c>
      <c r="E11" s="27">
        <v>18</v>
      </c>
      <c r="F11" s="27">
        <v>28</v>
      </c>
      <c r="G11" s="37">
        <f t="shared" si="1"/>
        <v>43</v>
      </c>
      <c r="H11" s="67" t="s">
        <v>11</v>
      </c>
      <c r="I11" s="67" t="s">
        <v>11</v>
      </c>
    </row>
    <row r="12" spans="1:9" ht="21" customHeight="1" x14ac:dyDescent="0.15">
      <c r="A12" s="78" t="s">
        <v>112</v>
      </c>
      <c r="B12" s="67" t="s">
        <v>11</v>
      </c>
      <c r="C12" s="67" t="s">
        <v>11</v>
      </c>
      <c r="D12" s="27">
        <v>7</v>
      </c>
      <c r="E12" s="27">
        <v>16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107" t="s">
        <v>217</v>
      </c>
      <c r="B13" s="67" t="s">
        <v>11</v>
      </c>
      <c r="C13" s="67" t="s">
        <v>11</v>
      </c>
      <c r="D13" s="27">
        <v>8</v>
      </c>
      <c r="E13" s="27">
        <v>17</v>
      </c>
      <c r="F13" s="27">
        <v>26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8" t="s">
        <v>218</v>
      </c>
      <c r="B14" s="67" t="s">
        <v>11</v>
      </c>
      <c r="C14" s="67" t="s">
        <v>11</v>
      </c>
      <c r="D14" s="27">
        <v>8</v>
      </c>
      <c r="E14" s="27">
        <v>17</v>
      </c>
      <c r="F14" s="27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8" t="s">
        <v>111</v>
      </c>
      <c r="B15" s="67" t="s">
        <v>11</v>
      </c>
      <c r="C15" s="67" t="s">
        <v>11</v>
      </c>
      <c r="D15" s="27">
        <v>6</v>
      </c>
      <c r="E15" s="27">
        <v>14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8" t="s">
        <v>219</v>
      </c>
      <c r="B16" s="67" t="s">
        <v>11</v>
      </c>
      <c r="C16" s="27">
        <v>4</v>
      </c>
      <c r="D16" s="27">
        <v>6</v>
      </c>
      <c r="E16" s="27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8" t="s">
        <v>8</v>
      </c>
      <c r="B17" s="27">
        <v>2</v>
      </c>
      <c r="C17" s="27">
        <v>4</v>
      </c>
      <c r="D17" s="27">
        <v>6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9" t="s">
        <v>7</v>
      </c>
      <c r="B18" s="30">
        <v>1</v>
      </c>
      <c r="C18" s="30">
        <v>2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80" t="s">
        <v>220</v>
      </c>
      <c r="B19" s="25">
        <v>1</v>
      </c>
      <c r="C19" s="25">
        <v>1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6" t="s">
        <v>221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39" t="s">
        <v>239</v>
      </c>
      <c r="B2" s="140"/>
      <c r="C2" s="141"/>
      <c r="D2" s="152" t="s">
        <v>115</v>
      </c>
      <c r="E2" s="152">
        <v>60</v>
      </c>
      <c r="F2" s="152">
        <v>80</v>
      </c>
      <c r="G2" s="152">
        <v>99</v>
      </c>
      <c r="H2" s="141"/>
      <c r="I2" s="141"/>
    </row>
    <row r="3" spans="1:9" s="4" customFormat="1" ht="21" customHeight="1" x14ac:dyDescent="0.15">
      <c r="A3" s="139" t="s">
        <v>244</v>
      </c>
      <c r="B3" s="143"/>
      <c r="C3" s="144"/>
      <c r="D3" s="152" t="s">
        <v>115</v>
      </c>
      <c r="E3" s="152">
        <v>60</v>
      </c>
      <c r="F3" s="152">
        <v>80</v>
      </c>
      <c r="G3" s="152">
        <v>99</v>
      </c>
      <c r="H3" s="144"/>
      <c r="I3" s="144"/>
    </row>
    <row r="4" spans="1:9" s="4" customFormat="1" ht="21" customHeight="1" x14ac:dyDescent="0.15">
      <c r="A4" s="139" t="s">
        <v>245</v>
      </c>
      <c r="B4" s="146"/>
      <c r="C4" s="147"/>
      <c r="D4" s="152">
        <v>40</v>
      </c>
      <c r="E4" s="152">
        <v>60</v>
      </c>
      <c r="F4" s="152">
        <v>80</v>
      </c>
      <c r="G4" s="152">
        <v>99</v>
      </c>
      <c r="H4" s="147"/>
      <c r="I4" s="147"/>
    </row>
    <row r="5" spans="1:9" s="4" customFormat="1" ht="21" customHeight="1" x14ac:dyDescent="0.15">
      <c r="A5" s="149" t="s">
        <v>246</v>
      </c>
      <c r="B5" s="150"/>
      <c r="C5" s="151"/>
      <c r="D5" s="152">
        <v>40</v>
      </c>
      <c r="E5" s="152">
        <v>60</v>
      </c>
      <c r="F5" s="152">
        <v>80</v>
      </c>
      <c r="G5" s="152">
        <v>99</v>
      </c>
      <c r="H5" s="151"/>
      <c r="I5" s="151"/>
    </row>
    <row r="6" spans="1:9" s="4" customFormat="1" ht="21" customHeight="1" x14ac:dyDescent="0.15">
      <c r="A6" s="149" t="s">
        <v>243</v>
      </c>
      <c r="B6" s="150"/>
      <c r="C6" s="151"/>
      <c r="D6" s="152">
        <v>40</v>
      </c>
      <c r="E6" s="152">
        <v>60</v>
      </c>
      <c r="F6" s="152" t="s">
        <v>115</v>
      </c>
      <c r="G6" s="152" t="s">
        <v>115</v>
      </c>
      <c r="H6" s="151"/>
      <c r="I6" s="151"/>
    </row>
    <row r="7" spans="1:9" ht="21" customHeight="1" x14ac:dyDescent="0.15">
      <c r="A7" s="72" t="s">
        <v>222</v>
      </c>
      <c r="B7" s="38" t="s">
        <v>115</v>
      </c>
      <c r="C7" s="38" t="s">
        <v>115</v>
      </c>
      <c r="D7" s="38" t="s">
        <v>115</v>
      </c>
      <c r="E7" s="38" t="s">
        <v>115</v>
      </c>
      <c r="F7" s="38" t="s">
        <v>115</v>
      </c>
      <c r="G7" s="38" t="s">
        <v>115</v>
      </c>
      <c r="H7" s="38" t="s">
        <v>115</v>
      </c>
      <c r="I7" s="38" t="s">
        <v>115</v>
      </c>
    </row>
    <row r="8" spans="1:9" ht="21" customHeight="1" x14ac:dyDescent="0.15">
      <c r="A8" s="72" t="s">
        <v>206</v>
      </c>
      <c r="B8" s="38" t="s">
        <v>115</v>
      </c>
      <c r="C8" s="38" t="s">
        <v>115</v>
      </c>
      <c r="D8" s="38" t="s">
        <v>115</v>
      </c>
      <c r="E8" s="38">
        <v>60</v>
      </c>
      <c r="F8" s="38">
        <v>80</v>
      </c>
      <c r="G8" s="38">
        <v>100</v>
      </c>
      <c r="H8" s="38" t="s">
        <v>115</v>
      </c>
      <c r="I8" s="38" t="s">
        <v>115</v>
      </c>
    </row>
    <row r="9" spans="1:9" s="43" customFormat="1" ht="21" customHeight="1" x14ac:dyDescent="0.15">
      <c r="A9" s="73" t="s">
        <v>207</v>
      </c>
      <c r="B9" s="64" t="s">
        <v>115</v>
      </c>
      <c r="C9" s="64" t="s">
        <v>115</v>
      </c>
      <c r="D9" s="64" t="s">
        <v>115</v>
      </c>
      <c r="E9" s="64">
        <v>60</v>
      </c>
      <c r="F9" s="64">
        <v>80</v>
      </c>
      <c r="G9" s="64">
        <v>100</v>
      </c>
      <c r="H9" s="64" t="s">
        <v>115</v>
      </c>
      <c r="I9" s="64" t="s">
        <v>115</v>
      </c>
    </row>
    <row r="10" spans="1:9" ht="21" customHeight="1" x14ac:dyDescent="0.15">
      <c r="A10" s="73" t="s">
        <v>9</v>
      </c>
      <c r="B10" s="69" t="s">
        <v>115</v>
      </c>
      <c r="C10" s="69" t="s">
        <v>115</v>
      </c>
      <c r="D10" s="35">
        <v>40</v>
      </c>
      <c r="E10" s="35">
        <v>60</v>
      </c>
      <c r="F10" s="35">
        <v>80</v>
      </c>
      <c r="G10" s="38">
        <v>100</v>
      </c>
      <c r="H10" s="69" t="s">
        <v>115</v>
      </c>
      <c r="I10" s="69" t="s">
        <v>115</v>
      </c>
    </row>
    <row r="11" spans="1:9" ht="21" customHeight="1" x14ac:dyDescent="0.15">
      <c r="A11" s="73" t="s">
        <v>208</v>
      </c>
      <c r="B11" s="69" t="s">
        <v>115</v>
      </c>
      <c r="C11" s="69" t="s">
        <v>115</v>
      </c>
      <c r="D11" s="35">
        <v>40</v>
      </c>
      <c r="E11" s="35">
        <v>60</v>
      </c>
      <c r="F11" s="35">
        <v>80</v>
      </c>
      <c r="G11" s="64">
        <v>100</v>
      </c>
      <c r="H11" s="69" t="s">
        <v>115</v>
      </c>
      <c r="I11" s="69" t="s">
        <v>115</v>
      </c>
    </row>
    <row r="12" spans="1:9" ht="21" customHeight="1" x14ac:dyDescent="0.15">
      <c r="A12" s="73" t="s">
        <v>209</v>
      </c>
      <c r="B12" s="69" t="s">
        <v>115</v>
      </c>
      <c r="C12" s="69" t="s">
        <v>115</v>
      </c>
      <c r="D12" s="35">
        <v>40</v>
      </c>
      <c r="E12" s="35">
        <v>60</v>
      </c>
      <c r="F12" s="69" t="s">
        <v>115</v>
      </c>
      <c r="G12" s="69" t="s">
        <v>115</v>
      </c>
      <c r="H12" s="69" t="s">
        <v>115</v>
      </c>
      <c r="I12" s="69" t="s">
        <v>115</v>
      </c>
    </row>
    <row r="13" spans="1:9" ht="21" customHeight="1" x14ac:dyDescent="0.15">
      <c r="A13" s="74" t="s">
        <v>210</v>
      </c>
      <c r="B13" s="69" t="s">
        <v>115</v>
      </c>
      <c r="C13" s="69" t="s">
        <v>115</v>
      </c>
      <c r="D13" s="35">
        <v>40</v>
      </c>
      <c r="E13" s="35">
        <v>60</v>
      </c>
      <c r="F13" s="35">
        <v>80</v>
      </c>
      <c r="G13" s="69" t="s">
        <v>115</v>
      </c>
      <c r="H13" s="69" t="s">
        <v>115</v>
      </c>
      <c r="I13" s="69" t="s">
        <v>115</v>
      </c>
    </row>
    <row r="14" spans="1:9" ht="21" customHeight="1" x14ac:dyDescent="0.15">
      <c r="A14" s="53" t="s">
        <v>37</v>
      </c>
      <c r="B14" s="69" t="s">
        <v>115</v>
      </c>
      <c r="C14" s="69" t="s">
        <v>115</v>
      </c>
      <c r="D14" s="35">
        <v>40</v>
      </c>
      <c r="E14" s="35">
        <v>60</v>
      </c>
      <c r="F14" s="35">
        <v>80</v>
      </c>
      <c r="G14" s="69" t="s">
        <v>115</v>
      </c>
      <c r="H14" s="69" t="s">
        <v>115</v>
      </c>
      <c r="I14" s="69" t="s">
        <v>115</v>
      </c>
    </row>
    <row r="15" spans="1:9" ht="21" customHeight="1" x14ac:dyDescent="0.15">
      <c r="A15" s="53" t="s">
        <v>38</v>
      </c>
      <c r="B15" s="69" t="s">
        <v>115</v>
      </c>
      <c r="C15" s="35">
        <v>30</v>
      </c>
      <c r="D15" s="35">
        <v>40</v>
      </c>
      <c r="E15" s="35">
        <v>60</v>
      </c>
      <c r="F15" s="69" t="s">
        <v>115</v>
      </c>
      <c r="G15" s="69" t="s">
        <v>115</v>
      </c>
      <c r="H15" s="69" t="s">
        <v>115</v>
      </c>
      <c r="I15" s="69" t="s">
        <v>115</v>
      </c>
    </row>
    <row r="16" spans="1:9" ht="21" customHeight="1" x14ac:dyDescent="0.15">
      <c r="A16" s="53" t="s">
        <v>39</v>
      </c>
      <c r="B16" s="69" t="s">
        <v>115</v>
      </c>
      <c r="C16" s="35">
        <v>30</v>
      </c>
      <c r="D16" s="35">
        <v>40</v>
      </c>
      <c r="E16" s="35">
        <v>60</v>
      </c>
      <c r="F16" s="69" t="s">
        <v>115</v>
      </c>
      <c r="G16" s="69" t="s">
        <v>115</v>
      </c>
      <c r="H16" s="69" t="s">
        <v>115</v>
      </c>
      <c r="I16" s="69" t="s">
        <v>115</v>
      </c>
    </row>
    <row r="17" spans="1:9" ht="21" customHeight="1" x14ac:dyDescent="0.15">
      <c r="A17" s="54" t="s">
        <v>8</v>
      </c>
      <c r="B17" s="35">
        <v>15</v>
      </c>
      <c r="C17" s="35">
        <v>30</v>
      </c>
      <c r="D17" s="35">
        <v>40</v>
      </c>
      <c r="E17" s="69" t="s">
        <v>115</v>
      </c>
      <c r="F17" s="69" t="s">
        <v>115</v>
      </c>
      <c r="G17" s="69" t="s">
        <v>115</v>
      </c>
      <c r="H17" s="69" t="s">
        <v>115</v>
      </c>
      <c r="I17" s="69" t="s">
        <v>115</v>
      </c>
    </row>
    <row r="18" spans="1:9" ht="21" customHeight="1" x14ac:dyDescent="0.15">
      <c r="A18" s="49" t="s">
        <v>7</v>
      </c>
      <c r="B18" s="35">
        <v>15</v>
      </c>
      <c r="C18" s="35">
        <v>30</v>
      </c>
      <c r="D18" s="35">
        <v>40</v>
      </c>
      <c r="E18" s="69" t="s">
        <v>223</v>
      </c>
      <c r="F18" s="69" t="s">
        <v>223</v>
      </c>
      <c r="G18" s="69" t="s">
        <v>223</v>
      </c>
      <c r="H18" s="69" t="s">
        <v>223</v>
      </c>
      <c r="I18" s="69" t="s">
        <v>223</v>
      </c>
    </row>
    <row r="19" spans="1:9" ht="21" customHeight="1" x14ac:dyDescent="0.15">
      <c r="A19" s="51" t="s">
        <v>40</v>
      </c>
      <c r="B19" s="35">
        <v>10</v>
      </c>
      <c r="C19" s="35">
        <v>20</v>
      </c>
      <c r="D19" s="69" t="s">
        <v>223</v>
      </c>
      <c r="E19" s="69" t="s">
        <v>223</v>
      </c>
      <c r="F19" s="69" t="s">
        <v>223</v>
      </c>
      <c r="G19" s="69" t="s">
        <v>223</v>
      </c>
      <c r="H19" s="69" t="s">
        <v>223</v>
      </c>
      <c r="I19" s="69" t="s">
        <v>223</v>
      </c>
    </row>
    <row r="20" spans="1:9" ht="21" customHeight="1" x14ac:dyDescent="0.15">
      <c r="A20" s="75" t="s">
        <v>224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C5" sqref="C5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6" t="s">
        <v>10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</row>
    <row r="2" spans="1:11" s="4" customFormat="1" ht="21" customHeight="1" x14ac:dyDescent="0.15">
      <c r="A2" s="139" t="s">
        <v>239</v>
      </c>
      <c r="B2" s="140"/>
      <c r="C2" s="141"/>
      <c r="D2" s="152" t="s">
        <v>247</v>
      </c>
      <c r="E2" s="50" t="s">
        <v>228</v>
      </c>
      <c r="F2" s="50" t="s">
        <v>228</v>
      </c>
      <c r="G2" s="50" t="s">
        <v>248</v>
      </c>
      <c r="H2" s="141"/>
      <c r="I2" s="141"/>
    </row>
    <row r="3" spans="1:11" s="4" customFormat="1" ht="21" customHeight="1" x14ac:dyDescent="0.15">
      <c r="A3" s="139" t="s">
        <v>249</v>
      </c>
      <c r="B3" s="143"/>
      <c r="C3" s="144"/>
      <c r="D3" s="153" t="s">
        <v>65</v>
      </c>
      <c r="E3" s="153" t="s">
        <v>65</v>
      </c>
      <c r="F3" s="153" t="s">
        <v>65</v>
      </c>
      <c r="G3" s="153" t="s">
        <v>250</v>
      </c>
      <c r="H3" s="144"/>
      <c r="I3" s="144"/>
    </row>
    <row r="4" spans="1:11" s="4" customFormat="1" ht="21" customHeight="1" x14ac:dyDescent="0.15">
      <c r="A4" s="139" t="s">
        <v>242</v>
      </c>
      <c r="B4" s="146"/>
      <c r="C4" s="147"/>
      <c r="D4" s="154" t="s">
        <v>65</v>
      </c>
      <c r="E4" s="154" t="s">
        <v>65</v>
      </c>
      <c r="F4" s="154" t="s">
        <v>65</v>
      </c>
      <c r="G4" s="153" t="s">
        <v>228</v>
      </c>
      <c r="H4" s="147"/>
      <c r="I4" s="147"/>
    </row>
    <row r="5" spans="1:11" s="4" customFormat="1" ht="21" customHeight="1" x14ac:dyDescent="0.15">
      <c r="A5" s="149" t="s">
        <v>251</v>
      </c>
      <c r="B5" s="150"/>
      <c r="C5" s="151"/>
      <c r="D5" s="154" t="s">
        <v>65</v>
      </c>
      <c r="E5" s="154" t="s">
        <v>65</v>
      </c>
      <c r="F5" s="154" t="s">
        <v>65</v>
      </c>
      <c r="G5" s="153" t="s">
        <v>252</v>
      </c>
      <c r="H5" s="151"/>
      <c r="I5" s="151"/>
    </row>
    <row r="6" spans="1:11" s="4" customFormat="1" ht="21" customHeight="1" x14ac:dyDescent="0.15">
      <c r="A6" s="149" t="s">
        <v>253</v>
      </c>
      <c r="B6" s="150"/>
      <c r="C6" s="151"/>
      <c r="D6" s="155" t="s">
        <v>66</v>
      </c>
      <c r="E6" s="155" t="s">
        <v>66</v>
      </c>
      <c r="F6" s="152" t="s">
        <v>247</v>
      </c>
      <c r="G6" s="152" t="s">
        <v>247</v>
      </c>
      <c r="H6" s="151"/>
      <c r="I6" s="151"/>
    </row>
    <row r="7" spans="1:11" ht="21" customHeight="1" x14ac:dyDescent="0.15">
      <c r="A7" s="48" t="s">
        <v>222</v>
      </c>
      <c r="B7" s="38" t="s">
        <v>115</v>
      </c>
      <c r="C7" s="38" t="s">
        <v>115</v>
      </c>
      <c r="D7" s="38" t="s">
        <v>115</v>
      </c>
      <c r="E7" s="38" t="s">
        <v>115</v>
      </c>
      <c r="F7" s="38" t="s">
        <v>115</v>
      </c>
      <c r="G7" s="38" t="s">
        <v>115</v>
      </c>
      <c r="H7" s="38" t="s">
        <v>115</v>
      </c>
      <c r="I7" s="38" t="s">
        <v>115</v>
      </c>
    </row>
    <row r="8" spans="1:11" ht="21" customHeight="1" x14ac:dyDescent="0.15">
      <c r="A8" s="48" t="s">
        <v>214</v>
      </c>
      <c r="B8" s="38" t="s">
        <v>115</v>
      </c>
      <c r="C8" s="38" t="s">
        <v>115</v>
      </c>
      <c r="D8" s="38" t="s">
        <v>225</v>
      </c>
      <c r="E8" s="50" t="s">
        <v>121</v>
      </c>
      <c r="F8" s="50" t="s">
        <v>121</v>
      </c>
      <c r="G8" s="50" t="s">
        <v>226</v>
      </c>
      <c r="H8" s="38" t="s">
        <v>225</v>
      </c>
      <c r="I8" s="38" t="s">
        <v>115</v>
      </c>
    </row>
    <row r="9" spans="1:11" s="43" customFormat="1" ht="21" customHeight="1" x14ac:dyDescent="0.15">
      <c r="A9" s="48" t="s">
        <v>207</v>
      </c>
      <c r="B9" s="64" t="s">
        <v>115</v>
      </c>
      <c r="C9" s="64" t="s">
        <v>115</v>
      </c>
      <c r="D9" s="64" t="s">
        <v>115</v>
      </c>
      <c r="E9" s="50" t="s">
        <v>65</v>
      </c>
      <c r="F9" s="50" t="s">
        <v>65</v>
      </c>
      <c r="G9" s="50" t="s">
        <v>121</v>
      </c>
      <c r="H9" s="64" t="s">
        <v>227</v>
      </c>
      <c r="I9" s="64" t="s">
        <v>227</v>
      </c>
    </row>
    <row r="10" spans="1:11" ht="21" customHeight="1" x14ac:dyDescent="0.15">
      <c r="A10" s="49" t="s">
        <v>9</v>
      </c>
      <c r="B10" s="69" t="s">
        <v>115</v>
      </c>
      <c r="C10" s="69" t="s">
        <v>115</v>
      </c>
      <c r="D10" s="50" t="s">
        <v>65</v>
      </c>
      <c r="E10" s="50" t="s">
        <v>65</v>
      </c>
      <c r="F10" s="50" t="s">
        <v>65</v>
      </c>
      <c r="G10" s="50" t="s">
        <v>228</v>
      </c>
      <c r="H10" s="69" t="s">
        <v>227</v>
      </c>
      <c r="I10" s="69" t="s">
        <v>227</v>
      </c>
      <c r="K10" s="26" t="s">
        <v>12</v>
      </c>
    </row>
    <row r="11" spans="1:11" ht="21" customHeight="1" x14ac:dyDescent="0.15">
      <c r="A11" s="51" t="s">
        <v>35</v>
      </c>
      <c r="B11" s="69" t="s">
        <v>115</v>
      </c>
      <c r="C11" s="69" t="s">
        <v>115</v>
      </c>
      <c r="D11" s="51" t="s">
        <v>65</v>
      </c>
      <c r="E11" s="51" t="s">
        <v>65</v>
      </c>
      <c r="F11" s="51" t="s">
        <v>65</v>
      </c>
      <c r="G11" s="50" t="s">
        <v>228</v>
      </c>
      <c r="H11" s="69" t="s">
        <v>227</v>
      </c>
      <c r="I11" s="69" t="s">
        <v>227</v>
      </c>
      <c r="K11" s="28" t="s">
        <v>13</v>
      </c>
    </row>
    <row r="12" spans="1:11" ht="21" customHeight="1" x14ac:dyDescent="0.15">
      <c r="A12" s="52" t="s">
        <v>36</v>
      </c>
      <c r="B12" s="69" t="s">
        <v>115</v>
      </c>
      <c r="C12" s="69" t="s">
        <v>115</v>
      </c>
      <c r="D12" s="52" t="s">
        <v>66</v>
      </c>
      <c r="E12" s="52" t="s">
        <v>66</v>
      </c>
      <c r="F12" s="69" t="s">
        <v>115</v>
      </c>
      <c r="G12" s="69" t="s">
        <v>115</v>
      </c>
      <c r="H12" s="69" t="s">
        <v>115</v>
      </c>
      <c r="I12" s="69" t="s">
        <v>115</v>
      </c>
      <c r="K12" s="70" t="s">
        <v>41</v>
      </c>
    </row>
    <row r="13" spans="1:11" ht="21" customHeight="1" x14ac:dyDescent="0.15">
      <c r="A13" s="52" t="s">
        <v>229</v>
      </c>
      <c r="B13" s="69" t="s">
        <v>115</v>
      </c>
      <c r="C13" s="69" t="s">
        <v>115</v>
      </c>
      <c r="D13" s="53" t="s">
        <v>65</v>
      </c>
      <c r="E13" s="53" t="s">
        <v>65</v>
      </c>
      <c r="F13" s="53" t="s">
        <v>65</v>
      </c>
      <c r="G13" s="69" t="s">
        <v>115</v>
      </c>
      <c r="H13" s="69" t="s">
        <v>115</v>
      </c>
      <c r="I13" s="69" t="s">
        <v>115</v>
      </c>
      <c r="K13" s="71"/>
    </row>
    <row r="14" spans="1:11" ht="21" customHeight="1" x14ac:dyDescent="0.15">
      <c r="A14" s="53" t="s">
        <v>37</v>
      </c>
      <c r="B14" s="69" t="s">
        <v>115</v>
      </c>
      <c r="C14" s="69" t="s">
        <v>115</v>
      </c>
      <c r="D14" s="53" t="s">
        <v>65</v>
      </c>
      <c r="E14" s="53" t="s">
        <v>65</v>
      </c>
      <c r="F14" s="53" t="s">
        <v>65</v>
      </c>
      <c r="G14" s="69" t="s">
        <v>115</v>
      </c>
      <c r="H14" s="69" t="s">
        <v>115</v>
      </c>
      <c r="I14" s="69" t="s">
        <v>115</v>
      </c>
    </row>
    <row r="15" spans="1:11" ht="21" customHeight="1" x14ac:dyDescent="0.15">
      <c r="A15" s="53" t="s">
        <v>38</v>
      </c>
      <c r="B15" s="69" t="s">
        <v>115</v>
      </c>
      <c r="C15" s="69" t="s">
        <v>115</v>
      </c>
      <c r="D15" s="53" t="s">
        <v>66</v>
      </c>
      <c r="E15" s="53" t="s">
        <v>66</v>
      </c>
      <c r="F15" s="69" t="s">
        <v>115</v>
      </c>
      <c r="G15" s="69" t="s">
        <v>115</v>
      </c>
      <c r="H15" s="69" t="s">
        <v>115</v>
      </c>
      <c r="I15" s="69" t="s">
        <v>115</v>
      </c>
    </row>
    <row r="16" spans="1:11" ht="21" customHeight="1" x14ac:dyDescent="0.15">
      <c r="A16" s="53" t="s">
        <v>39</v>
      </c>
      <c r="B16" s="69" t="s">
        <v>115</v>
      </c>
      <c r="C16" s="53" t="s">
        <v>66</v>
      </c>
      <c r="D16" s="53" t="s">
        <v>66</v>
      </c>
      <c r="E16" s="53" t="s">
        <v>66</v>
      </c>
      <c r="F16" s="69" t="s">
        <v>115</v>
      </c>
      <c r="G16" s="69" t="s">
        <v>115</v>
      </c>
      <c r="H16" s="69" t="s">
        <v>115</v>
      </c>
      <c r="I16" s="69" t="s">
        <v>115</v>
      </c>
    </row>
    <row r="17" spans="1:9" ht="21" customHeight="1" x14ac:dyDescent="0.15">
      <c r="A17" s="54" t="s">
        <v>8</v>
      </c>
      <c r="B17" s="54" t="s">
        <v>67</v>
      </c>
      <c r="C17" s="54" t="s">
        <v>67</v>
      </c>
      <c r="D17" s="54" t="s">
        <v>67</v>
      </c>
      <c r="E17" s="69" t="s">
        <v>115</v>
      </c>
      <c r="F17" s="69" t="s">
        <v>115</v>
      </c>
      <c r="G17" s="69" t="s">
        <v>115</v>
      </c>
      <c r="H17" s="69" t="s">
        <v>115</v>
      </c>
      <c r="I17" s="69" t="s">
        <v>115</v>
      </c>
    </row>
    <row r="18" spans="1:9" ht="21" customHeight="1" x14ac:dyDescent="0.15">
      <c r="A18" s="49" t="s">
        <v>7</v>
      </c>
      <c r="B18" s="49" t="s">
        <v>68</v>
      </c>
      <c r="C18" s="49" t="s">
        <v>68</v>
      </c>
      <c r="D18" s="69" t="s">
        <v>115</v>
      </c>
      <c r="E18" s="69" t="s">
        <v>115</v>
      </c>
      <c r="F18" s="69" t="s">
        <v>115</v>
      </c>
      <c r="G18" s="69" t="s">
        <v>115</v>
      </c>
      <c r="H18" s="69" t="s">
        <v>115</v>
      </c>
      <c r="I18" s="69" t="s">
        <v>115</v>
      </c>
    </row>
    <row r="19" spans="1:9" ht="21" customHeight="1" x14ac:dyDescent="0.15">
      <c r="A19" s="51" t="s">
        <v>40</v>
      </c>
      <c r="B19" s="51" t="s">
        <v>69</v>
      </c>
      <c r="C19" s="51" t="s">
        <v>69</v>
      </c>
      <c r="D19" s="69" t="s">
        <v>115</v>
      </c>
      <c r="E19" s="69" t="s">
        <v>115</v>
      </c>
      <c r="F19" s="69" t="s">
        <v>115</v>
      </c>
      <c r="G19" s="69" t="s">
        <v>115</v>
      </c>
      <c r="H19" s="69" t="s">
        <v>115</v>
      </c>
      <c r="I19" s="69" t="s">
        <v>115</v>
      </c>
    </row>
    <row r="20" spans="1:9" ht="21" customHeight="1" x14ac:dyDescent="0.15">
      <c r="A20" s="36" t="s">
        <v>221</v>
      </c>
      <c r="B20" s="81" t="s">
        <v>53</v>
      </c>
      <c r="C20" s="81" t="s">
        <v>53</v>
      </c>
      <c r="D20" s="81" t="s">
        <v>53</v>
      </c>
      <c r="E20" s="81" t="s">
        <v>53</v>
      </c>
      <c r="F20" s="81" t="s">
        <v>53</v>
      </c>
      <c r="G20" s="81" t="s">
        <v>53</v>
      </c>
      <c r="H20" s="81" t="s">
        <v>53</v>
      </c>
      <c r="I20" s="81" t="s">
        <v>53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70</v>
      </c>
      <c r="B26" s="20" t="s">
        <v>71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3" priority="28" stopIfTrue="1" operator="equal">
      <formula>1</formula>
    </cfRule>
  </conditionalFormatting>
  <conditionalFormatting sqref="A24:B25 A32:B33 C24:I33">
    <cfRule type="cellIs" dxfId="22" priority="27" stopIfTrue="1" operator="equal">
      <formula>1</formula>
    </cfRule>
  </conditionalFormatting>
  <conditionalFormatting sqref="K10:K13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9:IV9">
    <cfRule type="cellIs" dxfId="19" priority="21" stopIfTrue="1" operator="equal">
      <formula>1</formula>
    </cfRule>
  </conditionalFormatting>
  <conditionalFormatting sqref="G19:I19">
    <cfRule type="cellIs" dxfId="18" priority="13" stopIfTrue="1" operator="equal">
      <formula>1</formula>
    </cfRule>
  </conditionalFormatting>
  <conditionalFormatting sqref="D18:G18 F15:G17 H15:I18">
    <cfRule type="cellIs" dxfId="17" priority="12" stopIfTrue="1" operator="equal">
      <formula>1</formula>
    </cfRule>
  </conditionalFormatting>
  <conditionalFormatting sqref="F17:G17">
    <cfRule type="cellIs" dxfId="16" priority="11" stopIfTrue="1" operator="equal">
      <formula>1</formula>
    </cfRule>
  </conditionalFormatting>
  <conditionalFormatting sqref="A20">
    <cfRule type="cellIs" dxfId="15" priority="10" stopIfTrue="1" operator="equal">
      <formula>1</formula>
    </cfRule>
  </conditionalFormatting>
  <conditionalFormatting sqref="G12:I14 H10:I11">
    <cfRule type="cellIs" dxfId="14" priority="9" stopIfTrue="1" operator="equal">
      <formula>1</formula>
    </cfRule>
  </conditionalFormatting>
  <conditionalFormatting sqref="B10:C15">
    <cfRule type="cellIs" dxfId="13" priority="8" stopIfTrue="1" operator="equal">
      <formula>1</formula>
    </cfRule>
  </conditionalFormatting>
  <conditionalFormatting sqref="B16">
    <cfRule type="cellIs" dxfId="12" priority="7" stopIfTrue="1" operator="equal">
      <formula>1</formula>
    </cfRule>
  </conditionalFormatting>
  <conditionalFormatting sqref="E17">
    <cfRule type="cellIs" dxfId="11" priority="6" stopIfTrue="1" operator="equal">
      <formula>1</formula>
    </cfRule>
  </conditionalFormatting>
  <conditionalFormatting sqref="F12">
    <cfRule type="cellIs" dxfId="10" priority="5" stopIfTrue="1" operator="equal">
      <formula>1</formula>
    </cfRule>
  </conditionalFormatting>
  <conditionalFormatting sqref="J2:IV4">
    <cfRule type="cellIs" dxfId="9" priority="4" stopIfTrue="1" operator="equal">
      <formula>1</formula>
    </cfRule>
  </conditionalFormatting>
  <conditionalFormatting sqref="J5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14" sqref="H14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39" t="s">
        <v>254</v>
      </c>
      <c r="B2" s="140"/>
      <c r="C2" s="141"/>
      <c r="D2" s="156" t="s">
        <v>11</v>
      </c>
      <c r="E2" s="156">
        <v>8000</v>
      </c>
      <c r="F2" s="156">
        <v>10000</v>
      </c>
      <c r="G2" s="156">
        <f>F2+4000</f>
        <v>14000</v>
      </c>
      <c r="H2" s="141"/>
      <c r="I2" s="141"/>
    </row>
    <row r="3" spans="1:9" s="4" customFormat="1" ht="21" customHeight="1" x14ac:dyDescent="0.15">
      <c r="A3" s="139" t="s">
        <v>255</v>
      </c>
      <c r="B3" s="143"/>
      <c r="C3" s="144"/>
      <c r="D3" s="156" t="s">
        <v>11</v>
      </c>
      <c r="E3" s="156">
        <v>7500</v>
      </c>
      <c r="F3" s="156">
        <v>9500</v>
      </c>
      <c r="G3" s="156">
        <f t="shared" ref="G3:G4" si="0">F3+4000</f>
        <v>13500</v>
      </c>
      <c r="H3" s="144"/>
      <c r="I3" s="144"/>
    </row>
    <row r="4" spans="1:9" s="4" customFormat="1" ht="21" customHeight="1" x14ac:dyDescent="0.15">
      <c r="A4" s="139" t="s">
        <v>242</v>
      </c>
      <c r="B4" s="146"/>
      <c r="C4" s="147"/>
      <c r="D4" s="156">
        <v>5000</v>
      </c>
      <c r="E4" s="156">
        <v>7000</v>
      </c>
      <c r="F4" s="156">
        <v>9000</v>
      </c>
      <c r="G4" s="156">
        <f t="shared" si="0"/>
        <v>13000</v>
      </c>
      <c r="H4" s="147"/>
      <c r="I4" s="147"/>
    </row>
    <row r="5" spans="1:9" s="4" customFormat="1" ht="21" customHeight="1" x14ac:dyDescent="0.15">
      <c r="A5" s="149" t="s">
        <v>256</v>
      </c>
      <c r="B5" s="150"/>
      <c r="C5" s="151"/>
      <c r="D5" s="156">
        <v>4900</v>
      </c>
      <c r="E5" s="156">
        <v>6700</v>
      </c>
      <c r="F5" s="156">
        <v>8500</v>
      </c>
      <c r="G5" s="156">
        <f t="shared" ref="G5" si="1">5000+F5</f>
        <v>13500</v>
      </c>
      <c r="H5" s="151"/>
      <c r="I5" s="151"/>
    </row>
    <row r="6" spans="1:9" s="4" customFormat="1" ht="21" customHeight="1" x14ac:dyDescent="0.15">
      <c r="A6" s="149" t="s">
        <v>257</v>
      </c>
      <c r="B6" s="150"/>
      <c r="C6" s="151"/>
      <c r="D6" s="156">
        <v>4800</v>
      </c>
      <c r="E6" s="156">
        <v>6600</v>
      </c>
      <c r="F6" s="156" t="s">
        <v>11</v>
      </c>
      <c r="G6" s="156" t="s">
        <v>11</v>
      </c>
      <c r="H6" s="151"/>
      <c r="I6" s="151"/>
    </row>
    <row r="7" spans="1:9" ht="21" customHeight="1" x14ac:dyDescent="0.15">
      <c r="A7" s="76" t="s">
        <v>212</v>
      </c>
      <c r="B7" s="44" t="s">
        <v>11</v>
      </c>
      <c r="C7" s="44" t="s">
        <v>11</v>
      </c>
      <c r="D7" s="44" t="s">
        <v>11</v>
      </c>
      <c r="E7" s="44" t="s">
        <v>11</v>
      </c>
      <c r="F7" s="44" t="s">
        <v>11</v>
      </c>
      <c r="G7" s="44" t="s">
        <v>11</v>
      </c>
      <c r="H7" s="44" t="s">
        <v>11</v>
      </c>
      <c r="I7" s="44" t="s">
        <v>11</v>
      </c>
    </row>
    <row r="8" spans="1:9" ht="21" customHeight="1" x14ac:dyDescent="0.15">
      <c r="A8" s="77" t="s">
        <v>214</v>
      </c>
      <c r="B8" s="44" t="s">
        <v>11</v>
      </c>
      <c r="C8" s="44" t="s">
        <v>11</v>
      </c>
      <c r="D8" s="44" t="s">
        <v>11</v>
      </c>
      <c r="E8" s="44">
        <v>8000</v>
      </c>
      <c r="F8" s="27">
        <v>10000</v>
      </c>
      <c r="G8" s="156">
        <f>F8+4000</f>
        <v>14000</v>
      </c>
      <c r="H8" s="44" t="s">
        <v>11</v>
      </c>
      <c r="I8" s="44" t="s">
        <v>11</v>
      </c>
    </row>
    <row r="9" spans="1:9" s="43" customFormat="1" ht="21" customHeight="1" x14ac:dyDescent="0.15">
      <c r="A9" s="78" t="s">
        <v>215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156">
        <f t="shared" ref="G9:G10" si="2">F9+4000</f>
        <v>13500</v>
      </c>
      <c r="H9" s="27" t="s">
        <v>11</v>
      </c>
      <c r="I9" s="27" t="s">
        <v>11</v>
      </c>
    </row>
    <row r="10" spans="1:9" ht="21" customHeight="1" x14ac:dyDescent="0.15">
      <c r="A10" s="78" t="s">
        <v>9</v>
      </c>
      <c r="B10" s="67" t="s">
        <v>11</v>
      </c>
      <c r="C10" s="67" t="s">
        <v>11</v>
      </c>
      <c r="D10" s="27">
        <v>5000</v>
      </c>
      <c r="E10" s="27">
        <v>7000</v>
      </c>
      <c r="F10" s="27">
        <v>9000</v>
      </c>
      <c r="G10" s="156">
        <f t="shared" si="2"/>
        <v>13000</v>
      </c>
      <c r="H10" s="67" t="s">
        <v>11</v>
      </c>
      <c r="I10" s="67" t="s">
        <v>11</v>
      </c>
    </row>
    <row r="11" spans="1:9" ht="21" customHeight="1" x14ac:dyDescent="0.15">
      <c r="A11" s="78" t="s">
        <v>216</v>
      </c>
      <c r="B11" s="67" t="s">
        <v>11</v>
      </c>
      <c r="C11" s="67" t="s">
        <v>11</v>
      </c>
      <c r="D11" s="27">
        <v>4900</v>
      </c>
      <c r="E11" s="27">
        <v>6700</v>
      </c>
      <c r="F11" s="27">
        <v>8500</v>
      </c>
      <c r="G11" s="156">
        <f t="shared" ref="G11" si="3">5000+F11</f>
        <v>13500</v>
      </c>
      <c r="H11" s="67" t="s">
        <v>11</v>
      </c>
      <c r="I11" s="67" t="s">
        <v>11</v>
      </c>
    </row>
    <row r="12" spans="1:9" ht="21" customHeight="1" x14ac:dyDescent="0.15">
      <c r="A12" s="78" t="s">
        <v>112</v>
      </c>
      <c r="B12" s="67" t="s">
        <v>11</v>
      </c>
      <c r="C12" s="67" t="s">
        <v>11</v>
      </c>
      <c r="D12" s="27">
        <v>4800</v>
      </c>
      <c r="E12" s="27">
        <v>6600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78" t="s">
        <v>217</v>
      </c>
      <c r="B13" s="67" t="s">
        <v>11</v>
      </c>
      <c r="C13" s="67" t="s">
        <v>11</v>
      </c>
      <c r="D13" s="67" t="s">
        <v>11</v>
      </c>
      <c r="E13" s="27">
        <v>6300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8" t="s">
        <v>218</v>
      </c>
      <c r="B14" s="67" t="s">
        <v>11</v>
      </c>
      <c r="C14" s="67" t="s">
        <v>11</v>
      </c>
      <c r="D14" s="27">
        <v>4600</v>
      </c>
      <c r="E14" s="27">
        <v>5800</v>
      </c>
      <c r="F14" s="27">
        <v>7600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8" t="s">
        <v>111</v>
      </c>
      <c r="B15" s="67" t="s">
        <v>11</v>
      </c>
      <c r="C15" s="67" t="s">
        <v>11</v>
      </c>
      <c r="D15" s="27">
        <v>4400</v>
      </c>
      <c r="E15" s="27">
        <v>5600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8" t="s">
        <v>219</v>
      </c>
      <c r="B16" s="67" t="s">
        <v>11</v>
      </c>
      <c r="C16" s="27">
        <v>3000</v>
      </c>
      <c r="D16" s="27">
        <v>4200</v>
      </c>
      <c r="E16" s="27">
        <v>5400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8" t="s">
        <v>8</v>
      </c>
      <c r="B17" s="27">
        <v>2000</v>
      </c>
      <c r="C17" s="27">
        <v>2800</v>
      </c>
      <c r="D17" s="27">
        <v>4000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9" t="s">
        <v>7</v>
      </c>
      <c r="B18" s="27">
        <v>1750</v>
      </c>
      <c r="C18" s="27">
        <v>2550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9" t="s">
        <v>220</v>
      </c>
      <c r="B19" s="27">
        <v>1500</v>
      </c>
      <c r="C19" s="27">
        <v>2300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6" t="s">
        <v>221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5" stopIfTrue="1" operator="equal">
      <formula>1</formula>
    </cfRule>
  </conditionalFormatting>
  <conditionalFormatting sqref="A21:I65541">
    <cfRule type="cellIs" dxfId="4" priority="6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3" sqref="H13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117</v>
      </c>
      <c r="G1" s="22" t="s">
        <v>118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I25" sqref="I25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5">
        <v>592</v>
      </c>
    </row>
    <row r="4" spans="1:4" x14ac:dyDescent="0.15">
      <c r="A4" t="s">
        <v>201</v>
      </c>
      <c r="B4" s="135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230</v>
      </c>
    </row>
    <row r="13" spans="1:4" x14ac:dyDescent="0.15">
      <c r="B13" t="s">
        <v>234</v>
      </c>
      <c r="C13" t="s">
        <v>235</v>
      </c>
      <c r="D13" t="s">
        <v>236</v>
      </c>
    </row>
    <row r="14" spans="1:4" x14ac:dyDescent="0.15">
      <c r="A14" t="s">
        <v>232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38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unit_serifs_i18n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2017-06-06T07:50:34Z</dcterms:modified>
</cp:coreProperties>
</file>