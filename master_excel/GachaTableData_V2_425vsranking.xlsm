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12"/>
  </bookViews>
  <sheets>
    <sheet name="確率の考え方" sheetId="110" r:id="rId1"/>
    <sheet name="Sheet1" sheetId="107" r:id="rId2"/>
    <sheet name="output" sheetId="103" r:id="rId3"/>
    <sheet name="input_425101" sheetId="106" r:id="rId4"/>
    <sheet name="tables_425101" sheetId="82" r:id="rId5"/>
    <sheet name="input_425103" sheetId="147" r:id="rId6"/>
    <sheet name="tables_425103" sheetId="148" r:id="rId7"/>
    <sheet name="tables_settle_425103" sheetId="157" r:id="rId8"/>
    <sheet name="input_425104" sheetId="149" r:id="rId9"/>
    <sheet name="tables_425104" sheetId="150" r:id="rId10"/>
    <sheet name="input_425105" sheetId="158" r:id="rId11"/>
    <sheet name="tables_425105" sheetId="159" r:id="rId12"/>
    <sheet name="input_425100" sheetId="153" r:id="rId13"/>
    <sheet name="tables_425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tables_425100!$A$1:$V$300</definedName>
    <definedName name="_xlnm._FilterDatabase" localSheetId="4" hidden="1">tables_425101!$A$1:$V$1</definedName>
    <definedName name="_xlnm._FilterDatabase" localSheetId="6" hidden="1">tables_425103!$A$1:$V$300</definedName>
    <definedName name="_xlnm._FilterDatabase" localSheetId="9" hidden="1">tables_425104!$A$1:$V$294</definedName>
    <definedName name="_xlnm._FilterDatabase" localSheetId="11" hidden="1">tables_425105!$A$1:$V$300</definedName>
    <definedName name="_xlnm._FilterDatabase" localSheetId="7" hidden="1">tables_settle_425103!$A$1:$V$33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2" i="153" l="1"/>
  <c r="B35" i="153"/>
  <c r="B36" i="153"/>
  <c r="B44" i="153"/>
  <c r="A2" i="153"/>
  <c r="I2" i="154"/>
  <c r="D2" i="154"/>
  <c r="J2" i="154"/>
  <c r="E2" i="154"/>
  <c r="K2" i="154"/>
  <c r="G2" i="154"/>
  <c r="C2" i="154"/>
  <c r="I3" i="154"/>
  <c r="D3" i="154"/>
  <c r="J3" i="154"/>
  <c r="E3" i="154"/>
  <c r="K3" i="154"/>
  <c r="G3" i="154"/>
  <c r="C3" i="154"/>
  <c r="I4" i="154"/>
  <c r="D4" i="154"/>
  <c r="J4" i="154"/>
  <c r="E4" i="154"/>
  <c r="K4" i="154"/>
  <c r="G4" i="154"/>
  <c r="C4" i="154"/>
  <c r="I5" i="154"/>
  <c r="D5" i="154"/>
  <c r="J5" i="154"/>
  <c r="E5" i="154"/>
  <c r="K5" i="154"/>
  <c r="G5" i="154"/>
  <c r="C5" i="154"/>
  <c r="I6" i="154"/>
  <c r="D6" i="154"/>
  <c r="J6" i="154"/>
  <c r="E6" i="154"/>
  <c r="K6" i="154"/>
  <c r="G6" i="154"/>
  <c r="C6" i="154"/>
  <c r="I7" i="154"/>
  <c r="D7" i="154"/>
  <c r="J7" i="154"/>
  <c r="E7" i="154"/>
  <c r="K7" i="154"/>
  <c r="G7" i="154"/>
  <c r="C7" i="154"/>
  <c r="I8" i="154"/>
  <c r="D8" i="154"/>
  <c r="J8" i="154"/>
  <c r="E8" i="154"/>
  <c r="K8" i="154"/>
  <c r="G8" i="154"/>
  <c r="C8" i="154"/>
  <c r="I9" i="154"/>
  <c r="D9" i="154"/>
  <c r="J9" i="154"/>
  <c r="E9" i="154"/>
  <c r="K9" i="154"/>
  <c r="G9" i="154"/>
  <c r="C9" i="154"/>
  <c r="I10" i="154"/>
  <c r="D10" i="154"/>
  <c r="J10" i="154"/>
  <c r="E10" i="154"/>
  <c r="K10" i="154"/>
  <c r="G10" i="154"/>
  <c r="C10" i="154"/>
  <c r="I11" i="154"/>
  <c r="D11" i="154"/>
  <c r="J11" i="154"/>
  <c r="E11" i="154"/>
  <c r="K11" i="154"/>
  <c r="G11" i="154"/>
  <c r="C11" i="154"/>
  <c r="I12" i="154"/>
  <c r="D12" i="154"/>
  <c r="J12" i="154"/>
  <c r="E12" i="154"/>
  <c r="K12" i="154"/>
  <c r="G12" i="154"/>
  <c r="C12" i="154"/>
  <c r="I13" i="154"/>
  <c r="D13" i="154"/>
  <c r="J13" i="154"/>
  <c r="E13" i="154"/>
  <c r="K13" i="154"/>
  <c r="G13" i="154"/>
  <c r="C13" i="154"/>
  <c r="I14" i="154"/>
  <c r="D14" i="154"/>
  <c r="J14" i="154"/>
  <c r="E14" i="154"/>
  <c r="K14" i="154"/>
  <c r="G14" i="154"/>
  <c r="C14" i="154"/>
  <c r="I15" i="154"/>
  <c r="D15" i="154"/>
  <c r="J15" i="154"/>
  <c r="E15" i="154"/>
  <c r="K15" i="154"/>
  <c r="G15" i="154"/>
  <c r="C15" i="154"/>
  <c r="I16" i="154"/>
  <c r="D16" i="154"/>
  <c r="J16" i="154"/>
  <c r="E16" i="154"/>
  <c r="K16" i="154"/>
  <c r="G16" i="154"/>
  <c r="C16" i="154"/>
  <c r="I17" i="154"/>
  <c r="D17" i="154"/>
  <c r="J17" i="154"/>
  <c r="E17" i="154"/>
  <c r="K17" i="154"/>
  <c r="G17" i="154"/>
  <c r="C17" i="154"/>
  <c r="I18" i="154"/>
  <c r="D18" i="154"/>
  <c r="J18" i="154"/>
  <c r="E18" i="154"/>
  <c r="K18" i="154"/>
  <c r="G18" i="154"/>
  <c r="C18" i="154"/>
  <c r="I19" i="154"/>
  <c r="D19" i="154"/>
  <c r="J19" i="154"/>
  <c r="E19" i="154"/>
  <c r="K19" i="154"/>
  <c r="G19" i="154"/>
  <c r="C19" i="154"/>
  <c r="I20" i="154"/>
  <c r="D20" i="154"/>
  <c r="J20" i="154"/>
  <c r="E20" i="154"/>
  <c r="K20" i="154"/>
  <c r="G20" i="154"/>
  <c r="C20" i="154"/>
  <c r="I21" i="154"/>
  <c r="D21" i="154"/>
  <c r="J21" i="154"/>
  <c r="E21" i="154"/>
  <c r="K21" i="154"/>
  <c r="G21" i="154"/>
  <c r="C21" i="154"/>
  <c r="I22" i="154"/>
  <c r="D22" i="154"/>
  <c r="J22" i="154"/>
  <c r="E22" i="154"/>
  <c r="K22" i="154"/>
  <c r="G22" i="154"/>
  <c r="C22" i="154"/>
  <c r="I23" i="154"/>
  <c r="D23" i="154"/>
  <c r="J23" i="154"/>
  <c r="E23" i="154"/>
  <c r="K23" i="154"/>
  <c r="G23" i="154"/>
  <c r="C23" i="154"/>
  <c r="I24" i="154"/>
  <c r="D24" i="154"/>
  <c r="J24" i="154"/>
  <c r="E24" i="154"/>
  <c r="K24" i="154"/>
  <c r="G24" i="154"/>
  <c r="C24" i="154"/>
  <c r="I25" i="154"/>
  <c r="D25" i="154"/>
  <c r="J25" i="154"/>
  <c r="E25" i="154"/>
  <c r="K25" i="154"/>
  <c r="G25" i="154"/>
  <c r="C25" i="154"/>
  <c r="I26" i="154"/>
  <c r="D26" i="154"/>
  <c r="J26" i="154"/>
  <c r="E26" i="154"/>
  <c r="K26" i="154"/>
  <c r="G26" i="154"/>
  <c r="C26" i="154"/>
  <c r="I27" i="154"/>
  <c r="D27" i="154"/>
  <c r="J27" i="154"/>
  <c r="E27" i="154"/>
  <c r="K27" i="154"/>
  <c r="G27" i="154"/>
  <c r="C27" i="154"/>
  <c r="I28" i="154"/>
  <c r="D28" i="154"/>
  <c r="J28" i="154"/>
  <c r="E28" i="154"/>
  <c r="K28" i="154"/>
  <c r="G28" i="154"/>
  <c r="C28" i="154"/>
  <c r="I29" i="154"/>
  <c r="D29" i="154"/>
  <c r="J29" i="154"/>
  <c r="E29" i="154"/>
  <c r="K29" i="154"/>
  <c r="G29" i="154"/>
  <c r="C29" i="154"/>
  <c r="I30" i="154"/>
  <c r="D30" i="154"/>
  <c r="J30" i="154"/>
  <c r="E30" i="154"/>
  <c r="K30" i="154"/>
  <c r="G30" i="154"/>
  <c r="C30" i="154"/>
  <c r="I31" i="154"/>
  <c r="D31" i="154"/>
  <c r="J31" i="154"/>
  <c r="E31" i="154"/>
  <c r="K31" i="154"/>
  <c r="G31" i="154"/>
  <c r="C31" i="154"/>
  <c r="I32" i="154"/>
  <c r="D32" i="154"/>
  <c r="J32" i="154"/>
  <c r="E32" i="154"/>
  <c r="K32" i="154"/>
  <c r="G32" i="154"/>
  <c r="C32" i="154"/>
  <c r="I33" i="154"/>
  <c r="D33" i="154"/>
  <c r="J33" i="154"/>
  <c r="E33" i="154"/>
  <c r="K33" i="154"/>
  <c r="G33" i="154"/>
  <c r="C33" i="154"/>
  <c r="I34" i="154"/>
  <c r="D34" i="154"/>
  <c r="J34" i="154"/>
  <c r="E34" i="154"/>
  <c r="K34" i="154"/>
  <c r="G34" i="154"/>
  <c r="C34" i="154"/>
  <c r="I35" i="154"/>
  <c r="D35" i="154"/>
  <c r="J35" i="154"/>
  <c r="E35" i="154"/>
  <c r="K35" i="154"/>
  <c r="G35" i="154"/>
  <c r="C35" i="154"/>
  <c r="I36" i="154"/>
  <c r="D36" i="154"/>
  <c r="J36" i="154"/>
  <c r="E36" i="154"/>
  <c r="K36" i="154"/>
  <c r="G36" i="154"/>
  <c r="C36" i="154"/>
  <c r="I37" i="154"/>
  <c r="D37" i="154"/>
  <c r="J37" i="154"/>
  <c r="E37" i="154"/>
  <c r="K37" i="154"/>
  <c r="G37" i="154"/>
  <c r="C37" i="154"/>
  <c r="I38" i="154"/>
  <c r="D38" i="154"/>
  <c r="J38" i="154"/>
  <c r="E38" i="154"/>
  <c r="K38" i="154"/>
  <c r="G38" i="154"/>
  <c r="C38" i="154"/>
  <c r="I39" i="154"/>
  <c r="D39" i="154"/>
  <c r="J39" i="154"/>
  <c r="E39" i="154"/>
  <c r="K39" i="154"/>
  <c r="G39" i="154"/>
  <c r="C39" i="154"/>
  <c r="I40" i="154"/>
  <c r="D40" i="154"/>
  <c r="J40" i="154"/>
  <c r="E40" i="154"/>
  <c r="K40" i="154"/>
  <c r="G40" i="154"/>
  <c r="C40" i="154"/>
  <c r="I41" i="154"/>
  <c r="D41" i="154"/>
  <c r="J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D215" i="154"/>
  <c r="J215" i="154"/>
  <c r="E215" i="154"/>
  <c r="K215" i="154"/>
  <c r="G215" i="154"/>
  <c r="C215" i="154"/>
  <c r="I216" i="154"/>
  <c r="D216" i="154"/>
  <c r="J216" i="154"/>
  <c r="E216" i="154"/>
  <c r="K216" i="154"/>
  <c r="G216" i="154"/>
  <c r="C216" i="154"/>
  <c r="I217" i="154"/>
  <c r="D217" i="154"/>
  <c r="J217" i="154"/>
  <c r="E217" i="154"/>
  <c r="K217" i="154"/>
  <c r="G217" i="154"/>
  <c r="C217" i="154"/>
  <c r="I218" i="154"/>
  <c r="D218" i="154"/>
  <c r="J218" i="154"/>
  <c r="E218" i="154"/>
  <c r="K218" i="154"/>
  <c r="G218" i="154"/>
  <c r="C218" i="154"/>
  <c r="I219" i="154"/>
  <c r="D219" i="154"/>
  <c r="J219" i="154"/>
  <c r="E219" i="154"/>
  <c r="K219" i="154"/>
  <c r="G219" i="154"/>
  <c r="C219" i="154"/>
  <c r="I220" i="154"/>
  <c r="D220" i="154"/>
  <c r="J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F5" i="153"/>
  <c r="F7" i="153"/>
  <c r="A51" i="153"/>
  <c r="E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2" i="154"/>
  <c r="O4" i="154"/>
  <c r="O6" i="154"/>
  <c r="F8" i="153"/>
  <c r="E8" i="153"/>
  <c r="E33" i="153"/>
  <c r="E34" i="153"/>
  <c r="B34" i="153"/>
  <c r="E39" i="153"/>
  <c r="B39" i="153"/>
  <c r="B32" i="153"/>
  <c r="B33" i="153"/>
  <c r="G33" i="153"/>
  <c r="H33" i="153"/>
  <c r="O8" i="154"/>
  <c r="G17" i="153"/>
  <c r="E17" i="153"/>
  <c r="H17" i="153"/>
  <c r="O3" i="154"/>
  <c r="O5" i="154"/>
  <c r="G32" i="153"/>
  <c r="E32" i="153"/>
  <c r="H32" i="153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G24" i="153"/>
  <c r="H24" i="153"/>
  <c r="O41" i="154"/>
  <c r="E25" i="153"/>
  <c r="B25" i="153"/>
  <c r="G25" i="153"/>
  <c r="H25" i="153"/>
  <c r="O42" i="154"/>
  <c r="E26" i="153"/>
  <c r="B26" i="153"/>
  <c r="G26" i="153"/>
  <c r="H26" i="153"/>
  <c r="O43" i="154"/>
  <c r="O44" i="154"/>
  <c r="O45" i="154"/>
  <c r="O46" i="154"/>
  <c r="O47" i="154"/>
  <c r="O48" i="154"/>
  <c r="O49" i="154"/>
  <c r="G34" i="153"/>
  <c r="H34" i="153"/>
  <c r="O50" i="154"/>
  <c r="E50" i="153"/>
  <c r="E35" i="153"/>
  <c r="G35" i="153"/>
  <c r="H35" i="153"/>
  <c r="O51" i="154"/>
  <c r="E36" i="153"/>
  <c r="G36" i="153"/>
  <c r="H36" i="153"/>
  <c r="O52" i="154"/>
  <c r="G19" i="153"/>
  <c r="H19" i="153"/>
  <c r="O53" i="154"/>
  <c r="E20" i="153"/>
  <c r="B20" i="153"/>
  <c r="G20" i="153"/>
  <c r="H20" i="153"/>
  <c r="O54" i="154"/>
  <c r="E21" i="153"/>
  <c r="B21" i="153"/>
  <c r="G21" i="153"/>
  <c r="H21" i="153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G39" i="153"/>
  <c r="H39" i="153"/>
  <c r="O110" i="154"/>
  <c r="E40" i="153"/>
  <c r="B40" i="153"/>
  <c r="G40" i="153"/>
  <c r="H40" i="153"/>
  <c r="O111" i="154"/>
  <c r="E41" i="153"/>
  <c r="B41" i="153"/>
  <c r="G41" i="153"/>
  <c r="H41" i="153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E5" i="153"/>
  <c r="E27" i="153"/>
  <c r="B27" i="153"/>
  <c r="G27" i="153"/>
  <c r="H27" i="153"/>
  <c r="O137" i="154"/>
  <c r="E28" i="153"/>
  <c r="B28" i="153"/>
  <c r="G28" i="153"/>
  <c r="H28" i="153"/>
  <c r="O138" i="154"/>
  <c r="O139" i="154"/>
  <c r="O140" i="154"/>
  <c r="O141" i="154"/>
  <c r="O142" i="154"/>
  <c r="F6" i="153"/>
  <c r="E6" i="153"/>
  <c r="E42" i="153"/>
  <c r="G42" i="153"/>
  <c r="H42" i="153"/>
  <c r="O143" i="154"/>
  <c r="E43" i="153"/>
  <c r="B43" i="153"/>
  <c r="G43" i="153"/>
  <c r="H43" i="153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E22" i="153"/>
  <c r="E23" i="153"/>
  <c r="B23" i="153"/>
  <c r="B22" i="153"/>
  <c r="G22" i="153"/>
  <c r="H22" i="153"/>
  <c r="O255" i="154"/>
  <c r="G23" i="153"/>
  <c r="H23" i="153"/>
  <c r="O256" i="154"/>
  <c r="O257" i="154"/>
  <c r="O258" i="154"/>
  <c r="E29" i="153"/>
  <c r="B29" i="153"/>
  <c r="G29" i="153"/>
  <c r="H29" i="153"/>
  <c r="O259" i="154"/>
  <c r="E44" i="153"/>
  <c r="G44" i="153"/>
  <c r="H44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E37" i="153"/>
  <c r="E38" i="153"/>
  <c r="B38" i="153"/>
  <c r="B37" i="153"/>
  <c r="G37" i="153"/>
  <c r="H37" i="153"/>
  <c r="O275" i="154"/>
  <c r="G38" i="153"/>
  <c r="H38" i="153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G46" i="153"/>
  <c r="E46" i="153"/>
  <c r="H46" i="153"/>
  <c r="O319" i="154"/>
  <c r="F56" i="153"/>
  <c r="G56" i="153"/>
  <c r="F311" i="154"/>
  <c r="H311" i="154"/>
  <c r="L311" i="154"/>
  <c r="M311" i="154"/>
  <c r="N311" i="154"/>
  <c r="F312" i="154"/>
  <c r="F313" i="154"/>
  <c r="F314" i="154"/>
  <c r="F315" i="154"/>
  <c r="F316" i="154"/>
  <c r="F317" i="154"/>
  <c r="F318" i="154"/>
  <c r="F319" i="154"/>
  <c r="G31" i="153"/>
  <c r="E31" i="153"/>
  <c r="H31" i="153"/>
  <c r="P311" i="154"/>
  <c r="H312" i="154"/>
  <c r="L312" i="154"/>
  <c r="M312" i="154"/>
  <c r="N312" i="154"/>
  <c r="P312" i="154"/>
  <c r="H313" i="154"/>
  <c r="L313" i="154"/>
  <c r="M313" i="154"/>
  <c r="N313" i="154"/>
  <c r="P313" i="154"/>
  <c r="H314" i="154"/>
  <c r="L314" i="154"/>
  <c r="M314" i="154"/>
  <c r="N314" i="154"/>
  <c r="P314" i="154"/>
  <c r="H315" i="154"/>
  <c r="L315" i="154"/>
  <c r="M315" i="154"/>
  <c r="N315" i="154"/>
  <c r="P315" i="154"/>
  <c r="H316" i="154"/>
  <c r="L316" i="154"/>
  <c r="M316" i="154"/>
  <c r="N316" i="154"/>
  <c r="P316" i="154"/>
  <c r="H317" i="154"/>
  <c r="L317" i="154"/>
  <c r="M317" i="154"/>
  <c r="N317" i="154"/>
  <c r="P317" i="154"/>
  <c r="H318" i="154"/>
  <c r="L318" i="154"/>
  <c r="M318" i="154"/>
  <c r="N318" i="154"/>
  <c r="P318" i="154"/>
  <c r="H319" i="154"/>
  <c r="L319" i="154"/>
  <c r="M319" i="154"/>
  <c r="N319" i="154"/>
  <c r="P319" i="154"/>
  <c r="A311" i="154"/>
  <c r="A312" i="154"/>
  <c r="A313" i="154"/>
  <c r="A314" i="154"/>
  <c r="A315" i="154"/>
  <c r="A316" i="154"/>
  <c r="A317" i="154"/>
  <c r="A318" i="154"/>
  <c r="A31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F64" i="153"/>
  <c r="F65" i="153"/>
  <c r="B46" i="153"/>
  <c r="B11" i="153"/>
  <c r="I2" i="159"/>
  <c r="D2" i="159"/>
  <c r="J2" i="159"/>
  <c r="E2" i="159"/>
  <c r="K2" i="159"/>
  <c r="G2" i="159"/>
  <c r="C2" i="159"/>
  <c r="I3" i="159"/>
  <c r="D3" i="159"/>
  <c r="J3" i="159"/>
  <c r="E3" i="159"/>
  <c r="K3" i="159"/>
  <c r="G3" i="159"/>
  <c r="C3" i="159"/>
  <c r="I4" i="159"/>
  <c r="D4" i="159"/>
  <c r="J4" i="159"/>
  <c r="E4" i="159"/>
  <c r="K4" i="159"/>
  <c r="G4" i="159"/>
  <c r="C4" i="159"/>
  <c r="I5" i="159"/>
  <c r="D5" i="159"/>
  <c r="J5" i="159"/>
  <c r="E5" i="159"/>
  <c r="K5" i="159"/>
  <c r="G5" i="159"/>
  <c r="C5" i="159"/>
  <c r="I6" i="159"/>
  <c r="D6" i="159"/>
  <c r="J6" i="159"/>
  <c r="E6" i="159"/>
  <c r="K6" i="159"/>
  <c r="G6" i="159"/>
  <c r="C6" i="159"/>
  <c r="I7" i="159"/>
  <c r="D7" i="159"/>
  <c r="J7" i="159"/>
  <c r="E7" i="159"/>
  <c r="K7" i="159"/>
  <c r="G7" i="159"/>
  <c r="C7" i="159"/>
  <c r="I8" i="159"/>
  <c r="D8" i="159"/>
  <c r="J8" i="159"/>
  <c r="E8" i="159"/>
  <c r="K8" i="159"/>
  <c r="G8" i="159"/>
  <c r="C8" i="159"/>
  <c r="I9" i="159"/>
  <c r="D9" i="159"/>
  <c r="J9" i="159"/>
  <c r="E9" i="159"/>
  <c r="K9" i="159"/>
  <c r="G9" i="159"/>
  <c r="C9" i="159"/>
  <c r="I10" i="159"/>
  <c r="D10" i="159"/>
  <c r="J10" i="159"/>
  <c r="E10" i="159"/>
  <c r="K10" i="159"/>
  <c r="G10" i="159"/>
  <c r="C10" i="159"/>
  <c r="I11" i="159"/>
  <c r="D11" i="159"/>
  <c r="J11" i="159"/>
  <c r="E11" i="159"/>
  <c r="K11" i="159"/>
  <c r="G11" i="159"/>
  <c r="C11" i="159"/>
  <c r="I12" i="159"/>
  <c r="D12" i="159"/>
  <c r="J12" i="159"/>
  <c r="E12" i="159"/>
  <c r="K12" i="159"/>
  <c r="G12" i="159"/>
  <c r="C12" i="159"/>
  <c r="I13" i="159"/>
  <c r="D13" i="159"/>
  <c r="J13" i="159"/>
  <c r="E13" i="159"/>
  <c r="K13" i="159"/>
  <c r="G13" i="159"/>
  <c r="C13" i="159"/>
  <c r="I14" i="159"/>
  <c r="D14" i="159"/>
  <c r="J14" i="159"/>
  <c r="E14" i="159"/>
  <c r="K14" i="159"/>
  <c r="G14" i="159"/>
  <c r="C14" i="159"/>
  <c r="I15" i="159"/>
  <c r="D15" i="159"/>
  <c r="J15" i="159"/>
  <c r="E15" i="159"/>
  <c r="K15" i="159"/>
  <c r="G15" i="159"/>
  <c r="C15" i="159"/>
  <c r="I16" i="159"/>
  <c r="D16" i="159"/>
  <c r="J16" i="159"/>
  <c r="E16" i="159"/>
  <c r="K16" i="159"/>
  <c r="G16" i="159"/>
  <c r="C16" i="159"/>
  <c r="I17" i="159"/>
  <c r="D17" i="159"/>
  <c r="J17" i="159"/>
  <c r="E17" i="159"/>
  <c r="K17" i="159"/>
  <c r="G17" i="159"/>
  <c r="C17" i="159"/>
  <c r="I18" i="159"/>
  <c r="D18" i="159"/>
  <c r="J18" i="159"/>
  <c r="E18" i="159"/>
  <c r="K18" i="159"/>
  <c r="G18" i="159"/>
  <c r="C18" i="159"/>
  <c r="I19" i="159"/>
  <c r="D19" i="159"/>
  <c r="J19" i="159"/>
  <c r="E19" i="159"/>
  <c r="K19" i="159"/>
  <c r="G19" i="159"/>
  <c r="C19" i="159"/>
  <c r="I20" i="159"/>
  <c r="D20" i="159"/>
  <c r="J20" i="159"/>
  <c r="E20" i="159"/>
  <c r="K20" i="159"/>
  <c r="G20" i="159"/>
  <c r="C20" i="159"/>
  <c r="I21" i="159"/>
  <c r="D21" i="159"/>
  <c r="J21" i="159"/>
  <c r="E21" i="159"/>
  <c r="K21" i="159"/>
  <c r="G21" i="159"/>
  <c r="C21" i="159"/>
  <c r="I22" i="159"/>
  <c r="D22" i="159"/>
  <c r="J22" i="159"/>
  <c r="E22" i="159"/>
  <c r="K22" i="159"/>
  <c r="G22" i="159"/>
  <c r="C22" i="159"/>
  <c r="I23" i="159"/>
  <c r="D23" i="159"/>
  <c r="J23" i="159"/>
  <c r="E23" i="159"/>
  <c r="K23" i="159"/>
  <c r="G23" i="159"/>
  <c r="C23" i="159"/>
  <c r="I24" i="159"/>
  <c r="D24" i="159"/>
  <c r="J24" i="159"/>
  <c r="E24" i="159"/>
  <c r="K24" i="159"/>
  <c r="G24" i="159"/>
  <c r="C24" i="159"/>
  <c r="I25" i="159"/>
  <c r="D25" i="159"/>
  <c r="J25" i="159"/>
  <c r="E25" i="159"/>
  <c r="K25" i="159"/>
  <c r="G25" i="159"/>
  <c r="C25" i="159"/>
  <c r="I26" i="159"/>
  <c r="D26" i="159"/>
  <c r="J26" i="159"/>
  <c r="E26" i="159"/>
  <c r="K26" i="159"/>
  <c r="G26" i="159"/>
  <c r="C26" i="159"/>
  <c r="I27" i="159"/>
  <c r="D27" i="159"/>
  <c r="J27" i="159"/>
  <c r="E27" i="159"/>
  <c r="K27" i="159"/>
  <c r="G27" i="159"/>
  <c r="C27" i="159"/>
  <c r="I28" i="159"/>
  <c r="D28" i="159"/>
  <c r="J28" i="159"/>
  <c r="E28" i="159"/>
  <c r="K28" i="159"/>
  <c r="G28" i="159"/>
  <c r="C28" i="159"/>
  <c r="I29" i="159"/>
  <c r="D29" i="159"/>
  <c r="J29" i="159"/>
  <c r="E29" i="159"/>
  <c r="K29" i="159"/>
  <c r="G29" i="159"/>
  <c r="C29" i="159"/>
  <c r="I30" i="159"/>
  <c r="D30" i="159"/>
  <c r="J30" i="159"/>
  <c r="E30" i="159"/>
  <c r="K30" i="159"/>
  <c r="G30" i="159"/>
  <c r="C30" i="159"/>
  <c r="I31" i="159"/>
  <c r="D31" i="159"/>
  <c r="J31" i="159"/>
  <c r="E31" i="159"/>
  <c r="K31" i="159"/>
  <c r="G31" i="159"/>
  <c r="C31" i="159"/>
  <c r="I32" i="159"/>
  <c r="D32" i="159"/>
  <c r="J32" i="159"/>
  <c r="E32" i="159"/>
  <c r="K32" i="159"/>
  <c r="G32" i="159"/>
  <c r="C32" i="159"/>
  <c r="I33" i="159"/>
  <c r="D33" i="159"/>
  <c r="J33" i="159"/>
  <c r="E33" i="159"/>
  <c r="K33" i="159"/>
  <c r="G33" i="159"/>
  <c r="C33" i="159"/>
  <c r="I34" i="159"/>
  <c r="D34" i="159"/>
  <c r="J34" i="159"/>
  <c r="E34" i="159"/>
  <c r="K34" i="159"/>
  <c r="G34" i="159"/>
  <c r="C34" i="159"/>
  <c r="I35" i="159"/>
  <c r="D35" i="159"/>
  <c r="J35" i="159"/>
  <c r="E35" i="159"/>
  <c r="K35" i="159"/>
  <c r="G35" i="159"/>
  <c r="C35" i="159"/>
  <c r="I36" i="159"/>
  <c r="D36" i="159"/>
  <c r="J36" i="159"/>
  <c r="E36" i="159"/>
  <c r="K36" i="159"/>
  <c r="G36" i="159"/>
  <c r="C36" i="159"/>
  <c r="I37" i="159"/>
  <c r="D37" i="159"/>
  <c r="J37" i="159"/>
  <c r="E37" i="159"/>
  <c r="K37" i="159"/>
  <c r="G37" i="159"/>
  <c r="C37" i="159"/>
  <c r="I38" i="159"/>
  <c r="D38" i="159"/>
  <c r="J38" i="159"/>
  <c r="E38" i="159"/>
  <c r="K38" i="159"/>
  <c r="G38" i="159"/>
  <c r="C38" i="159"/>
  <c r="I39" i="159"/>
  <c r="D39" i="159"/>
  <c r="J39" i="159"/>
  <c r="E39" i="159"/>
  <c r="K39" i="159"/>
  <c r="G39" i="159"/>
  <c r="C39" i="159"/>
  <c r="I40" i="159"/>
  <c r="D40" i="159"/>
  <c r="J40" i="159"/>
  <c r="E40" i="159"/>
  <c r="K40" i="159"/>
  <c r="G40" i="159"/>
  <c r="C40" i="159"/>
  <c r="I41" i="159"/>
  <c r="D41" i="159"/>
  <c r="J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D215" i="159"/>
  <c r="J215" i="159"/>
  <c r="E215" i="159"/>
  <c r="K215" i="159"/>
  <c r="G215" i="159"/>
  <c r="C215" i="159"/>
  <c r="I216" i="159"/>
  <c r="D216" i="159"/>
  <c r="J216" i="159"/>
  <c r="E216" i="159"/>
  <c r="K216" i="159"/>
  <c r="G216" i="159"/>
  <c r="C216" i="159"/>
  <c r="I217" i="159"/>
  <c r="D217" i="159"/>
  <c r="J217" i="159"/>
  <c r="E217" i="159"/>
  <c r="K217" i="159"/>
  <c r="G217" i="159"/>
  <c r="C217" i="159"/>
  <c r="I218" i="159"/>
  <c r="D218" i="159"/>
  <c r="J218" i="159"/>
  <c r="E218" i="159"/>
  <c r="K218" i="159"/>
  <c r="G218" i="159"/>
  <c r="C218" i="159"/>
  <c r="I219" i="159"/>
  <c r="D219" i="159"/>
  <c r="J219" i="159"/>
  <c r="E219" i="159"/>
  <c r="K219" i="159"/>
  <c r="G219" i="159"/>
  <c r="C219" i="159"/>
  <c r="I220" i="159"/>
  <c r="D220" i="159"/>
  <c r="J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I311" i="159"/>
  <c r="D311" i="159"/>
  <c r="J311" i="159"/>
  <c r="E311" i="159"/>
  <c r="K311" i="159"/>
  <c r="G311" i="159"/>
  <c r="C311" i="159"/>
  <c r="I312" i="159"/>
  <c r="D312" i="159"/>
  <c r="J312" i="159"/>
  <c r="E312" i="159"/>
  <c r="K312" i="159"/>
  <c r="G312" i="159"/>
  <c r="C312" i="159"/>
  <c r="I313" i="159"/>
  <c r="D313" i="159"/>
  <c r="J313" i="159"/>
  <c r="E313" i="159"/>
  <c r="K313" i="159"/>
  <c r="G313" i="159"/>
  <c r="C313" i="159"/>
  <c r="I314" i="159"/>
  <c r="D314" i="159"/>
  <c r="J314" i="159"/>
  <c r="E314" i="159"/>
  <c r="K314" i="159"/>
  <c r="G314" i="159"/>
  <c r="C314" i="159"/>
  <c r="I315" i="159"/>
  <c r="D315" i="159"/>
  <c r="J315" i="159"/>
  <c r="E315" i="159"/>
  <c r="K315" i="159"/>
  <c r="G315" i="159"/>
  <c r="C315" i="159"/>
  <c r="I316" i="159"/>
  <c r="D316" i="159"/>
  <c r="J316" i="159"/>
  <c r="E316" i="159"/>
  <c r="K316" i="159"/>
  <c r="G316" i="159"/>
  <c r="C316" i="159"/>
  <c r="I317" i="159"/>
  <c r="D317" i="159"/>
  <c r="J317" i="159"/>
  <c r="E317" i="159"/>
  <c r="K317" i="159"/>
  <c r="G317" i="159"/>
  <c r="C317" i="159"/>
  <c r="I318" i="159"/>
  <c r="D318" i="159"/>
  <c r="J318" i="159"/>
  <c r="E318" i="159"/>
  <c r="K318" i="159"/>
  <c r="G318" i="159"/>
  <c r="C318" i="159"/>
  <c r="I319" i="159"/>
  <c r="D319" i="159"/>
  <c r="J319" i="159"/>
  <c r="E319" i="159"/>
  <c r="K319" i="159"/>
  <c r="G319" i="159"/>
  <c r="C319" i="159"/>
  <c r="F7" i="158"/>
  <c r="E7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18" i="158"/>
  <c r="E19" i="158"/>
  <c r="B19" i="158"/>
  <c r="E24" i="158"/>
  <c r="B24" i="158"/>
  <c r="B17" i="158"/>
  <c r="B18" i="158"/>
  <c r="F8" i="158"/>
  <c r="E8" i="158"/>
  <c r="E33" i="158"/>
  <c r="E34" i="158"/>
  <c r="B34" i="158"/>
  <c r="E39" i="158"/>
  <c r="B39" i="158"/>
  <c r="B32" i="158"/>
  <c r="B33" i="158"/>
  <c r="E35" i="158"/>
  <c r="B35" i="158"/>
  <c r="E20" i="158"/>
  <c r="B20" i="158"/>
  <c r="E21" i="158"/>
  <c r="B21" i="158"/>
  <c r="E36" i="158"/>
  <c r="B36" i="158"/>
  <c r="A2" i="158"/>
  <c r="F5" i="158"/>
  <c r="A51" i="158"/>
  <c r="G18" i="158"/>
  <c r="H18" i="158"/>
  <c r="O2" i="159"/>
  <c r="O4" i="159"/>
  <c r="O6" i="159"/>
  <c r="G33" i="158"/>
  <c r="H33" i="158"/>
  <c r="O8" i="159"/>
  <c r="G17" i="158"/>
  <c r="E17" i="158"/>
  <c r="H17" i="158"/>
  <c r="O3" i="159"/>
  <c r="O5" i="159"/>
  <c r="G32" i="158"/>
  <c r="E32" i="158"/>
  <c r="H32" i="158"/>
  <c r="O7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G24" i="158"/>
  <c r="H24" i="158"/>
  <c r="O41" i="159"/>
  <c r="E25" i="158"/>
  <c r="B25" i="158"/>
  <c r="G25" i="158"/>
  <c r="H25" i="158"/>
  <c r="O42" i="159"/>
  <c r="E26" i="158"/>
  <c r="B26" i="158"/>
  <c r="G26" i="158"/>
  <c r="H26" i="158"/>
  <c r="O43" i="159"/>
  <c r="O44" i="159"/>
  <c r="O45" i="159"/>
  <c r="O46" i="159"/>
  <c r="O47" i="159"/>
  <c r="O48" i="159"/>
  <c r="O49" i="159"/>
  <c r="G34" i="158"/>
  <c r="H34" i="158"/>
  <c r="O50" i="159"/>
  <c r="E50" i="158"/>
  <c r="G35" i="158"/>
  <c r="H35" i="158"/>
  <c r="O51" i="159"/>
  <c r="G36" i="158"/>
  <c r="H36" i="158"/>
  <c r="O52" i="159"/>
  <c r="G19" i="158"/>
  <c r="H19" i="158"/>
  <c r="O53" i="159"/>
  <c r="G20" i="158"/>
  <c r="H20" i="158"/>
  <c r="O54" i="159"/>
  <c r="G21" i="158"/>
  <c r="H21" i="158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G39" i="158"/>
  <c r="H39" i="158"/>
  <c r="O110" i="159"/>
  <c r="E40" i="158"/>
  <c r="B40" i="158"/>
  <c r="G40" i="158"/>
  <c r="H40" i="158"/>
  <c r="O111" i="159"/>
  <c r="E41" i="158"/>
  <c r="B41" i="158"/>
  <c r="G41" i="158"/>
  <c r="H41" i="158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E5" i="158"/>
  <c r="E27" i="158"/>
  <c r="B27" i="158"/>
  <c r="G27" i="158"/>
  <c r="H27" i="158"/>
  <c r="O137" i="159"/>
  <c r="E28" i="158"/>
  <c r="B28" i="158"/>
  <c r="G28" i="158"/>
  <c r="H28" i="158"/>
  <c r="O138" i="159"/>
  <c r="O139" i="159"/>
  <c r="O140" i="159"/>
  <c r="O141" i="159"/>
  <c r="O142" i="159"/>
  <c r="F6" i="158"/>
  <c r="E6" i="158"/>
  <c r="E42" i="158"/>
  <c r="B42" i="158"/>
  <c r="G42" i="158"/>
  <c r="H42" i="158"/>
  <c r="O143" i="159"/>
  <c r="E43" i="158"/>
  <c r="B43" i="158"/>
  <c r="G43" i="158"/>
  <c r="H43" i="158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E22" i="158"/>
  <c r="E23" i="158"/>
  <c r="B23" i="158"/>
  <c r="B22" i="158"/>
  <c r="G22" i="158"/>
  <c r="H22" i="158"/>
  <c r="O255" i="159"/>
  <c r="G23" i="158"/>
  <c r="H23" i="158"/>
  <c r="O256" i="159"/>
  <c r="O257" i="159"/>
  <c r="O258" i="159"/>
  <c r="E29" i="158"/>
  <c r="B29" i="158"/>
  <c r="G29" i="158"/>
  <c r="H29" i="158"/>
  <c r="O259" i="159"/>
  <c r="E44" i="158"/>
  <c r="B44" i="158"/>
  <c r="G44" i="158"/>
  <c r="H44" i="158"/>
  <c r="O260" i="159"/>
  <c r="O261" i="159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O274" i="159"/>
  <c r="E37" i="158"/>
  <c r="E38" i="158"/>
  <c r="B38" i="158"/>
  <c r="B37" i="158"/>
  <c r="G37" i="158"/>
  <c r="H37" i="158"/>
  <c r="O275" i="159"/>
  <c r="G38" i="158"/>
  <c r="H38" i="158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G46" i="158"/>
  <c r="E46" i="158"/>
  <c r="H46" i="158"/>
  <c r="O319" i="159"/>
  <c r="F56" i="158"/>
  <c r="G56" i="158"/>
  <c r="B11" i="158"/>
  <c r="B10" i="158"/>
  <c r="P137" i="159"/>
  <c r="P138" i="159"/>
  <c r="P139" i="159"/>
  <c r="P140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41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F64" i="158"/>
  <c r="F65" i="158"/>
  <c r="B46" i="158"/>
  <c r="F311" i="159"/>
  <c r="H311" i="159"/>
  <c r="L311" i="159"/>
  <c r="M311" i="159"/>
  <c r="N311" i="159"/>
  <c r="F312" i="159"/>
  <c r="F313" i="159"/>
  <c r="F314" i="159"/>
  <c r="F315" i="159"/>
  <c r="F316" i="159"/>
  <c r="F317" i="159"/>
  <c r="F318" i="159"/>
  <c r="F319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A2" i="149"/>
  <c r="I2" i="150"/>
  <c r="D2" i="150"/>
  <c r="J2" i="150"/>
  <c r="E2" i="150"/>
  <c r="K2" i="150"/>
  <c r="G2" i="150"/>
  <c r="C2" i="150"/>
  <c r="I3" i="150"/>
  <c r="D3" i="150"/>
  <c r="J3" i="150"/>
  <c r="E3" i="150"/>
  <c r="K3" i="150"/>
  <c r="G3" i="150"/>
  <c r="C3" i="150"/>
  <c r="I4" i="150"/>
  <c r="D4" i="150"/>
  <c r="J4" i="150"/>
  <c r="E4" i="150"/>
  <c r="K4" i="150"/>
  <c r="G4" i="150"/>
  <c r="C4" i="150"/>
  <c r="I5" i="150"/>
  <c r="D5" i="150"/>
  <c r="J5" i="150"/>
  <c r="E5" i="150"/>
  <c r="K5" i="150"/>
  <c r="G5" i="150"/>
  <c r="C5" i="150"/>
  <c r="I6" i="150"/>
  <c r="D6" i="150"/>
  <c r="J6" i="150"/>
  <c r="E6" i="150"/>
  <c r="K6" i="150"/>
  <c r="G6" i="150"/>
  <c r="C6" i="150"/>
  <c r="I7" i="150"/>
  <c r="D7" i="150"/>
  <c r="J7" i="150"/>
  <c r="E7" i="150"/>
  <c r="K7" i="150"/>
  <c r="G7" i="150"/>
  <c r="C7" i="150"/>
  <c r="I8" i="150"/>
  <c r="D8" i="150"/>
  <c r="J8" i="150"/>
  <c r="E8" i="150"/>
  <c r="K8" i="150"/>
  <c r="G8" i="150"/>
  <c r="C8" i="150"/>
  <c r="I9" i="150"/>
  <c r="D9" i="150"/>
  <c r="J9" i="150"/>
  <c r="E9" i="150"/>
  <c r="K9" i="150"/>
  <c r="G9" i="150"/>
  <c r="C9" i="150"/>
  <c r="I10" i="150"/>
  <c r="D10" i="150"/>
  <c r="J10" i="150"/>
  <c r="E10" i="150"/>
  <c r="K10" i="150"/>
  <c r="G10" i="150"/>
  <c r="C10" i="150"/>
  <c r="I11" i="150"/>
  <c r="D11" i="150"/>
  <c r="J11" i="150"/>
  <c r="E11" i="150"/>
  <c r="K11" i="150"/>
  <c r="G11" i="150"/>
  <c r="C11" i="150"/>
  <c r="I12" i="150"/>
  <c r="D12" i="150"/>
  <c r="J12" i="150"/>
  <c r="E12" i="150"/>
  <c r="K12" i="150"/>
  <c r="G12" i="150"/>
  <c r="C12" i="150"/>
  <c r="I13" i="150"/>
  <c r="D13" i="150"/>
  <c r="J13" i="150"/>
  <c r="E13" i="150"/>
  <c r="K13" i="150"/>
  <c r="G13" i="150"/>
  <c r="C13" i="150"/>
  <c r="I14" i="150"/>
  <c r="D14" i="150"/>
  <c r="J14" i="150"/>
  <c r="E14" i="150"/>
  <c r="K14" i="150"/>
  <c r="G14" i="150"/>
  <c r="C14" i="150"/>
  <c r="I15" i="150"/>
  <c r="D15" i="150"/>
  <c r="J15" i="150"/>
  <c r="E15" i="150"/>
  <c r="K15" i="150"/>
  <c r="G15" i="150"/>
  <c r="C15" i="150"/>
  <c r="I16" i="150"/>
  <c r="D16" i="150"/>
  <c r="J16" i="150"/>
  <c r="E16" i="150"/>
  <c r="K16" i="150"/>
  <c r="G16" i="150"/>
  <c r="C16" i="150"/>
  <c r="I17" i="150"/>
  <c r="D17" i="150"/>
  <c r="J17" i="150"/>
  <c r="E17" i="150"/>
  <c r="K17" i="150"/>
  <c r="G17" i="150"/>
  <c r="C17" i="150"/>
  <c r="I18" i="150"/>
  <c r="D18" i="150"/>
  <c r="J18" i="150"/>
  <c r="E18" i="150"/>
  <c r="K18" i="150"/>
  <c r="G18" i="150"/>
  <c r="C18" i="150"/>
  <c r="I19" i="150"/>
  <c r="D19" i="150"/>
  <c r="J19" i="150"/>
  <c r="E19" i="150"/>
  <c r="K19" i="150"/>
  <c r="G19" i="150"/>
  <c r="C19" i="150"/>
  <c r="I20" i="150"/>
  <c r="D20" i="150"/>
  <c r="J20" i="150"/>
  <c r="E20" i="150"/>
  <c r="K20" i="150"/>
  <c r="G20" i="150"/>
  <c r="C20" i="150"/>
  <c r="I21" i="150"/>
  <c r="D21" i="150"/>
  <c r="J21" i="150"/>
  <c r="E21" i="150"/>
  <c r="K21" i="150"/>
  <c r="G21" i="150"/>
  <c r="C21" i="150"/>
  <c r="I22" i="150"/>
  <c r="D22" i="150"/>
  <c r="J22" i="150"/>
  <c r="E22" i="150"/>
  <c r="K22" i="150"/>
  <c r="G22" i="150"/>
  <c r="C22" i="150"/>
  <c r="I23" i="150"/>
  <c r="D23" i="150"/>
  <c r="J23" i="150"/>
  <c r="E23" i="150"/>
  <c r="K23" i="150"/>
  <c r="G23" i="150"/>
  <c r="C23" i="150"/>
  <c r="I24" i="150"/>
  <c r="D24" i="150"/>
  <c r="J24" i="150"/>
  <c r="E24" i="150"/>
  <c r="K24" i="150"/>
  <c r="G24" i="150"/>
  <c r="C24" i="150"/>
  <c r="I25" i="150"/>
  <c r="D25" i="150"/>
  <c r="J25" i="150"/>
  <c r="E25" i="150"/>
  <c r="K25" i="150"/>
  <c r="G25" i="150"/>
  <c r="C25" i="150"/>
  <c r="I26" i="150"/>
  <c r="D26" i="150"/>
  <c r="J26" i="150"/>
  <c r="E26" i="150"/>
  <c r="K26" i="150"/>
  <c r="G26" i="150"/>
  <c r="C26" i="150"/>
  <c r="I27" i="150"/>
  <c r="D27" i="150"/>
  <c r="J27" i="150"/>
  <c r="E27" i="150"/>
  <c r="K27" i="150"/>
  <c r="G27" i="150"/>
  <c r="C27" i="150"/>
  <c r="I28" i="150"/>
  <c r="D28" i="150"/>
  <c r="J28" i="150"/>
  <c r="E28" i="150"/>
  <c r="K28" i="150"/>
  <c r="G28" i="150"/>
  <c r="C28" i="150"/>
  <c r="I29" i="150"/>
  <c r="D29" i="150"/>
  <c r="J29" i="150"/>
  <c r="E29" i="150"/>
  <c r="K29" i="150"/>
  <c r="G29" i="150"/>
  <c r="C29" i="150"/>
  <c r="I30" i="150"/>
  <c r="D30" i="150"/>
  <c r="J30" i="150"/>
  <c r="E30" i="150"/>
  <c r="K30" i="150"/>
  <c r="G30" i="150"/>
  <c r="C30" i="150"/>
  <c r="I31" i="150"/>
  <c r="D31" i="150"/>
  <c r="J31" i="150"/>
  <c r="E31" i="150"/>
  <c r="K31" i="150"/>
  <c r="G31" i="150"/>
  <c r="C31" i="150"/>
  <c r="I32" i="150"/>
  <c r="D32" i="150"/>
  <c r="J32" i="150"/>
  <c r="E32" i="150"/>
  <c r="K32" i="150"/>
  <c r="G32" i="150"/>
  <c r="C32" i="150"/>
  <c r="I33" i="150"/>
  <c r="D33" i="150"/>
  <c r="J33" i="150"/>
  <c r="E33" i="150"/>
  <c r="K33" i="150"/>
  <c r="G33" i="150"/>
  <c r="C33" i="150"/>
  <c r="I34" i="150"/>
  <c r="D34" i="150"/>
  <c r="J34" i="150"/>
  <c r="E34" i="150"/>
  <c r="K34" i="150"/>
  <c r="G34" i="150"/>
  <c r="C34" i="150"/>
  <c r="I35" i="150"/>
  <c r="D35" i="150"/>
  <c r="J35" i="150"/>
  <c r="E35" i="150"/>
  <c r="K35" i="150"/>
  <c r="G35" i="150"/>
  <c r="C35" i="150"/>
  <c r="I36" i="150"/>
  <c r="D36" i="150"/>
  <c r="J36" i="150"/>
  <c r="E36" i="150"/>
  <c r="K36" i="150"/>
  <c r="G36" i="150"/>
  <c r="C36" i="150"/>
  <c r="I37" i="150"/>
  <c r="D37" i="150"/>
  <c r="J37" i="150"/>
  <c r="E37" i="150"/>
  <c r="K37" i="150"/>
  <c r="G37" i="150"/>
  <c r="C37" i="150"/>
  <c r="I38" i="150"/>
  <c r="D38" i="150"/>
  <c r="J38" i="150"/>
  <c r="E38" i="150"/>
  <c r="K38" i="150"/>
  <c r="G38" i="150"/>
  <c r="C38" i="150"/>
  <c r="I39" i="150"/>
  <c r="D39" i="150"/>
  <c r="J39" i="150"/>
  <c r="E39" i="150"/>
  <c r="K39" i="150"/>
  <c r="G39" i="150"/>
  <c r="C39" i="150"/>
  <c r="I40" i="150"/>
  <c r="D40" i="150"/>
  <c r="J40" i="150"/>
  <c r="E40" i="150"/>
  <c r="K40" i="150"/>
  <c r="G40" i="150"/>
  <c r="C40" i="150"/>
  <c r="I41" i="150"/>
  <c r="D41" i="150"/>
  <c r="J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D215" i="150"/>
  <c r="J215" i="150"/>
  <c r="E215" i="150"/>
  <c r="K215" i="150"/>
  <c r="G215" i="150"/>
  <c r="C215" i="150"/>
  <c r="I216" i="150"/>
  <c r="D216" i="150"/>
  <c r="J216" i="150"/>
  <c r="E216" i="150"/>
  <c r="K216" i="150"/>
  <c r="G216" i="150"/>
  <c r="C216" i="150"/>
  <c r="I217" i="150"/>
  <c r="D217" i="150"/>
  <c r="J217" i="150"/>
  <c r="E217" i="150"/>
  <c r="K217" i="150"/>
  <c r="G217" i="150"/>
  <c r="C217" i="150"/>
  <c r="I218" i="150"/>
  <c r="D218" i="150"/>
  <c r="J218" i="150"/>
  <c r="E218" i="150"/>
  <c r="K218" i="150"/>
  <c r="G218" i="150"/>
  <c r="C218" i="150"/>
  <c r="I219" i="150"/>
  <c r="D219" i="150"/>
  <c r="J219" i="150"/>
  <c r="E219" i="150"/>
  <c r="K219" i="150"/>
  <c r="G219" i="150"/>
  <c r="C219" i="150"/>
  <c r="I220" i="150"/>
  <c r="D220" i="150"/>
  <c r="J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I311" i="150"/>
  <c r="D311" i="150"/>
  <c r="J311" i="150"/>
  <c r="E311" i="150"/>
  <c r="K311" i="150"/>
  <c r="G311" i="150"/>
  <c r="C311" i="150"/>
  <c r="I312" i="150"/>
  <c r="D312" i="150"/>
  <c r="J312" i="150"/>
  <c r="E312" i="150"/>
  <c r="K312" i="150"/>
  <c r="G312" i="150"/>
  <c r="C312" i="150"/>
  <c r="I313" i="150"/>
  <c r="D313" i="150"/>
  <c r="J313" i="150"/>
  <c r="E313" i="150"/>
  <c r="K313" i="150"/>
  <c r="G313" i="150"/>
  <c r="C313" i="150"/>
  <c r="I314" i="150"/>
  <c r="D314" i="150"/>
  <c r="J314" i="150"/>
  <c r="E314" i="150"/>
  <c r="K314" i="150"/>
  <c r="G314" i="150"/>
  <c r="C314" i="150"/>
  <c r="I315" i="150"/>
  <c r="D315" i="150"/>
  <c r="J315" i="150"/>
  <c r="E315" i="150"/>
  <c r="K315" i="150"/>
  <c r="G315" i="150"/>
  <c r="C315" i="150"/>
  <c r="I316" i="150"/>
  <c r="D316" i="150"/>
  <c r="J316" i="150"/>
  <c r="E316" i="150"/>
  <c r="K316" i="150"/>
  <c r="G316" i="150"/>
  <c r="C316" i="150"/>
  <c r="I317" i="150"/>
  <c r="D317" i="150"/>
  <c r="J317" i="150"/>
  <c r="E317" i="150"/>
  <c r="K317" i="150"/>
  <c r="G317" i="150"/>
  <c r="C317" i="150"/>
  <c r="I318" i="150"/>
  <c r="D318" i="150"/>
  <c r="J318" i="150"/>
  <c r="E318" i="150"/>
  <c r="K318" i="150"/>
  <c r="G318" i="150"/>
  <c r="C318" i="150"/>
  <c r="I319" i="150"/>
  <c r="D319" i="150"/>
  <c r="J319" i="150"/>
  <c r="E319" i="150"/>
  <c r="K319" i="150"/>
  <c r="G319" i="150"/>
  <c r="C319" i="150"/>
  <c r="F5" i="149"/>
  <c r="F7" i="149"/>
  <c r="A51" i="149"/>
  <c r="E7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18" i="149"/>
  <c r="E19" i="149"/>
  <c r="B19" i="149"/>
  <c r="E24" i="149"/>
  <c r="B24" i="149"/>
  <c r="B17" i="149"/>
  <c r="B18" i="149"/>
  <c r="G18" i="149"/>
  <c r="H18" i="149"/>
  <c r="O2" i="150"/>
  <c r="O4" i="150"/>
  <c r="O6" i="150"/>
  <c r="F8" i="149"/>
  <c r="E8" i="149"/>
  <c r="E33" i="149"/>
  <c r="E34" i="149"/>
  <c r="B34" i="149"/>
  <c r="E39" i="149"/>
  <c r="B39" i="149"/>
  <c r="B32" i="149"/>
  <c r="B33" i="149"/>
  <c r="G33" i="149"/>
  <c r="H33" i="149"/>
  <c r="O8" i="150"/>
  <c r="G17" i="149"/>
  <c r="E17" i="149"/>
  <c r="H17" i="149"/>
  <c r="O3" i="150"/>
  <c r="O5" i="150"/>
  <c r="G32" i="149"/>
  <c r="E32" i="149"/>
  <c r="H32" i="149"/>
  <c r="O7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G24" i="149"/>
  <c r="H24" i="149"/>
  <c r="O41" i="150"/>
  <c r="E25" i="149"/>
  <c r="B25" i="149"/>
  <c r="G25" i="149"/>
  <c r="H25" i="149"/>
  <c r="O42" i="150"/>
  <c r="E26" i="149"/>
  <c r="B26" i="149"/>
  <c r="G26" i="149"/>
  <c r="H26" i="149"/>
  <c r="O43" i="150"/>
  <c r="O44" i="150"/>
  <c r="O45" i="150"/>
  <c r="O46" i="150"/>
  <c r="O47" i="150"/>
  <c r="O48" i="150"/>
  <c r="O49" i="150"/>
  <c r="G34" i="149"/>
  <c r="H34" i="149"/>
  <c r="O50" i="150"/>
  <c r="E50" i="149"/>
  <c r="E35" i="149"/>
  <c r="B35" i="149"/>
  <c r="G35" i="149"/>
  <c r="H35" i="149"/>
  <c r="O51" i="150"/>
  <c r="E36" i="149"/>
  <c r="B36" i="149"/>
  <c r="G36" i="149"/>
  <c r="H36" i="149"/>
  <c r="O52" i="150"/>
  <c r="G19" i="149"/>
  <c r="H19" i="149"/>
  <c r="O53" i="150"/>
  <c r="E20" i="149"/>
  <c r="B20" i="149"/>
  <c r="G20" i="149"/>
  <c r="H20" i="149"/>
  <c r="O54" i="150"/>
  <c r="E21" i="149"/>
  <c r="B21" i="149"/>
  <c r="G21" i="149"/>
  <c r="H21" i="149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G39" i="149"/>
  <c r="H39" i="149"/>
  <c r="O110" i="150"/>
  <c r="E40" i="149"/>
  <c r="B40" i="149"/>
  <c r="G40" i="149"/>
  <c r="H40" i="149"/>
  <c r="O111" i="150"/>
  <c r="E41" i="149"/>
  <c r="B41" i="149"/>
  <c r="G41" i="149"/>
  <c r="H41" i="149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E5" i="149"/>
  <c r="E27" i="149"/>
  <c r="B27" i="149"/>
  <c r="G27" i="149"/>
  <c r="H27" i="149"/>
  <c r="O137" i="150"/>
  <c r="E28" i="149"/>
  <c r="B28" i="149"/>
  <c r="G28" i="149"/>
  <c r="H28" i="149"/>
  <c r="O138" i="150"/>
  <c r="O139" i="150"/>
  <c r="O140" i="150"/>
  <c r="O141" i="150"/>
  <c r="O142" i="150"/>
  <c r="F6" i="149"/>
  <c r="E6" i="149"/>
  <c r="E42" i="149"/>
  <c r="B42" i="149"/>
  <c r="G42" i="149"/>
  <c r="H42" i="149"/>
  <c r="O143" i="150"/>
  <c r="E43" i="149"/>
  <c r="B43" i="149"/>
  <c r="G43" i="149"/>
  <c r="H43" i="149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E22" i="149"/>
  <c r="E23" i="149"/>
  <c r="B23" i="149"/>
  <c r="B22" i="149"/>
  <c r="G22" i="149"/>
  <c r="H22" i="149"/>
  <c r="O255" i="150"/>
  <c r="G23" i="149"/>
  <c r="H23" i="149"/>
  <c r="O256" i="150"/>
  <c r="O257" i="150"/>
  <c r="O258" i="150"/>
  <c r="E29" i="149"/>
  <c r="B29" i="149"/>
  <c r="G29" i="149"/>
  <c r="H29" i="149"/>
  <c r="O259" i="150"/>
  <c r="E44" i="149"/>
  <c r="B44" i="149"/>
  <c r="G44" i="149"/>
  <c r="H44" i="149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E37" i="149"/>
  <c r="E38" i="149"/>
  <c r="B38" i="149"/>
  <c r="B37" i="149"/>
  <c r="G37" i="149"/>
  <c r="H37" i="149"/>
  <c r="O275" i="150"/>
  <c r="G38" i="149"/>
  <c r="H38" i="149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G46" i="149"/>
  <c r="E46" i="149"/>
  <c r="H46" i="149"/>
  <c r="O319" i="150"/>
  <c r="F56" i="149"/>
  <c r="G56" i="149"/>
  <c r="F311" i="150"/>
  <c r="H311" i="150"/>
  <c r="L311" i="150"/>
  <c r="M311" i="150"/>
  <c r="N311" i="150"/>
  <c r="F312" i="150"/>
  <c r="F313" i="150"/>
  <c r="F314" i="150"/>
  <c r="F315" i="150"/>
  <c r="F316" i="150"/>
  <c r="F317" i="150"/>
  <c r="F318" i="150"/>
  <c r="F319" i="150"/>
  <c r="G31" i="149"/>
  <c r="E31" i="149"/>
  <c r="H31" i="149"/>
  <c r="P311" i="150"/>
  <c r="H312" i="150"/>
  <c r="L312" i="150"/>
  <c r="M312" i="150"/>
  <c r="N312" i="150"/>
  <c r="P312" i="150"/>
  <c r="H313" i="150"/>
  <c r="L313" i="150"/>
  <c r="M313" i="150"/>
  <c r="N313" i="150"/>
  <c r="P313" i="150"/>
  <c r="H314" i="150"/>
  <c r="L314" i="150"/>
  <c r="M314" i="150"/>
  <c r="N314" i="150"/>
  <c r="P314" i="150"/>
  <c r="H315" i="150"/>
  <c r="L315" i="150"/>
  <c r="M315" i="150"/>
  <c r="N315" i="150"/>
  <c r="P315" i="150"/>
  <c r="H316" i="150"/>
  <c r="L316" i="150"/>
  <c r="M316" i="150"/>
  <c r="N316" i="150"/>
  <c r="P316" i="150"/>
  <c r="H317" i="150"/>
  <c r="L317" i="150"/>
  <c r="M317" i="150"/>
  <c r="N317" i="150"/>
  <c r="P317" i="150"/>
  <c r="H318" i="150"/>
  <c r="L318" i="150"/>
  <c r="M318" i="150"/>
  <c r="N318" i="150"/>
  <c r="P318" i="150"/>
  <c r="H319" i="150"/>
  <c r="L319" i="150"/>
  <c r="M319" i="150"/>
  <c r="N319" i="150"/>
  <c r="P319" i="150"/>
  <c r="A311" i="150"/>
  <c r="A312" i="150"/>
  <c r="A313" i="150"/>
  <c r="A314" i="150"/>
  <c r="A315" i="150"/>
  <c r="A316" i="150"/>
  <c r="A317" i="150"/>
  <c r="A318" i="150"/>
  <c r="A319" i="150"/>
  <c r="F3" i="150"/>
  <c r="F2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B11" i="149"/>
  <c r="B10" i="149"/>
  <c r="B46" i="149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30" i="157"/>
  <c r="P31" i="157"/>
  <c r="P32" i="157"/>
  <c r="P33" i="157"/>
  <c r="I32" i="157"/>
  <c r="D32" i="157"/>
  <c r="J32" i="157"/>
  <c r="E32" i="157"/>
  <c r="F32" i="157"/>
  <c r="K32" i="157"/>
  <c r="G32" i="157"/>
  <c r="C32" i="157"/>
  <c r="H32" i="157"/>
  <c r="L32" i="157"/>
  <c r="M32" i="157"/>
  <c r="N32" i="157"/>
  <c r="I33" i="157"/>
  <c r="D33" i="157"/>
  <c r="J33" i="157"/>
  <c r="E33" i="157"/>
  <c r="F33" i="157"/>
  <c r="K33" i="157"/>
  <c r="G33" i="157"/>
  <c r="C33" i="157"/>
  <c r="H33" i="157"/>
  <c r="L33" i="157"/>
  <c r="M33" i="157"/>
  <c r="N33" i="157"/>
  <c r="K3" i="157"/>
  <c r="G3" i="157"/>
  <c r="K4" i="157"/>
  <c r="G4" i="157"/>
  <c r="K5" i="157"/>
  <c r="G5" i="157"/>
  <c r="K6" i="157"/>
  <c r="G6" i="157"/>
  <c r="K7" i="157"/>
  <c r="G7" i="157"/>
  <c r="K8" i="157"/>
  <c r="G8" i="157"/>
  <c r="K9" i="157"/>
  <c r="G9" i="157"/>
  <c r="K10" i="157"/>
  <c r="G10" i="157"/>
  <c r="K11" i="157"/>
  <c r="G11" i="157"/>
  <c r="K12" i="157"/>
  <c r="G12" i="157"/>
  <c r="K13" i="157"/>
  <c r="G13" i="157"/>
  <c r="K14" i="157"/>
  <c r="G14" i="157"/>
  <c r="K15" i="157"/>
  <c r="G15" i="157"/>
  <c r="K16" i="157"/>
  <c r="G16" i="157"/>
  <c r="K17" i="157"/>
  <c r="G17" i="157"/>
  <c r="K18" i="157"/>
  <c r="G18" i="157"/>
  <c r="K19" i="157"/>
  <c r="G19" i="157"/>
  <c r="K20" i="157"/>
  <c r="G20" i="157"/>
  <c r="K21" i="157"/>
  <c r="G21" i="157"/>
  <c r="K22" i="157"/>
  <c r="G22" i="157"/>
  <c r="K23" i="157"/>
  <c r="G23" i="157"/>
  <c r="K24" i="157"/>
  <c r="G24" i="157"/>
  <c r="K25" i="157"/>
  <c r="G25" i="157"/>
  <c r="K26" i="157"/>
  <c r="G26" i="157"/>
  <c r="K27" i="157"/>
  <c r="G27" i="157"/>
  <c r="K28" i="157"/>
  <c r="G28" i="157"/>
  <c r="K29" i="157"/>
  <c r="G29" i="157"/>
  <c r="K30" i="157"/>
  <c r="G30" i="157"/>
  <c r="K31" i="157"/>
  <c r="G31" i="157"/>
  <c r="K2" i="157"/>
  <c r="G2" i="157"/>
  <c r="I2" i="148"/>
  <c r="D2" i="148"/>
  <c r="J2" i="148"/>
  <c r="E2" i="148"/>
  <c r="K2" i="148"/>
  <c r="G2" i="148"/>
  <c r="C2" i="148"/>
  <c r="I3" i="148"/>
  <c r="D3" i="148"/>
  <c r="J3" i="148"/>
  <c r="E3" i="148"/>
  <c r="K3" i="148"/>
  <c r="G3" i="148"/>
  <c r="C3" i="148"/>
  <c r="I4" i="148"/>
  <c r="D4" i="148"/>
  <c r="J4" i="148"/>
  <c r="E4" i="148"/>
  <c r="K4" i="148"/>
  <c r="G4" i="148"/>
  <c r="C4" i="148"/>
  <c r="I5" i="148"/>
  <c r="D5" i="148"/>
  <c r="J5" i="148"/>
  <c r="E5" i="148"/>
  <c r="K5" i="148"/>
  <c r="G5" i="148"/>
  <c r="C5" i="148"/>
  <c r="I6" i="148"/>
  <c r="D6" i="148"/>
  <c r="J6" i="148"/>
  <c r="E6" i="148"/>
  <c r="K6" i="148"/>
  <c r="G6" i="148"/>
  <c r="C6" i="148"/>
  <c r="I7" i="148"/>
  <c r="D7" i="148"/>
  <c r="J7" i="148"/>
  <c r="E7" i="148"/>
  <c r="K7" i="148"/>
  <c r="G7" i="148"/>
  <c r="C7" i="148"/>
  <c r="I8" i="148"/>
  <c r="D8" i="148"/>
  <c r="J8" i="148"/>
  <c r="E8" i="148"/>
  <c r="K8" i="148"/>
  <c r="G8" i="148"/>
  <c r="C8" i="148"/>
  <c r="I9" i="148"/>
  <c r="D9" i="148"/>
  <c r="J9" i="148"/>
  <c r="E9" i="148"/>
  <c r="K9" i="148"/>
  <c r="G9" i="148"/>
  <c r="C9" i="148"/>
  <c r="I10" i="148"/>
  <c r="D10" i="148"/>
  <c r="J10" i="148"/>
  <c r="E10" i="148"/>
  <c r="K10" i="148"/>
  <c r="G10" i="148"/>
  <c r="C10" i="148"/>
  <c r="I11" i="148"/>
  <c r="D11" i="148"/>
  <c r="J11" i="148"/>
  <c r="E11" i="148"/>
  <c r="K11" i="148"/>
  <c r="G11" i="148"/>
  <c r="C11" i="148"/>
  <c r="I12" i="148"/>
  <c r="D12" i="148"/>
  <c r="J12" i="148"/>
  <c r="E12" i="148"/>
  <c r="K12" i="148"/>
  <c r="G12" i="148"/>
  <c r="C12" i="148"/>
  <c r="I13" i="148"/>
  <c r="D13" i="148"/>
  <c r="J13" i="148"/>
  <c r="E13" i="148"/>
  <c r="K13" i="148"/>
  <c r="G13" i="148"/>
  <c r="C13" i="148"/>
  <c r="I14" i="148"/>
  <c r="D14" i="148"/>
  <c r="J14" i="148"/>
  <c r="E14" i="148"/>
  <c r="K14" i="148"/>
  <c r="G14" i="148"/>
  <c r="C14" i="148"/>
  <c r="I15" i="148"/>
  <c r="D15" i="148"/>
  <c r="J15" i="148"/>
  <c r="E15" i="148"/>
  <c r="K15" i="148"/>
  <c r="G15" i="148"/>
  <c r="C15" i="148"/>
  <c r="I16" i="148"/>
  <c r="D16" i="148"/>
  <c r="J16" i="148"/>
  <c r="E16" i="148"/>
  <c r="K16" i="148"/>
  <c r="G16" i="148"/>
  <c r="C16" i="148"/>
  <c r="I17" i="148"/>
  <c r="D17" i="148"/>
  <c r="J17" i="148"/>
  <c r="E17" i="148"/>
  <c r="K17" i="148"/>
  <c r="G17" i="148"/>
  <c r="C17" i="148"/>
  <c r="I18" i="148"/>
  <c r="D18" i="148"/>
  <c r="J18" i="148"/>
  <c r="E18" i="148"/>
  <c r="K18" i="148"/>
  <c r="G18" i="148"/>
  <c r="C18" i="148"/>
  <c r="I19" i="148"/>
  <c r="D19" i="148"/>
  <c r="J19" i="148"/>
  <c r="E19" i="148"/>
  <c r="K19" i="148"/>
  <c r="G19" i="148"/>
  <c r="C19" i="148"/>
  <c r="I20" i="148"/>
  <c r="D20" i="148"/>
  <c r="J20" i="148"/>
  <c r="E20" i="148"/>
  <c r="K20" i="148"/>
  <c r="G20" i="148"/>
  <c r="C20" i="148"/>
  <c r="I21" i="148"/>
  <c r="D21" i="148"/>
  <c r="J21" i="148"/>
  <c r="E21" i="148"/>
  <c r="K21" i="148"/>
  <c r="G21" i="148"/>
  <c r="C21" i="148"/>
  <c r="I22" i="148"/>
  <c r="D22" i="148"/>
  <c r="J22" i="148"/>
  <c r="E22" i="148"/>
  <c r="K22" i="148"/>
  <c r="G22" i="148"/>
  <c r="C22" i="148"/>
  <c r="I23" i="148"/>
  <c r="D23" i="148"/>
  <c r="J23" i="148"/>
  <c r="E23" i="148"/>
  <c r="K23" i="148"/>
  <c r="G23" i="148"/>
  <c r="C23" i="148"/>
  <c r="I24" i="148"/>
  <c r="D24" i="148"/>
  <c r="J24" i="148"/>
  <c r="E24" i="148"/>
  <c r="K24" i="148"/>
  <c r="G24" i="148"/>
  <c r="C24" i="148"/>
  <c r="I25" i="148"/>
  <c r="D25" i="148"/>
  <c r="J25" i="148"/>
  <c r="E25" i="148"/>
  <c r="K25" i="148"/>
  <c r="G25" i="148"/>
  <c r="C25" i="148"/>
  <c r="I26" i="148"/>
  <c r="D26" i="148"/>
  <c r="J26" i="148"/>
  <c r="E26" i="148"/>
  <c r="K26" i="148"/>
  <c r="G26" i="148"/>
  <c r="C26" i="148"/>
  <c r="I27" i="148"/>
  <c r="D27" i="148"/>
  <c r="J27" i="148"/>
  <c r="E27" i="148"/>
  <c r="K27" i="148"/>
  <c r="G27" i="148"/>
  <c r="C27" i="148"/>
  <c r="I28" i="148"/>
  <c r="D28" i="148"/>
  <c r="J28" i="148"/>
  <c r="E28" i="148"/>
  <c r="K28" i="148"/>
  <c r="G28" i="148"/>
  <c r="C28" i="148"/>
  <c r="I29" i="148"/>
  <c r="D29" i="148"/>
  <c r="J29" i="148"/>
  <c r="E29" i="148"/>
  <c r="K29" i="148"/>
  <c r="G29" i="148"/>
  <c r="C29" i="148"/>
  <c r="I30" i="148"/>
  <c r="D30" i="148"/>
  <c r="J30" i="148"/>
  <c r="E30" i="148"/>
  <c r="K30" i="148"/>
  <c r="G30" i="148"/>
  <c r="C30" i="148"/>
  <c r="I31" i="148"/>
  <c r="D31" i="148"/>
  <c r="J31" i="148"/>
  <c r="E31" i="148"/>
  <c r="K31" i="148"/>
  <c r="G31" i="148"/>
  <c r="C31" i="148"/>
  <c r="I32" i="148"/>
  <c r="D32" i="148"/>
  <c r="J32" i="148"/>
  <c r="E32" i="148"/>
  <c r="K32" i="148"/>
  <c r="G32" i="148"/>
  <c r="C32" i="148"/>
  <c r="I33" i="148"/>
  <c r="D33" i="148"/>
  <c r="J33" i="148"/>
  <c r="E33" i="148"/>
  <c r="K33" i="148"/>
  <c r="G33" i="148"/>
  <c r="C33" i="148"/>
  <c r="I34" i="148"/>
  <c r="D34" i="148"/>
  <c r="J34" i="148"/>
  <c r="E34" i="148"/>
  <c r="K34" i="148"/>
  <c r="G34" i="148"/>
  <c r="C34" i="148"/>
  <c r="I35" i="148"/>
  <c r="D35" i="148"/>
  <c r="J35" i="148"/>
  <c r="E35" i="148"/>
  <c r="K35" i="148"/>
  <c r="G35" i="148"/>
  <c r="C35" i="148"/>
  <c r="I36" i="148"/>
  <c r="D36" i="148"/>
  <c r="J36" i="148"/>
  <c r="E36" i="148"/>
  <c r="K36" i="148"/>
  <c r="G36" i="148"/>
  <c r="C36" i="148"/>
  <c r="I37" i="148"/>
  <c r="D37" i="148"/>
  <c r="J37" i="148"/>
  <c r="E37" i="148"/>
  <c r="K37" i="148"/>
  <c r="G37" i="148"/>
  <c r="C37" i="148"/>
  <c r="I38" i="148"/>
  <c r="D38" i="148"/>
  <c r="J38" i="148"/>
  <c r="E38" i="148"/>
  <c r="K38" i="148"/>
  <c r="G38" i="148"/>
  <c r="C38" i="148"/>
  <c r="I39" i="148"/>
  <c r="D39" i="148"/>
  <c r="J39" i="148"/>
  <c r="E39" i="148"/>
  <c r="K39" i="148"/>
  <c r="G39" i="148"/>
  <c r="C39" i="148"/>
  <c r="I40" i="148"/>
  <c r="D40" i="148"/>
  <c r="J40" i="148"/>
  <c r="E40" i="148"/>
  <c r="K40" i="148"/>
  <c r="G40" i="148"/>
  <c r="C40" i="148"/>
  <c r="I41" i="148"/>
  <c r="D41" i="148"/>
  <c r="J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D215" i="148"/>
  <c r="J215" i="148"/>
  <c r="E215" i="148"/>
  <c r="K215" i="148"/>
  <c r="G215" i="148"/>
  <c r="C215" i="148"/>
  <c r="I216" i="148"/>
  <c r="D216" i="148"/>
  <c r="J216" i="148"/>
  <c r="E216" i="148"/>
  <c r="K216" i="148"/>
  <c r="G216" i="148"/>
  <c r="C216" i="148"/>
  <c r="I217" i="148"/>
  <c r="D217" i="148"/>
  <c r="J217" i="148"/>
  <c r="E217" i="148"/>
  <c r="K217" i="148"/>
  <c r="G217" i="148"/>
  <c r="C217" i="148"/>
  <c r="I218" i="148"/>
  <c r="D218" i="148"/>
  <c r="J218" i="148"/>
  <c r="E218" i="148"/>
  <c r="K218" i="148"/>
  <c r="G218" i="148"/>
  <c r="C218" i="148"/>
  <c r="I219" i="148"/>
  <c r="D219" i="148"/>
  <c r="J219" i="148"/>
  <c r="E219" i="148"/>
  <c r="K219" i="148"/>
  <c r="G219" i="148"/>
  <c r="C219" i="148"/>
  <c r="I220" i="148"/>
  <c r="D220" i="148"/>
  <c r="J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I311" i="148"/>
  <c r="D311" i="148"/>
  <c r="J311" i="148"/>
  <c r="E311" i="148"/>
  <c r="K311" i="148"/>
  <c r="G311" i="148"/>
  <c r="C311" i="148"/>
  <c r="I312" i="148"/>
  <c r="D312" i="148"/>
  <c r="J312" i="148"/>
  <c r="E312" i="148"/>
  <c r="K312" i="148"/>
  <c r="G312" i="148"/>
  <c r="C312" i="148"/>
  <c r="I313" i="148"/>
  <c r="D313" i="148"/>
  <c r="J313" i="148"/>
  <c r="E313" i="148"/>
  <c r="K313" i="148"/>
  <c r="G313" i="148"/>
  <c r="C313" i="148"/>
  <c r="I314" i="148"/>
  <c r="D314" i="148"/>
  <c r="J314" i="148"/>
  <c r="E314" i="148"/>
  <c r="K314" i="148"/>
  <c r="G314" i="148"/>
  <c r="C314" i="148"/>
  <c r="I315" i="148"/>
  <c r="D315" i="148"/>
  <c r="J315" i="148"/>
  <c r="E315" i="148"/>
  <c r="K315" i="148"/>
  <c r="G315" i="148"/>
  <c r="C315" i="148"/>
  <c r="I316" i="148"/>
  <c r="D316" i="148"/>
  <c r="J316" i="148"/>
  <c r="E316" i="148"/>
  <c r="K316" i="148"/>
  <c r="G316" i="148"/>
  <c r="C316" i="148"/>
  <c r="I317" i="148"/>
  <c r="D317" i="148"/>
  <c r="J317" i="148"/>
  <c r="E317" i="148"/>
  <c r="K317" i="148"/>
  <c r="G317" i="148"/>
  <c r="C317" i="148"/>
  <c r="I318" i="148"/>
  <c r="D318" i="148"/>
  <c r="J318" i="148"/>
  <c r="E318" i="148"/>
  <c r="K318" i="148"/>
  <c r="G318" i="148"/>
  <c r="C318" i="148"/>
  <c r="I319" i="148"/>
  <c r="D319" i="148"/>
  <c r="J319" i="148"/>
  <c r="E319" i="148"/>
  <c r="K319" i="148"/>
  <c r="G319" i="148"/>
  <c r="C319" i="148"/>
  <c r="F8" i="147"/>
  <c r="E8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35" i="147"/>
  <c r="B35" i="147"/>
  <c r="F7" i="147"/>
  <c r="E7" i="147"/>
  <c r="E20" i="147"/>
  <c r="B20" i="147"/>
  <c r="A2" i="147"/>
  <c r="F5" i="147"/>
  <c r="A51" i="147"/>
  <c r="E18" i="147"/>
  <c r="E19" i="147"/>
  <c r="B19" i="147"/>
  <c r="E24" i="147"/>
  <c r="B24" i="147"/>
  <c r="B17" i="147"/>
  <c r="B18" i="147"/>
  <c r="G18" i="147"/>
  <c r="H18" i="147"/>
  <c r="O2" i="148"/>
  <c r="O4" i="148"/>
  <c r="O6" i="148"/>
  <c r="E33" i="147"/>
  <c r="E34" i="147"/>
  <c r="B34" i="147"/>
  <c r="E39" i="147"/>
  <c r="B39" i="147"/>
  <c r="B32" i="147"/>
  <c r="B33" i="147"/>
  <c r="G33" i="147"/>
  <c r="H33" i="147"/>
  <c r="O8" i="148"/>
  <c r="G17" i="147"/>
  <c r="E17" i="147"/>
  <c r="H17" i="147"/>
  <c r="O3" i="148"/>
  <c r="O5" i="148"/>
  <c r="G32" i="147"/>
  <c r="E32" i="147"/>
  <c r="H32" i="147"/>
  <c r="O7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G24" i="147"/>
  <c r="H24" i="147"/>
  <c r="O41" i="148"/>
  <c r="E25" i="147"/>
  <c r="B25" i="147"/>
  <c r="G25" i="147"/>
  <c r="H25" i="147"/>
  <c r="O42" i="148"/>
  <c r="E26" i="147"/>
  <c r="B26" i="147"/>
  <c r="G26" i="147"/>
  <c r="H26" i="147"/>
  <c r="O43" i="148"/>
  <c r="O44" i="148"/>
  <c r="O45" i="148"/>
  <c r="O46" i="148"/>
  <c r="O47" i="148"/>
  <c r="O48" i="148"/>
  <c r="O49" i="148"/>
  <c r="G34" i="147"/>
  <c r="H34" i="147"/>
  <c r="O50" i="148"/>
  <c r="G19" i="147"/>
  <c r="H19" i="147"/>
  <c r="O53" i="148"/>
  <c r="O56" i="148"/>
  <c r="O59" i="148"/>
  <c r="O62" i="148"/>
  <c r="O65" i="148"/>
  <c r="O68" i="148"/>
  <c r="O71" i="148"/>
  <c r="O74" i="148"/>
  <c r="O77" i="148"/>
  <c r="O80" i="148"/>
  <c r="O83" i="148"/>
  <c r="O86" i="148"/>
  <c r="O89" i="148"/>
  <c r="O92" i="148"/>
  <c r="O95" i="148"/>
  <c r="O98" i="148"/>
  <c r="O101" i="148"/>
  <c r="O104" i="148"/>
  <c r="O107" i="148"/>
  <c r="G39" i="147"/>
  <c r="H39" i="147"/>
  <c r="O110" i="148"/>
  <c r="E40" i="147"/>
  <c r="B40" i="147"/>
  <c r="G40" i="147"/>
  <c r="H40" i="147"/>
  <c r="O111" i="148"/>
  <c r="E41" i="147"/>
  <c r="B41" i="147"/>
  <c r="G41" i="147"/>
  <c r="H41" i="147"/>
  <c r="O112" i="148"/>
  <c r="O113" i="148"/>
  <c r="O116" i="148"/>
  <c r="O119" i="148"/>
  <c r="O122" i="148"/>
  <c r="O125" i="148"/>
  <c r="O128" i="148"/>
  <c r="O131" i="148"/>
  <c r="O134" i="148"/>
  <c r="E5" i="147"/>
  <c r="E27" i="147"/>
  <c r="B27" i="147"/>
  <c r="G27" i="147"/>
  <c r="H27" i="147"/>
  <c r="O137" i="148"/>
  <c r="E28" i="147"/>
  <c r="B28" i="147"/>
  <c r="G28" i="147"/>
  <c r="H28" i="147"/>
  <c r="O138" i="148"/>
  <c r="O139" i="148"/>
  <c r="O140" i="148"/>
  <c r="O141" i="148"/>
  <c r="O142" i="148"/>
  <c r="F6" i="147"/>
  <c r="E6" i="147"/>
  <c r="E42" i="147"/>
  <c r="B42" i="147"/>
  <c r="G42" i="147"/>
  <c r="H42" i="147"/>
  <c r="O143" i="148"/>
  <c r="E43" i="147"/>
  <c r="B43" i="147"/>
  <c r="G43" i="147"/>
  <c r="H43" i="147"/>
  <c r="O144" i="148"/>
  <c r="O145" i="148"/>
  <c r="O148" i="148"/>
  <c r="O149" i="148"/>
  <c r="O150" i="148"/>
  <c r="O151" i="148"/>
  <c r="O152" i="148"/>
  <c r="O155" i="148"/>
  <c r="O156" i="148"/>
  <c r="O157" i="148"/>
  <c r="O160" i="148"/>
  <c r="O163" i="148"/>
  <c r="O164" i="148"/>
  <c r="O165" i="148"/>
  <c r="O168" i="148"/>
  <c r="O169" i="148"/>
  <c r="O170" i="148"/>
  <c r="O173" i="148"/>
  <c r="O174" i="148"/>
  <c r="O175" i="148"/>
  <c r="O176" i="148"/>
  <c r="O177" i="148"/>
  <c r="O180" i="148"/>
  <c r="O183" i="148"/>
  <c r="O184" i="148"/>
  <c r="O185" i="148"/>
  <c r="O188" i="148"/>
  <c r="O189" i="148"/>
  <c r="O190" i="148"/>
  <c r="O191" i="148"/>
  <c r="O192" i="148"/>
  <c r="O195" i="148"/>
  <c r="O196" i="148"/>
  <c r="O197" i="148"/>
  <c r="O200" i="148"/>
  <c r="O201" i="148"/>
  <c r="O202" i="148"/>
  <c r="O205" i="148"/>
  <c r="O206" i="148"/>
  <c r="O207" i="148"/>
  <c r="O208" i="148"/>
  <c r="O209" i="148"/>
  <c r="O212" i="148"/>
  <c r="O213" i="148"/>
  <c r="O214" i="148"/>
  <c r="O215" i="148"/>
  <c r="O216" i="148"/>
  <c r="O219" i="148"/>
  <c r="O222" i="148"/>
  <c r="O223" i="148"/>
  <c r="O224" i="148"/>
  <c r="O227" i="148"/>
  <c r="O230" i="148"/>
  <c r="O231" i="148"/>
  <c r="O232" i="148"/>
  <c r="O235" i="148"/>
  <c r="O236" i="148"/>
  <c r="O237" i="148"/>
  <c r="O238" i="148"/>
  <c r="O239" i="148"/>
  <c r="O242" i="148"/>
  <c r="O245" i="148"/>
  <c r="O248" i="148"/>
  <c r="O251" i="148"/>
  <c r="O252" i="148"/>
  <c r="O253" i="148"/>
  <c r="O254" i="148"/>
  <c r="E22" i="147"/>
  <c r="E23" i="147"/>
  <c r="B23" i="147"/>
  <c r="B22" i="147"/>
  <c r="G22" i="147"/>
  <c r="H22" i="147"/>
  <c r="O255" i="148"/>
  <c r="G23" i="147"/>
  <c r="H23" i="147"/>
  <c r="O256" i="148"/>
  <c r="O257" i="148"/>
  <c r="O258" i="148"/>
  <c r="E29" i="147"/>
  <c r="B29" i="147"/>
  <c r="G29" i="147"/>
  <c r="H29" i="147"/>
  <c r="O259" i="148"/>
  <c r="E44" i="147"/>
  <c r="B44" i="147"/>
  <c r="G44" i="147"/>
  <c r="H44" i="147"/>
  <c r="O260" i="148"/>
  <c r="O261" i="148"/>
  <c r="O262" i="148"/>
  <c r="O263" i="148"/>
  <c r="O264" i="148"/>
  <c r="O265" i="148"/>
  <c r="O268" i="148"/>
  <c r="O271" i="148"/>
  <c r="O272" i="148"/>
  <c r="O273" i="148"/>
  <c r="O274" i="148"/>
  <c r="E37" i="147"/>
  <c r="E38" i="147"/>
  <c r="B38" i="147"/>
  <c r="B37" i="147"/>
  <c r="G37" i="147"/>
  <c r="H37" i="147"/>
  <c r="O275" i="148"/>
  <c r="G38" i="147"/>
  <c r="H38" i="147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G46" i="147"/>
  <c r="E46" i="147"/>
  <c r="H46" i="147"/>
  <c r="O319" i="148"/>
  <c r="F311" i="148"/>
  <c r="H311" i="148"/>
  <c r="L311" i="148"/>
  <c r="M311" i="148"/>
  <c r="N311" i="148"/>
  <c r="F312" i="148"/>
  <c r="F313" i="148"/>
  <c r="F314" i="148"/>
  <c r="F315" i="148"/>
  <c r="F316" i="148"/>
  <c r="F317" i="148"/>
  <c r="F318" i="148"/>
  <c r="F319" i="148"/>
  <c r="E21" i="147"/>
  <c r="E36" i="147"/>
  <c r="G31" i="147"/>
  <c r="E31" i="147"/>
  <c r="H31" i="147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H319" i="148"/>
  <c r="L319" i="148"/>
  <c r="M319" i="148"/>
  <c r="N319" i="148"/>
  <c r="A311" i="148"/>
  <c r="A312" i="148"/>
  <c r="A313" i="148"/>
  <c r="A314" i="148"/>
  <c r="A315" i="148"/>
  <c r="A316" i="148"/>
  <c r="A317" i="148"/>
  <c r="A318" i="148"/>
  <c r="A319" i="148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B46" i="147"/>
  <c r="A2" i="106"/>
  <c r="I307" i="82"/>
  <c r="D307" i="82"/>
  <c r="J307" i="82"/>
  <c r="E307" i="82"/>
  <c r="K307" i="82"/>
  <c r="G307" i="82"/>
  <c r="C307" i="82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I311" i="82"/>
  <c r="D311" i="82"/>
  <c r="J311" i="82"/>
  <c r="E311" i="82"/>
  <c r="K311" i="82"/>
  <c r="G311" i="82"/>
  <c r="C311" i="82"/>
  <c r="I312" i="82"/>
  <c r="D312" i="82"/>
  <c r="J312" i="82"/>
  <c r="E312" i="82"/>
  <c r="K312" i="82"/>
  <c r="G312" i="82"/>
  <c r="C312" i="82"/>
  <c r="I313" i="82"/>
  <c r="D313" i="82"/>
  <c r="J313" i="82"/>
  <c r="E313" i="82"/>
  <c r="K313" i="82"/>
  <c r="G313" i="82"/>
  <c r="C313" i="82"/>
  <c r="I314" i="82"/>
  <c r="D314" i="82"/>
  <c r="J314" i="82"/>
  <c r="E314" i="82"/>
  <c r="K314" i="82"/>
  <c r="G314" i="82"/>
  <c r="C314" i="82"/>
  <c r="I315" i="82"/>
  <c r="D315" i="82"/>
  <c r="J315" i="82"/>
  <c r="E315" i="82"/>
  <c r="K315" i="82"/>
  <c r="G315" i="82"/>
  <c r="C315" i="82"/>
  <c r="I316" i="82"/>
  <c r="D316" i="82"/>
  <c r="J316" i="82"/>
  <c r="E316" i="82"/>
  <c r="K316" i="82"/>
  <c r="G316" i="82"/>
  <c r="C316" i="82"/>
  <c r="I317" i="82"/>
  <c r="D317" i="82"/>
  <c r="J317" i="82"/>
  <c r="E317" i="82"/>
  <c r="K317" i="82"/>
  <c r="G317" i="82"/>
  <c r="C317" i="82"/>
  <c r="I318" i="82"/>
  <c r="D318" i="82"/>
  <c r="J318" i="82"/>
  <c r="E318" i="82"/>
  <c r="K318" i="82"/>
  <c r="G318" i="82"/>
  <c r="C318" i="82"/>
  <c r="I319" i="82"/>
  <c r="D319" i="82"/>
  <c r="J319" i="82"/>
  <c r="E319" i="82"/>
  <c r="K319" i="82"/>
  <c r="G319" i="82"/>
  <c r="C319" i="82"/>
  <c r="F5" i="106"/>
  <c r="F7" i="106"/>
  <c r="A51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G29" i="106"/>
  <c r="H29" i="106"/>
  <c r="O307" i="82"/>
  <c r="E7" i="106"/>
  <c r="E18" i="106"/>
  <c r="E19" i="106"/>
  <c r="B19" i="106"/>
  <c r="E24" i="106"/>
  <c r="B24" i="106"/>
  <c r="B17" i="106"/>
  <c r="B18" i="106"/>
  <c r="G18" i="106"/>
  <c r="H18" i="106"/>
  <c r="O2" i="82"/>
  <c r="G17" i="106"/>
  <c r="E17" i="106"/>
  <c r="H17" i="106"/>
  <c r="O3" i="82"/>
  <c r="O4" i="82"/>
  <c r="O5" i="82"/>
  <c r="O6" i="82"/>
  <c r="F8" i="106"/>
  <c r="E8" i="106"/>
  <c r="E34" i="106"/>
  <c r="B34" i="106"/>
  <c r="E39" i="106"/>
  <c r="B39" i="106"/>
  <c r="B32" i="106"/>
  <c r="G32" i="106"/>
  <c r="E32" i="106"/>
  <c r="H32" i="106"/>
  <c r="O7" i="82"/>
  <c r="E33" i="106"/>
  <c r="B33" i="106"/>
  <c r="G33" i="106"/>
  <c r="H33" i="106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G24" i="106"/>
  <c r="H24" i="106"/>
  <c r="O41" i="82"/>
  <c r="E25" i="106"/>
  <c r="B25" i="106"/>
  <c r="G25" i="106"/>
  <c r="H25" i="106"/>
  <c r="O42" i="82"/>
  <c r="E26" i="106"/>
  <c r="B26" i="106"/>
  <c r="G26" i="106"/>
  <c r="H26" i="106"/>
  <c r="O43" i="82"/>
  <c r="O44" i="82"/>
  <c r="O45" i="82"/>
  <c r="O46" i="82"/>
  <c r="O47" i="82"/>
  <c r="O48" i="82"/>
  <c r="O49" i="82"/>
  <c r="G34" i="106"/>
  <c r="H34" i="106"/>
  <c r="O50" i="82"/>
  <c r="E35" i="106"/>
  <c r="B35" i="106"/>
  <c r="G35" i="106"/>
  <c r="H35" i="106"/>
  <c r="O51" i="82"/>
  <c r="E36" i="106"/>
  <c r="B36" i="106"/>
  <c r="G36" i="106"/>
  <c r="H36" i="106"/>
  <c r="O52" i="82"/>
  <c r="G19" i="106"/>
  <c r="H19" i="106"/>
  <c r="O56" i="82"/>
  <c r="E20" i="106"/>
  <c r="B20" i="106"/>
  <c r="G20" i="106"/>
  <c r="H20" i="106"/>
  <c r="O57" i="82"/>
  <c r="E21" i="106"/>
  <c r="B21" i="106"/>
  <c r="G21" i="106"/>
  <c r="H21" i="106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G39" i="106"/>
  <c r="H39" i="106"/>
  <c r="O110" i="82"/>
  <c r="E40" i="106"/>
  <c r="B40" i="106"/>
  <c r="G40" i="106"/>
  <c r="H40" i="106"/>
  <c r="O111" i="82"/>
  <c r="E41" i="106"/>
  <c r="B41" i="106"/>
  <c r="G41" i="106"/>
  <c r="H41" i="106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E27" i="106"/>
  <c r="B27" i="106"/>
  <c r="G27" i="106"/>
  <c r="H27" i="106"/>
  <c r="O137" i="82"/>
  <c r="E28" i="106"/>
  <c r="B28" i="106"/>
  <c r="G28" i="106"/>
  <c r="H28" i="106"/>
  <c r="O138" i="82"/>
  <c r="O139" i="82"/>
  <c r="O140" i="82"/>
  <c r="O141" i="82"/>
  <c r="O142" i="82"/>
  <c r="F6" i="106"/>
  <c r="E6" i="106"/>
  <c r="E42" i="106"/>
  <c r="B42" i="106"/>
  <c r="G42" i="106"/>
  <c r="H42" i="106"/>
  <c r="O143" i="82"/>
  <c r="E43" i="106"/>
  <c r="B43" i="106"/>
  <c r="G43" i="106"/>
  <c r="H43" i="106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E22" i="106"/>
  <c r="E23" i="106"/>
  <c r="B23" i="106"/>
  <c r="B22" i="106"/>
  <c r="G22" i="106"/>
  <c r="H22" i="106"/>
  <c r="O255" i="82"/>
  <c r="G23" i="106"/>
  <c r="H23" i="106"/>
  <c r="O256" i="82"/>
  <c r="O257" i="82"/>
  <c r="O258" i="82"/>
  <c r="O259" i="82"/>
  <c r="E44" i="106"/>
  <c r="B44" i="106"/>
  <c r="G44" i="106"/>
  <c r="H44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E37" i="106"/>
  <c r="E38" i="106"/>
  <c r="B38" i="106"/>
  <c r="B37" i="106"/>
  <c r="G37" i="106"/>
  <c r="H37" i="106"/>
  <c r="O275" i="82"/>
  <c r="G38" i="106"/>
  <c r="H38" i="106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8" i="82"/>
  <c r="O309" i="82"/>
  <c r="O310" i="82"/>
  <c r="O311" i="82"/>
  <c r="O312" i="82"/>
  <c r="O313" i="82"/>
  <c r="O314" i="82"/>
  <c r="O315" i="82"/>
  <c r="O316" i="82"/>
  <c r="O317" i="82"/>
  <c r="O318" i="82"/>
  <c r="G46" i="106"/>
  <c r="E46" i="106"/>
  <c r="H46" i="106"/>
  <c r="O319" i="82"/>
  <c r="P307" i="82"/>
  <c r="P312" i="82"/>
  <c r="P314" i="82"/>
  <c r="P319" i="82"/>
  <c r="F56" i="106"/>
  <c r="G56" i="106"/>
  <c r="E49" i="106"/>
  <c r="E51" i="106"/>
  <c r="F57" i="106"/>
  <c r="B11" i="106"/>
  <c r="B10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F306" i="82"/>
  <c r="F307" i="82"/>
  <c r="F308" i="82"/>
  <c r="F309" i="82"/>
  <c r="F310" i="82"/>
  <c r="F311" i="82"/>
  <c r="F312" i="82"/>
  <c r="F313" i="82"/>
  <c r="F314" i="82"/>
  <c r="F315" i="82"/>
  <c r="F316" i="82"/>
  <c r="F317" i="82"/>
  <c r="F318" i="82"/>
  <c r="F319" i="82"/>
  <c r="B5" i="106"/>
  <c r="B46" i="106"/>
  <c r="C50" i="106"/>
  <c r="F55" i="106"/>
  <c r="H319" i="82"/>
  <c r="L319" i="82"/>
  <c r="M319" i="82"/>
  <c r="N319" i="82"/>
  <c r="G31" i="106"/>
  <c r="E31" i="106"/>
  <c r="H31" i="106"/>
  <c r="A319" i="82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B10" i="153"/>
  <c r="B10" i="147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57" i="158"/>
  <c r="G57" i="158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I30" i="157"/>
  <c r="D30" i="157"/>
  <c r="J30" i="157"/>
  <c r="E30" i="157"/>
  <c r="F30" i="157"/>
  <c r="C30" i="157"/>
  <c r="H30" i="157"/>
  <c r="L30" i="157"/>
  <c r="M30" i="157"/>
  <c r="N30" i="157"/>
  <c r="I31" i="157"/>
  <c r="D31" i="157"/>
  <c r="J31" i="157"/>
  <c r="E31" i="157"/>
  <c r="F31" i="157"/>
  <c r="C31" i="157"/>
  <c r="H31" i="157"/>
  <c r="L31" i="157"/>
  <c r="M31" i="157"/>
  <c r="N31" i="157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I3" i="157"/>
  <c r="D3" i="157"/>
  <c r="E3" i="157"/>
  <c r="I4" i="157"/>
  <c r="D4" i="157"/>
  <c r="E4" i="157"/>
  <c r="I5" i="157"/>
  <c r="D5" i="157"/>
  <c r="E5" i="157"/>
  <c r="I6" i="157"/>
  <c r="D6" i="157"/>
  <c r="E6" i="157"/>
  <c r="I7" i="157"/>
  <c r="D7" i="157"/>
  <c r="E7" i="157"/>
  <c r="I8" i="157"/>
  <c r="D8" i="157"/>
  <c r="E8" i="157"/>
  <c r="I9" i="157"/>
  <c r="D9" i="157"/>
  <c r="E9" i="157"/>
  <c r="I10" i="157"/>
  <c r="D10" i="157"/>
  <c r="E10" i="157"/>
  <c r="I11" i="157"/>
  <c r="D11" i="157"/>
  <c r="E11" i="157"/>
  <c r="I12" i="157"/>
  <c r="D12" i="157"/>
  <c r="E12" i="157"/>
  <c r="I13" i="157"/>
  <c r="D13" i="157"/>
  <c r="E13" i="157"/>
  <c r="I14" i="157"/>
  <c r="D14" i="157"/>
  <c r="E14" i="157"/>
  <c r="I15" i="157"/>
  <c r="D15" i="157"/>
  <c r="E15" i="157"/>
  <c r="I16" i="157"/>
  <c r="D16" i="157"/>
  <c r="E16" i="157"/>
  <c r="I17" i="157"/>
  <c r="D17" i="157"/>
  <c r="E17" i="157"/>
  <c r="I18" i="157"/>
  <c r="D18" i="157"/>
  <c r="E18" i="157"/>
  <c r="I19" i="157"/>
  <c r="D19" i="157"/>
  <c r="E19" i="157"/>
  <c r="I20" i="157"/>
  <c r="D20" i="157"/>
  <c r="E20" i="157"/>
  <c r="I21" i="157"/>
  <c r="D21" i="157"/>
  <c r="E21" i="157"/>
  <c r="I22" i="157"/>
  <c r="D22" i="157"/>
  <c r="E22" i="157"/>
  <c r="I23" i="157"/>
  <c r="D23" i="157"/>
  <c r="E23" i="157"/>
  <c r="I24" i="157"/>
  <c r="D24" i="157"/>
  <c r="E24" i="157"/>
  <c r="I25" i="157"/>
  <c r="D25" i="157"/>
  <c r="E25" i="157"/>
  <c r="I26" i="157"/>
  <c r="D26" i="157"/>
  <c r="E26" i="157"/>
  <c r="I27" i="157"/>
  <c r="D27" i="157"/>
  <c r="E27" i="157"/>
  <c r="I28" i="157"/>
  <c r="D28" i="157"/>
  <c r="E28" i="157"/>
  <c r="I29" i="157"/>
  <c r="D29" i="157"/>
  <c r="E29" i="157"/>
  <c r="E2" i="157"/>
  <c r="I2" i="157"/>
  <c r="D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G31" i="158"/>
  <c r="E31" i="158"/>
  <c r="H31" i="158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J18" i="157"/>
  <c r="F18" i="157"/>
  <c r="C18" i="157"/>
  <c r="H18" i="157"/>
  <c r="L18" i="157"/>
  <c r="M18" i="157"/>
  <c r="N18" i="157"/>
  <c r="J19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E30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G55" i="106"/>
  <c r="I17" i="106"/>
  <c r="J17" i="106"/>
  <c r="I18" i="106"/>
  <c r="J18" i="106"/>
  <c r="I19" i="106"/>
  <c r="J19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5" i="106"/>
  <c r="B58" i="106"/>
  <c r="B59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3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F63" i="153"/>
  <c r="B47" i="153"/>
  <c r="D47" i="153"/>
  <c r="I36" i="153"/>
  <c r="J36" i="153"/>
  <c r="F36" i="153"/>
  <c r="D36" i="153"/>
  <c r="F35" i="153"/>
  <c r="D35" i="153"/>
  <c r="F57" i="153"/>
  <c r="G57" i="153"/>
  <c r="D36" i="106"/>
  <c r="F36" i="106"/>
  <c r="I36" i="106"/>
  <c r="J36" i="106"/>
  <c r="G57" i="106"/>
  <c r="D35" i="106"/>
  <c r="F35" i="106"/>
  <c r="I35" i="106"/>
  <c r="J35" i="106"/>
  <c r="F27" i="106"/>
  <c r="D27" i="106"/>
  <c r="I27" i="106"/>
  <c r="J27" i="106"/>
  <c r="B57" i="106"/>
  <c r="C49" i="106"/>
  <c r="F64" i="106"/>
  <c r="D20" i="106"/>
  <c r="F20" i="106"/>
  <c r="I20" i="106"/>
  <c r="J20" i="106"/>
  <c r="B56" i="106"/>
  <c r="B62" i="106"/>
  <c r="C56" i="106"/>
  <c r="C57" i="106"/>
  <c r="C58" i="106"/>
  <c r="C59" i="106"/>
  <c r="C60" i="106"/>
  <c r="C61" i="106"/>
  <c r="C55" i="106"/>
  <c r="C62" i="106"/>
  <c r="B47" i="106"/>
  <c r="D47" i="106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8" i="82"/>
  <c r="P309" i="82"/>
  <c r="P310" i="82"/>
  <c r="P311" i="82"/>
  <c r="P313" i="82"/>
  <c r="P315" i="82"/>
  <c r="P316" i="82"/>
  <c r="P317" i="82"/>
  <c r="P318" i="82"/>
  <c r="P2" i="82"/>
  <c r="F60" i="106"/>
  <c r="P101" i="82"/>
  <c r="F62" i="106"/>
  <c r="P41" i="82"/>
  <c r="F61" i="106"/>
  <c r="F65" i="106"/>
  <c r="P137" i="82"/>
  <c r="F63" i="106"/>
  <c r="D50" i="106"/>
  <c r="D42" i="106"/>
  <c r="F42" i="106"/>
  <c r="C52" i="106"/>
  <c r="I42" i="106"/>
  <c r="J42" i="106"/>
  <c r="G35" i="147"/>
  <c r="H35" i="147"/>
  <c r="O51" i="148"/>
  <c r="D35" i="147"/>
  <c r="F35" i="147"/>
  <c r="I35" i="147"/>
  <c r="J35" i="147"/>
  <c r="O269" i="148"/>
  <c r="O243" i="148"/>
  <c r="O233" i="148"/>
  <c r="O203" i="148"/>
  <c r="O193" i="148"/>
  <c r="O153" i="148"/>
  <c r="O135" i="148"/>
  <c r="O123" i="148"/>
  <c r="O99" i="148"/>
  <c r="O87" i="148"/>
  <c r="O72" i="148"/>
  <c r="O63" i="148"/>
  <c r="G20" i="147"/>
  <c r="H20" i="147"/>
  <c r="O54" i="148"/>
  <c r="O57" i="148"/>
  <c r="O60" i="148"/>
  <c r="O66" i="148"/>
  <c r="O69" i="148"/>
  <c r="O75" i="148"/>
  <c r="O78" i="148"/>
  <c r="O81" i="148"/>
  <c r="O84" i="148"/>
  <c r="O90" i="148"/>
  <c r="O93" i="148"/>
  <c r="O96" i="148"/>
  <c r="O102" i="148"/>
  <c r="O105" i="148"/>
  <c r="O108" i="148"/>
  <c r="O114" i="148"/>
  <c r="O117" i="148"/>
  <c r="O120" i="148"/>
  <c r="O126" i="148"/>
  <c r="O129" i="148"/>
  <c r="O132" i="148"/>
  <c r="O146" i="148"/>
  <c r="O158" i="148"/>
  <c r="O161" i="148"/>
  <c r="O166" i="148"/>
  <c r="O171" i="148"/>
  <c r="O178" i="148"/>
  <c r="O181" i="148"/>
  <c r="O186" i="148"/>
  <c r="O198" i="148"/>
  <c r="O210" i="148"/>
  <c r="O217" i="148"/>
  <c r="O220" i="148"/>
  <c r="O225" i="148"/>
  <c r="O228" i="148"/>
  <c r="O240" i="148"/>
  <c r="O246" i="148"/>
  <c r="O249" i="148"/>
  <c r="O266" i="148"/>
  <c r="B56" i="147"/>
  <c r="I20" i="147"/>
  <c r="J20" i="147"/>
  <c r="F20" i="147"/>
  <c r="D20" i="147"/>
  <c r="F56" i="147"/>
  <c r="G56" i="147"/>
  <c r="E50" i="147"/>
  <c r="B21" i="147"/>
  <c r="D21" i="147"/>
  <c r="F21" i="147"/>
  <c r="G21" i="147"/>
  <c r="H21" i="147"/>
  <c r="I21" i="147"/>
  <c r="J21" i="147"/>
  <c r="B36" i="147"/>
  <c r="D36" i="147"/>
  <c r="F36" i="147"/>
  <c r="G36" i="147"/>
  <c r="H36" i="147"/>
  <c r="I36" i="147"/>
  <c r="J36" i="147"/>
  <c r="B47" i="147"/>
  <c r="D47" i="147"/>
  <c r="O52" i="148"/>
  <c r="O55" i="148"/>
  <c r="O58" i="148"/>
  <c r="O61" i="148"/>
  <c r="O64" i="148"/>
  <c r="O67" i="148"/>
  <c r="O70" i="148"/>
  <c r="O73" i="148"/>
  <c r="O76" i="148"/>
  <c r="O79" i="148"/>
  <c r="O82" i="148"/>
  <c r="O85" i="148"/>
  <c r="O88" i="148"/>
  <c r="O91" i="148"/>
  <c r="O94" i="148"/>
  <c r="O97" i="148"/>
  <c r="O100" i="148"/>
  <c r="O103" i="148"/>
  <c r="O106" i="148"/>
  <c r="O109" i="148"/>
  <c r="O115" i="148"/>
  <c r="O118" i="148"/>
  <c r="O121" i="148"/>
  <c r="O124" i="148"/>
  <c r="O127" i="148"/>
  <c r="O130" i="148"/>
  <c r="O133" i="148"/>
  <c r="O136" i="148"/>
  <c r="O147" i="148"/>
  <c r="O154" i="148"/>
  <c r="O159" i="148"/>
  <c r="O162" i="148"/>
  <c r="O167" i="148"/>
  <c r="O172" i="148"/>
  <c r="O179" i="148"/>
  <c r="O182" i="148"/>
  <c r="O187" i="148"/>
  <c r="O194" i="148"/>
  <c r="O199" i="148"/>
  <c r="O204" i="148"/>
  <c r="O211" i="148"/>
  <c r="O218" i="148"/>
  <c r="O221" i="148"/>
  <c r="O226" i="148"/>
  <c r="O229" i="148"/>
  <c r="O234" i="148"/>
  <c r="O241" i="148"/>
  <c r="O244" i="148"/>
  <c r="O247" i="148"/>
  <c r="O250" i="148"/>
  <c r="O267" i="148"/>
  <c r="O270" i="148"/>
  <c r="F57" i="147"/>
  <c r="G57" i="147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3" i="147"/>
  <c r="F65" i="147"/>
  <c r="F64" i="147"/>
  <c r="P2" i="157"/>
  <c r="P308" i="150"/>
  <c r="P307" i="150"/>
  <c r="F64" i="149"/>
  <c r="P310" i="150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5" i="149"/>
  <c r="C56" i="149"/>
  <c r="C57" i="149"/>
  <c r="C58" i="149"/>
  <c r="C59" i="149"/>
  <c r="C60" i="149"/>
  <c r="C61" i="149"/>
  <c r="C62" i="149"/>
  <c r="F57" i="149"/>
  <c r="G57" i="149"/>
  <c r="B47" i="149"/>
  <c r="D47" i="149"/>
  <c r="I36" i="149"/>
  <c r="J36" i="149"/>
  <c r="F36" i="149"/>
  <c r="D36" i="149"/>
  <c r="F35" i="149"/>
  <c r="D35" i="149"/>
  <c r="I35" i="149"/>
  <c r="J35" i="149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9" i="150"/>
  <c r="F63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<sst xmlns="http://schemas.openxmlformats.org/spreadsheetml/2006/main" count="983" uniqueCount="298">
  <si>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</si>
  <si>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</si>
  <si>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</si>
  <si>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</si>
  <si>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</si>
  <si>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</si>
  <si>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</si>
  <si>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</si>
  <si>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</si>
  <si>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</si>
  <si>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</si>
  <si>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</si>
  <si>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</si>
  <si>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</si>
  <si>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</si>
  <si>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</si>
  <si>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</si>
  <si>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</si>
  <si>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</si>
  <si>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</si>
  <si>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</si>
  <si>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</si>
  <si>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</si>
  <si>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</si>
  <si>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</si>
  <si>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</si>
  <si>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</si>
  <si>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</si>
  <si>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</si>
  <si>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</si>
  <si>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</si>
  <si>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</si>
  <si>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</si>
  <si>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</si>
  <si>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</si>
  <si>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</si>
  <si>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</si>
  <si>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</si>
  <si>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</si>
  <si>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</si>
  <si>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</si>
  <si>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</si>
  <si>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</si>
  <si>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</si>
  <si>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</si>
  <si>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</si>
  <si>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</si>
  <si>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</si>
  <si>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</si>
  <si>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</si>
  <si>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</si>
  <si>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</si>
  <si>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</si>
  <si>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</si>
  <si>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</si>
  <si>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</si>
  <si>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</si>
  <si>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</si>
  <si>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</si>
  <si>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</si>
  <si>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</si>
  <si>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</si>
  <si>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</si>
  <si>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</si>
  <si>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</si>
  <si>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</si>
  <si>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</si>
  <si>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</si>
  <si>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</si>
  <si>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</si>
  <si>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</si>
  <si>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</si>
  <si>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</si>
  <si>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</si>
  <si>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</si>
  <si>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</si>
  <si>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</si>
  <si>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</si>
  <si>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</si>
  <si>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</si>
  <si>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</si>
  <si>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</si>
  <si>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</si>
  <si>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</si>
  <si>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</si>
  <si>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</si>
  <si>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</si>
  <si>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</si>
  <si>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</si>
  <si>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</si>
  <si>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</si>
  <si>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</si>
  <si>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</si>
  <si>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</si>
  <si>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</si>
  <si>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</si>
  <si>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</si>
  <si>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</si>
  <si>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</si>
  <si>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</si>
  <si>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</si>
  <si>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</si>
  <si>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</si>
  <si>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</si>
  <si>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</si>
  <si>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</si>
  <si>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</si>
  <si>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</si>
  <si>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</si>
  <si>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</si>
  <si>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</si>
  <si>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</si>
  <si>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</si>
  <si>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</si>
  <si>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</si>
  <si>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</si>
  <si>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</si>
  <si>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</si>
  <si>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</si>
  <si>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</si>
  <si>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</si>
  <si>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</si>
  <si>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</si>
  <si>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</si>
  <si>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</si>
  <si>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</si>
  <si>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</si>
  <si>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</si>
  <si>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</si>
  <si>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</si>
  <si>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</si>
  <si>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</si>
  <si>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</si>
  <si>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</si>
  <si>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</si>
  <si>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</si>
  <si>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</si>
  <si>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</si>
  <si>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</si>
  <si>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</si>
  <si>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</si>
  <si>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</si>
  <si>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</si>
  <si>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</si>
  <si>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</si>
  <si>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</si>
  <si>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</si>
  <si>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</si>
  <si>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</si>
  <si>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</si>
  <si>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</si>
  <si>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</si>
  <si>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</si>
  <si>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</si>
  <si>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</si>
  <si>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</si>
  <si>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</si>
  <si>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</si>
  <si>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</si>
  <si>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</si>
  <si>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</si>
  <si>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</si>
  <si>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</si>
  <si>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</si>
  <si>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</si>
  <si>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</si>
  <si>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</si>
  <si>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</si>
  <si>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</si>
  <si>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</si>
  <si>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</si>
  <si>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</si>
  <si>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</si>
  <si>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</si>
  <si>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</si>
  <si>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</si>
  <si>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</si>
  <si>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</si>
  <si>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</si>
  <si>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</si>
  <si>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</si>
  <si>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</si>
  <si>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</si>
  <si>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</si>
  <si>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</si>
  <si>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</si>
  <si>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</si>
  <si>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</si>
  <si>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</si>
  <si>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</si>
  <si>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</si>
  <si>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</si>
  <si>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</si>
  <si>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</si>
  <si>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</si>
  <si>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</si>
  <si>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</si>
  <si>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</si>
  <si>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</si>
  <si>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</si>
  <si>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</si>
  <si>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</si>
  <si>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</si>
  <si>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</si>
  <si>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</si>
  <si>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</si>
  <si>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</si>
  <si>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</si>
  <si>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</si>
  <si>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</si>
  <si>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</si>
  <si>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</si>
  <si>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</si>
  <si>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</si>
  <si>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</si>
  <si>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</si>
  <si>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</si>
  <si>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</si>
  <si>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</si>
  <si>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</si>
  <si>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</si>
  <si>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</si>
  <si>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</si>
  <si>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</si>
  <si>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</si>
  <si>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</si>
  <si>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</si>
  <si>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</si>
  <si>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</si>
  <si>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</si>
  <si>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</si>
  <si>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</si>
  <si>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</si>
  <si>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</si>
  <si>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</si>
  <si>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</si>
  <si>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</si>
  <si>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</si>
  <si>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</si>
  <si>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</si>
  <si>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</si>
  <si>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</si>
  <si>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</si>
  <si>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</si>
  <si>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</si>
  <si>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</si>
  <si>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</si>
  <si>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</si>
  <si>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</si>
  <si>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</si>
  <si>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</si>
  <si>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</si>
  <si>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</si>
  <si>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</si>
  <si>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</si>
  <si>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</si>
  <si>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</si>
  <si>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</si>
  <si>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</si>
  <si>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</si>
  <si>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</si>
  <si>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</si>
  <si>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</si>
  <si>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</si>
  <si>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</si>
  <si>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</si>
  <si>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</si>
  <si>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</si>
  <si>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</si>
  <si>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</si>
  <si>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</si>
  <si>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</si>
  <si>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</si>
  <si>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</si>
  <si>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</si>
  <si>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</si>
  <si>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</si>
  <si>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old</t>
    <phoneticPr fontId="19"/>
  </si>
  <si>
    <t>tables_425101</t>
  </si>
  <si>
    <t>tables_425103</t>
  </si>
  <si>
    <t>tables_settle_425103</t>
  </si>
  <si>
    <t>tables_425104</t>
  </si>
  <si>
    <t>tables_425105</t>
  </si>
  <si>
    <t>tables_425100</t>
  </si>
  <si>
    <t>425104</t>
  </si>
  <si>
    <t>4251041</t>
  </si>
  <si>
    <t>425105</t>
  </si>
  <si>
    <t>4251051</t>
  </si>
  <si>
    <t>PremiumSSS</t>
    <phoneticPr fontId="19"/>
  </si>
  <si>
    <t>PremiumSSw</t>
    <phoneticPr fontId="19"/>
  </si>
  <si>
    <t>PremiumSS5R5only</t>
    <phoneticPr fontId="19"/>
  </si>
  <si>
    <t>SS4</t>
    <phoneticPr fontId="19"/>
  </si>
  <si>
    <t>SS5</t>
    <phoneticPr fontId="19"/>
  </si>
  <si>
    <t>PremiumSSS</t>
    <phoneticPr fontId="19"/>
  </si>
  <si>
    <t>PremiumSSw</t>
    <phoneticPr fontId="19"/>
  </si>
  <si>
    <t>PremiumSSw</t>
    <phoneticPr fontId="19"/>
  </si>
  <si>
    <t>PremiumSSS</t>
    <phoneticPr fontId="19"/>
  </si>
  <si>
    <t>PremiumSSS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</si>
</sst>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6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0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176" fontId="56" fillId="32" borderId="1" xfId="0" applyNumberFormat="1" applyFont="1" applyFill="1" applyBorder="1"/>
    <xf numFmtId="9" fontId="0" fillId="0" borderId="0" xfId="0" applyNumberFormat="1"/>
    <xf numFmtId="9" fontId="0" fillId="0" borderId="0" xfId="3575" applyFont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0" fontId="57" fillId="4" borderId="0" xfId="0" applyFont="1" applyFill="1"/>
    <xf numFmtId="186" fontId="0" fillId="0" borderId="0" xfId="0" applyNumberFormat="1"/>
    <xf numFmtId="0" fontId="24" fillId="0" borderId="17" xfId="2" applyFont="1" applyBorder="1" applyAlignment="1">
      <alignment vertical="center"/>
    </xf>
    <xf numFmtId="0" fontId="24" fillId="3" borderId="18" xfId="2" applyFont="1" applyFill="1" applyBorder="1" applyAlignment="1">
      <alignment vertical="center"/>
    </xf>
    <xf numFmtId="0" fontId="57" fillId="0" borderId="1" xfId="0" applyFont="1" applyBorder="1"/>
  </cellXfs>
  <cellStyles count="3666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277</v>
      </c>
      <c r="B2" s="61" t="s">
        <v>116</v>
      </c>
      <c r="C2" s="50" t="str">
        <f t="shared" ref="C2" si="0">RIGHT(F2,6)</f>
        <v>425101</v>
      </c>
      <c r="D2" s="19" t="s">
        <v>46</v>
      </c>
      <c r="E2" s="17" t="str">
        <f t="shared" ref="E2" si="1">B2&amp;C2&amp;D2</f>
        <v>gacha_select_tables_425101.tmp</v>
      </c>
      <c r="F2" s="90" t="s">
        <v>278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277</v>
      </c>
      <c r="B3" s="61" t="s">
        <v>116</v>
      </c>
      <c r="C3" s="50" t="str">
        <f t="shared" ref="C3:C7" si="2">RIGHT(F3,6)</f>
        <v>425103</v>
      </c>
      <c r="D3" s="19" t="s">
        <v>46</v>
      </c>
      <c r="E3" s="17" t="str">
        <f t="shared" ref="E3:E10" si="3">B3&amp;C3&amp;D3</f>
        <v>gacha_select_tables_425103.tmp</v>
      </c>
      <c r="F3" s="90" t="s">
        <v>279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277</v>
      </c>
      <c r="B4" s="78" t="s">
        <v>220</v>
      </c>
      <c r="C4" s="50" t="str">
        <f t="shared" si="2"/>
        <v>425103</v>
      </c>
      <c r="D4" s="19" t="s">
        <v>46</v>
      </c>
      <c r="E4" s="17" t="str">
        <f t="shared" ref="E4:E7" si="4">B4&amp;C4&amp;D4</f>
        <v>gacha_settle_tables_425103.tmp</v>
      </c>
      <c r="F4" s="90" t="s">
        <v>280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277</v>
      </c>
      <c r="B5" s="61" t="s">
        <v>116</v>
      </c>
      <c r="C5" s="50" t="str">
        <f t="shared" si="2"/>
        <v>425104</v>
      </c>
      <c r="D5" s="19" t="s">
        <v>46</v>
      </c>
      <c r="E5" s="17" t="str">
        <f t="shared" si="4"/>
        <v>gacha_select_tables_425104.tmp</v>
      </c>
      <c r="F5" s="90" t="s">
        <v>281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277</v>
      </c>
      <c r="B6" s="61" t="s">
        <v>116</v>
      </c>
      <c r="C6" s="50" t="str">
        <f t="shared" ref="C6" si="5">RIGHT(F6,6)</f>
        <v>425105</v>
      </c>
      <c r="D6" s="19" t="s">
        <v>46</v>
      </c>
      <c r="E6" s="17" t="str">
        <f t="shared" ref="E6" si="6">B6&amp;C6&amp;D6</f>
        <v>gacha_select_tables_425105.tmp</v>
      </c>
      <c r="F6" s="90" t="s">
        <v>282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277</v>
      </c>
      <c r="B7" s="61" t="s">
        <v>116</v>
      </c>
      <c r="C7" s="50" t="str">
        <f t="shared" si="2"/>
        <v>425100</v>
      </c>
      <c r="D7" s="19" t="s">
        <v>46</v>
      </c>
      <c r="E7" s="17" t="str">
        <f t="shared" si="4"/>
        <v>gacha_select_tables_425100.tmp</v>
      </c>
      <c r="F7" s="90" t="s">
        <v>283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277</v>
      </c>
      <c r="B8" s="27" t="s">
        <v>51</v>
      </c>
      <c r="C8" s="32">
        <v>425</v>
      </c>
      <c r="D8" s="19" t="s">
        <v>47</v>
      </c>
      <c r="E8" s="17" t="str">
        <f t="shared" si="3"/>
        <v>gacha_bonus_tables_425.tmp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277</v>
      </c>
      <c r="B9" s="19" t="s">
        <v>49</v>
      </c>
      <c r="C9" s="32">
        <v>425</v>
      </c>
      <c r="D9" s="19" t="s">
        <v>47</v>
      </c>
      <c r="E9" s="17" t="str">
        <f t="shared" si="3"/>
        <v>gifts_tmp_425.tmp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89" t="s">
        <v>277</v>
      </c>
      <c r="B10" s="19" t="s">
        <v>50</v>
      </c>
      <c r="C10" s="32">
        <v>425</v>
      </c>
      <c r="D10" s="19" t="s">
        <v>47</v>
      </c>
      <c r="E10" s="17" t="str">
        <f t="shared" si="3"/>
        <v>gifts_i18n_425.tmp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13" workbookViewId="0">
      <selection activeCell="E64" sqref="E64:F65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1.796875" bestFit="1" customWidth="1"/>
    <col min="6" max="6" width="16.19921875" bestFit="1" customWidth="1"/>
    <col min="7" max="7" width="14.5976562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425101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VLOOKUP(L3,tables_425101!B:C,2,FALSE)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VLOOKUP(L4,tables_425101!B:C,2,FALSE)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5.0000000000000012E-4</v>
      </c>
      <c r="F5">
        <f>(COUNTIF(tables_425101!C:C,input_425101!A28)+COUNTIF(tables_425101!C:C,input_425101!A29))</f>
        <v>40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VLOOKUP(L5,tables_425101!B:C,2,FALSE)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2.142857142857143E-3</v>
      </c>
      <c r="F6">
        <f>(COUNTIF(tables_425101!C:C,input_425101!A43)+COUNTIF(tables_425101!C:C,input_425101!A44))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VLOOKUP(L6,tables_425101!B:C,2,FALSE)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5.5647058823529412E-3</v>
      </c>
      <c r="F7">
        <f>(COUNTIF(tables_425101!C:C,input_425101!A25)+COUNTIF(tables_425101!C:C,input_425101!A18)+COUNTIF(tables_425101!C:C,input_425101!A20)+COUNTIF(tables_425101!C:C,input_425101!A22))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VLOOKUP(L7,tables_425101!B:C,2,FALSE)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(COUNTIF(tables_425101!C:C,input_425101!A40)+COUNTIF(tables_425101!C:C,input_425101!A33)+COUNTIF(tables_425101!C:C,input_425101!A35)+COUNTIF(tables_425101!C:C,input_425101!A37))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VLOOKUP(L8,tables_425101!B:C,2,FALSE)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VLOOKUP(L9,tables_425101!B:C,2,FALSE)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VLOOKUP(L10,tables_425101!B:C,2,FALSE)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VLOOKUP(L11,tables_425101!B:C,2,FALSE)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VLOOKUP(L12,tables_425101!B:C,2,FALSE)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VLOOKUP(L13,tables_425101!B:C,2,FALSE)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VLOOKUP(L14,tables_425101!B:C,2,FALSE)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VLOOKUP(L15,tables_425101!B:C,2,FALSE)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VLOOKUP(L16,tables_425101!B:C,2,FALSE)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5">
        <f>B$5*0.4-B19-B24</f>
        <v>8.3141176470588246E-2</v>
      </c>
      <c r="C17" s="86">
        <f t="shared" ref="C17:C46" si="2">SUMIF(Q:Q,A17,N:N)</f>
        <v>0</v>
      </c>
      <c r="D17" s="75">
        <f t="shared" ref="D17:D26" si="3">B17-C17</f>
        <v>8.3141176470588246E-2</v>
      </c>
      <c r="E17">
        <f>COUNTIF(tables_425101!C:C,input_425101!A17)-COUNTIF(Q:Q,A17)</f>
        <v>14</v>
      </c>
      <c r="F17" s="43">
        <f>IFERROR(B17/E17,0)</f>
        <v>5.9386554621848747E-3</v>
      </c>
      <c r="G17">
        <f t="shared" ref="G17:G46" si="4">A$51*B17</f>
        <v>226144.00000000003</v>
      </c>
      <c r="H17">
        <f t="shared" ref="H17:H26" si="5">IFERROR(ROUND(G17/E17,5),0)</f>
        <v>16153.14286</v>
      </c>
      <c r="I17">
        <f t="shared" ref="I17:I31" si="6">MOD(H17,1)</f>
        <v>0.14285999999992782</v>
      </c>
      <c r="J17">
        <f t="shared" ref="J17:J26" si="7">IFERROR(1/I17,1)</f>
        <v>6.999860002803481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VLOOKUP(L17,tables_425101!B:C,2,FALSE)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E$7*E18-B17+E49</f>
        <v>1.4870861647058569E-2</v>
      </c>
      <c r="C18" s="86">
        <f t="shared" si="2"/>
        <v>0</v>
      </c>
      <c r="D18" s="75">
        <f t="shared" si="3"/>
        <v>1.4870861647058569E-2</v>
      </c>
      <c r="E18">
        <f>COUNTIF(tables_425101!C:C,input_425101!A18)-COUNTIF(Q:Q,A18)</f>
        <v>15</v>
      </c>
      <c r="F18" s="43">
        <f>IFERROR(B18/E18,0)</f>
        <v>9.913907764705712E-4</v>
      </c>
      <c r="G18">
        <f t="shared" si="4"/>
        <v>40448.743679999308</v>
      </c>
      <c r="H18">
        <f t="shared" si="5"/>
        <v>2696.5829100000001</v>
      </c>
      <c r="I18">
        <f t="shared" si="6"/>
        <v>0.58291000000008353</v>
      </c>
      <c r="J18">
        <f t="shared" si="7"/>
        <v>1.7155306994216204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VLOOKUP(L18,tables_425101!B:C,2,FALSE)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0.10851176470588235</v>
      </c>
      <c r="C19" s="86">
        <f t="shared" si="2"/>
        <v>0</v>
      </c>
      <c r="D19" s="75">
        <f t="shared" si="3"/>
        <v>0.10851176470588235</v>
      </c>
      <c r="E19">
        <f>COUNTIF(tables_425101!C:C,input_425101!A19)-COUNTIF(Q:Q,A19)</f>
        <v>39</v>
      </c>
      <c r="F19" s="43">
        <f t="shared" ref="F19:F31" si="8">IFERROR(B19/E19,0)</f>
        <v>2.7823529411764706E-3</v>
      </c>
      <c r="G19">
        <f t="shared" si="4"/>
        <v>295152</v>
      </c>
      <c r="H19">
        <f t="shared" si="5"/>
        <v>7568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VLOOKUP(L19,tables_425101!B:C,2,FALSE)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5">
        <f>E$7*E20*B$6-C51</f>
        <v>9.0389863294117745E-2</v>
      </c>
      <c r="C20" s="86">
        <f t="shared" si="2"/>
        <v>0</v>
      </c>
      <c r="D20" s="75">
        <f t="shared" si="3"/>
        <v>9.0389863294117745E-2</v>
      </c>
      <c r="E20">
        <f>COUNTIF(tables_425101!C:C,input_425101!A20)-COUNTIF(Q:Q,A20)</f>
        <v>39</v>
      </c>
      <c r="F20" s="43">
        <f t="shared" si="8"/>
        <v>2.3176888024132756E-3</v>
      </c>
      <c r="G20">
        <f t="shared" si="4"/>
        <v>245860.42816000027</v>
      </c>
      <c r="H20">
        <f t="shared" si="5"/>
        <v>6304.1135400000003</v>
      </c>
      <c r="I20">
        <f t="shared" si="6"/>
        <v>0.11354000000028464</v>
      </c>
      <c r="J20">
        <f t="shared" si="7"/>
        <v>8.8074687334639172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VLOOKUP(L20,tables_425101!B:C,2,FALSE)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E$7*E21*B$7+E51</f>
        <v>3.580451529411886E-3</v>
      </c>
      <c r="C21" s="86">
        <f t="shared" si="2"/>
        <v>0</v>
      </c>
      <c r="D21" s="75">
        <f t="shared" si="3"/>
        <v>3.580451529411886E-3</v>
      </c>
      <c r="E21">
        <f>COUNTIF(tables_425101!C:C,input_425101!A21)-COUNTIF(Q:Q,A21)</f>
        <v>39</v>
      </c>
      <c r="F21" s="43">
        <f t="shared" si="8"/>
        <v>9.1806449472099644E-5</v>
      </c>
      <c r="G21">
        <f t="shared" si="4"/>
        <v>9738.8281600003302</v>
      </c>
      <c r="H21">
        <f t="shared" si="5"/>
        <v>249.71353999999999</v>
      </c>
      <c r="I21">
        <f t="shared" si="6"/>
        <v>0.71353999999999473</v>
      </c>
      <c r="J21">
        <f t="shared" si="7"/>
        <v>1.4014631275051257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5.8151176470588234E-2</v>
      </c>
      <c r="C22" s="86">
        <f t="shared" si="2"/>
        <v>0</v>
      </c>
      <c r="D22" s="75">
        <f t="shared" si="3"/>
        <v>5.8151176470588234E-2</v>
      </c>
      <c r="E22">
        <f>COUNTIF(tables_425101!C:C,input_425101!A22)-COUNTIF(Q:Q,A22)</f>
        <v>11</v>
      </c>
      <c r="F22" s="43">
        <f t="shared" si="8"/>
        <v>5.2864705882352944E-3</v>
      </c>
      <c r="G22">
        <f t="shared" si="4"/>
        <v>158171.19999999998</v>
      </c>
      <c r="H22">
        <f t="shared" si="5"/>
        <v>14379.2</v>
      </c>
      <c r="I22">
        <f t="shared" si="6"/>
        <v>0.2000000000007276</v>
      </c>
      <c r="J22">
        <f t="shared" si="7"/>
        <v>4.9999999999818101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3.0605882352941179E-3</v>
      </c>
      <c r="C23" s="86">
        <f t="shared" si="2"/>
        <v>0</v>
      </c>
      <c r="D23" s="75">
        <f t="shared" si="3"/>
        <v>3.0605882352941179E-3</v>
      </c>
      <c r="E23">
        <f>COUNTIF(tables_425101!C:C,input_425101!A23)-COUNTIF(Q:Q,A23)</f>
        <v>11</v>
      </c>
      <c r="F23" s="43">
        <f t="shared" si="8"/>
        <v>2.7823529411764706E-4</v>
      </c>
      <c r="G23">
        <f t="shared" si="4"/>
        <v>8324.8000000000011</v>
      </c>
      <c r="H23">
        <f t="shared" si="5"/>
        <v>756.8</v>
      </c>
      <c r="I23">
        <f t="shared" si="6"/>
        <v>0.79999999999995453</v>
      </c>
      <c r="J23">
        <f t="shared" si="7"/>
        <v>1.2500000000000711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8.3470588235294123E-3</v>
      </c>
      <c r="C24" s="86">
        <f t="shared" si="2"/>
        <v>0</v>
      </c>
      <c r="D24" s="75">
        <f t="shared" si="3"/>
        <v>8.3470588235294123E-3</v>
      </c>
      <c r="E24">
        <f>COUNTIF(tables_425101!C:C,input_425101!A24)-COUNTIF(Q:Q,A24)</f>
        <v>3</v>
      </c>
      <c r="F24" s="43">
        <f t="shared" si="8"/>
        <v>2.7823529411764706E-3</v>
      </c>
      <c r="G24">
        <f t="shared" si="4"/>
        <v>22704</v>
      </c>
      <c r="H24">
        <f t="shared" si="5"/>
        <v>7568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7.5123529411764717E-3</v>
      </c>
      <c r="C25" s="86">
        <f t="shared" si="2"/>
        <v>0</v>
      </c>
      <c r="D25" s="75">
        <f t="shared" si="3"/>
        <v>7.5123529411764717E-3</v>
      </c>
      <c r="E25">
        <f>COUNTIF(tables_425101!C:C,input_425101!A25)-COUNTIF(Q:Q,A25)</f>
        <v>3</v>
      </c>
      <c r="F25" s="43">
        <f t="shared" si="8"/>
        <v>2.5041176470588238E-3</v>
      </c>
      <c r="G25">
        <f t="shared" si="4"/>
        <v>20433.600000000002</v>
      </c>
      <c r="H25">
        <f t="shared" si="5"/>
        <v>6811.2</v>
      </c>
      <c r="I25">
        <f t="shared" si="6"/>
        <v>0.1999999999998181</v>
      </c>
      <c r="J25">
        <f t="shared" si="7"/>
        <v>5.0000000000045475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57" t="s">
        <v>201</v>
      </c>
      <c r="B26" s="56">
        <f>E$7*B$7*E26</f>
        <v>8.3470588235294118E-4</v>
      </c>
      <c r="C26" s="86">
        <f t="shared" si="2"/>
        <v>0</v>
      </c>
      <c r="D26" s="75">
        <f t="shared" si="3"/>
        <v>8.3470588235294118E-4</v>
      </c>
      <c r="E26">
        <f>COUNTIF(tables_425101!C:C,input_425101!A26)-COUNTIF(Q:Q,A26)</f>
        <v>3</v>
      </c>
      <c r="F26" s="43">
        <f t="shared" si="8"/>
        <v>2.7823529411764706E-4</v>
      </c>
      <c r="G26">
        <f t="shared" si="4"/>
        <v>2270.4</v>
      </c>
      <c r="H26">
        <f t="shared" si="5"/>
        <v>756.8</v>
      </c>
      <c r="I26">
        <f t="shared" si="6"/>
        <v>0.79999999999995453</v>
      </c>
      <c r="J26">
        <f t="shared" si="7"/>
        <v>1.2500000000000711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57" t="s">
        <v>109</v>
      </c>
      <c r="B27" s="56">
        <f>E$5*E27*(B$5+B$6)+C52</f>
        <v>1.3610362470588182E-2</v>
      </c>
      <c r="C27" s="86">
        <f t="shared" si="2"/>
        <v>0</v>
      </c>
      <c r="D27" s="75">
        <f t="shared" ref="D27:D29" si="9">B27-C27</f>
        <v>1.3610362470588182E-2</v>
      </c>
      <c r="E27">
        <f>COUNTIF(tables_425101!C:C,input_425101!A27)-COUNTIF(Q:Q,A27)</f>
        <v>21</v>
      </c>
      <c r="F27" s="43">
        <f>IFERROR(B27/E27,0)</f>
        <v>6.481124985994373E-4</v>
      </c>
      <c r="G27">
        <f t="shared" si="4"/>
        <v>37020.185919999858</v>
      </c>
      <c r="H27">
        <f t="shared" ref="H27:H29" si="10">IFERROR(ROUND(G27/E27,5),0)</f>
        <v>1762.866</v>
      </c>
      <c r="I27">
        <f t="shared" si="6"/>
        <v>0.86599999999998545</v>
      </c>
      <c r="J27">
        <f t="shared" ref="J27:J29" si="11">IFERROR(1/I27,1)</f>
        <v>1.1547344110854698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57" t="s">
        <v>110</v>
      </c>
      <c r="B28" s="56">
        <f>E$5*E28*B$7</f>
        <v>5.2500000000000018E-4</v>
      </c>
      <c r="C28" s="86">
        <f t="shared" si="2"/>
        <v>0</v>
      </c>
      <c r="D28" s="75">
        <f t="shared" si="9"/>
        <v>5.2500000000000018E-4</v>
      </c>
      <c r="E28">
        <f>COUNTIF(tables_425101!C:C,input_425101!A28)-COUNTIF(Q:Q,A28)</f>
        <v>21</v>
      </c>
      <c r="F28" s="43">
        <f t="shared" si="8"/>
        <v>2.5000000000000008E-5</v>
      </c>
      <c r="G28">
        <f t="shared" si="4"/>
        <v>1428.0000000000005</v>
      </c>
      <c r="H28">
        <f t="shared" si="10"/>
        <v>68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57" t="s">
        <v>290</v>
      </c>
      <c r="B29" s="56">
        <f>E$5*E29-D51</f>
        <v>7.4646375294117814E-3</v>
      </c>
      <c r="C29" s="86">
        <f t="shared" si="2"/>
        <v>0</v>
      </c>
      <c r="D29" s="75">
        <f t="shared" si="9"/>
        <v>7.4646375294117814E-3</v>
      </c>
      <c r="E29">
        <f>COUNTIF(tables_425101!C:C,input_425101!A29)-COUNTIF(Q:Q,A29)</f>
        <v>19</v>
      </c>
      <c r="F29" s="43">
        <f t="shared" si="8"/>
        <v>3.9287565944272536E-4</v>
      </c>
      <c r="G29">
        <f t="shared" si="4"/>
        <v>20303.814080000044</v>
      </c>
      <c r="H29">
        <f t="shared" si="10"/>
        <v>1068.6217899999999</v>
      </c>
      <c r="I29">
        <f t="shared" si="6"/>
        <v>0.62178999999991902</v>
      </c>
      <c r="J29">
        <f t="shared" si="11"/>
        <v>1.6082600234808058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57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COUNTIF(tables_425101!C:C,input_425101!A30)-COUNTIF(Q:Q,A30)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57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COUNTIF(tables_425101!C:C,input_425101!A31)-COUNTIF(Q:Q,A31)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57" t="s">
        <v>252</v>
      </c>
      <c r="B32" s="83">
        <f>B$5*0.6-B34-B39</f>
        <v>0.11940000000000001</v>
      </c>
      <c r="C32" s="86">
        <f t="shared" si="2"/>
        <v>0</v>
      </c>
      <c r="D32" s="75">
        <f t="shared" si="12"/>
        <v>0.11940000000000001</v>
      </c>
      <c r="E32">
        <f>COUNTIF(tables_425101!C:C,input_425101!A32)-COUNTIF(Q:Q,A32)</f>
        <v>5</v>
      </c>
      <c r="F32" s="43">
        <f>IFERROR(B32/E32,0)</f>
        <v>2.3880000000000002E-2</v>
      </c>
      <c r="G32">
        <f t="shared" si="4"/>
        <v>324768</v>
      </c>
      <c r="H32">
        <f t="shared" si="13"/>
        <v>64953.599999999999</v>
      </c>
      <c r="I32">
        <f t="shared" ref="I32:I46" si="15">MOD(H32,1)</f>
        <v>0.59999999999854481</v>
      </c>
      <c r="J32">
        <f t="shared" si="14"/>
        <v>1.6666666666707088</v>
      </c>
      <c r="M32" s="37"/>
      <c r="N32" s="63"/>
      <c r="O32" s="37"/>
      <c r="P32" s="37"/>
      <c r="Q32" s="37"/>
      <c r="R32" s="62"/>
    </row>
    <row r="33" spans="1:18" x14ac:dyDescent="0.15">
      <c r="A33" s="57" t="s">
        <v>253</v>
      </c>
      <c r="B33" s="56">
        <f>E$8*E33-B32</f>
        <v>9.5999999999999974E-3</v>
      </c>
      <c r="C33" s="86">
        <f t="shared" si="2"/>
        <v>0</v>
      </c>
      <c r="D33" s="75">
        <f t="shared" si="12"/>
        <v>9.5999999999999974E-3</v>
      </c>
      <c r="E33">
        <f>COUNTIF(tables_425101!C:C,input_425101!A33)-COUNTIF(Q:Q,A33)</f>
        <v>5</v>
      </c>
      <c r="F33" s="43">
        <f>IFERROR(B33/E33,0)</f>
        <v>1.9199999999999994E-3</v>
      </c>
      <c r="G33">
        <f t="shared" si="4"/>
        <v>26111.999999999993</v>
      </c>
      <c r="H33">
        <f t="shared" si="13"/>
        <v>5222.3999999999996</v>
      </c>
      <c r="I33">
        <f t="shared" si="15"/>
        <v>0.3999999999996362</v>
      </c>
      <c r="J33">
        <f t="shared" si="14"/>
        <v>2.5000000000022737</v>
      </c>
      <c r="M33" s="37"/>
      <c r="N33" s="63"/>
      <c r="O33" s="37"/>
      <c r="P33" s="37"/>
      <c r="Q33" s="37"/>
      <c r="R33" s="62"/>
    </row>
    <row r="34" spans="1:18" x14ac:dyDescent="0.15">
      <c r="A34" s="57" t="s">
        <v>254</v>
      </c>
      <c r="B34" s="56">
        <f>E$8*E34*B$5</f>
        <v>0.16769999999999999</v>
      </c>
      <c r="C34" s="86">
        <f t="shared" si="2"/>
        <v>0</v>
      </c>
      <c r="D34" s="75">
        <f t="shared" si="12"/>
        <v>0.16769999999999999</v>
      </c>
      <c r="E34">
        <f>COUNTIF(tables_425101!C:C,input_425101!A34)-COUNTIF(Q:Q,A34)</f>
        <v>13</v>
      </c>
      <c r="F34" s="43">
        <f t="shared" ref="F34:F41" si="16">IFERROR(B34/E34,0)</f>
        <v>1.2899999999999998E-2</v>
      </c>
      <c r="G34">
        <f t="shared" si="4"/>
        <v>456143.99999999994</v>
      </c>
      <c r="H34">
        <f t="shared" si="13"/>
        <v>35088</v>
      </c>
      <c r="I34">
        <f t="shared" si="15"/>
        <v>0</v>
      </c>
      <c r="J34">
        <f t="shared" si="14"/>
        <v>1</v>
      </c>
      <c r="M34" s="37"/>
      <c r="N34" s="63"/>
      <c r="O34" s="37"/>
      <c r="P34" s="37"/>
      <c r="Q34" s="37"/>
      <c r="R34" s="62"/>
    </row>
    <row r="35" spans="1:18" x14ac:dyDescent="0.15">
      <c r="A35" s="57" t="s">
        <v>251</v>
      </c>
      <c r="B35" s="56">
        <f>E$8*E35*B$6+F49</f>
        <v>0.15284002075932837</v>
      </c>
      <c r="C35" s="86">
        <f t="shared" si="2"/>
        <v>0</v>
      </c>
      <c r="D35" s="75">
        <f t="shared" si="12"/>
        <v>0.15284002075932837</v>
      </c>
      <c r="E35">
        <f>COUNTIF(tables_425101!C:C,input_425101!A35)-COUNTIF(Q:Q,A35)</f>
        <v>13</v>
      </c>
      <c r="F35" s="43">
        <f t="shared" si="16"/>
        <v>1.1756924673794491E-2</v>
      </c>
      <c r="G35">
        <f t="shared" si="4"/>
        <v>415724.85646537319</v>
      </c>
      <c r="H35">
        <f t="shared" si="13"/>
        <v>31978.83511</v>
      </c>
      <c r="I35">
        <f t="shared" si="15"/>
        <v>0.83510999999998603</v>
      </c>
      <c r="J35">
        <f t="shared" si="14"/>
        <v>1.1974470429045476</v>
      </c>
      <c r="M35" s="37"/>
      <c r="N35" s="63"/>
      <c r="O35" s="37"/>
      <c r="P35" s="37"/>
      <c r="Q35" s="37"/>
      <c r="R35" s="62"/>
    </row>
    <row r="36" spans="1:18" x14ac:dyDescent="0.15">
      <c r="A36" s="57" t="s">
        <v>255</v>
      </c>
      <c r="B36" s="56">
        <f>E$8*E36*B$7-F49</f>
        <v>1.4859979240671617E-2</v>
      </c>
      <c r="C36" s="86">
        <f t="shared" si="2"/>
        <v>0</v>
      </c>
      <c r="D36" s="75">
        <f t="shared" si="12"/>
        <v>1.4859979240671617E-2</v>
      </c>
      <c r="E36">
        <f>COUNTIF(tables_425101!C:C,input_425101!A36)-COUNTIF(Q:Q,A36)</f>
        <v>13</v>
      </c>
      <c r="F36" s="43">
        <f t="shared" si="16"/>
        <v>1.1430753262055089E-3</v>
      </c>
      <c r="G36">
        <f t="shared" si="4"/>
        <v>40419.143534626797</v>
      </c>
      <c r="H36">
        <f t="shared" si="13"/>
        <v>3109.16489</v>
      </c>
      <c r="I36">
        <f t="shared" si="15"/>
        <v>0.16489000000001397</v>
      </c>
      <c r="J36">
        <f t="shared" si="14"/>
        <v>6.0646491600455779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57" t="s">
        <v>256</v>
      </c>
      <c r="B37" s="76">
        <f>E$8*E37-B38</f>
        <v>7.3529999999999998E-2</v>
      </c>
      <c r="C37" s="86">
        <f t="shared" si="2"/>
        <v>0</v>
      </c>
      <c r="D37" s="75">
        <f t="shared" si="12"/>
        <v>7.3529999999999998E-2</v>
      </c>
      <c r="E37">
        <f>COUNTIF(tables_425101!C:C,input_425101!A37)-COUNTIF(Q:Q,A37)</f>
        <v>3</v>
      </c>
      <c r="F37" s="43">
        <f t="shared" si="16"/>
        <v>2.4510000000000001E-2</v>
      </c>
      <c r="G37">
        <f t="shared" si="4"/>
        <v>200001.6</v>
      </c>
      <c r="H37">
        <f t="shared" si="13"/>
        <v>66667.199999999997</v>
      </c>
      <c r="I37">
        <f t="shared" si="15"/>
        <v>0.19999999999708962</v>
      </c>
      <c r="J37">
        <f t="shared" si="14"/>
        <v>5.0000000000727596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57" t="s">
        <v>257</v>
      </c>
      <c r="B38" s="70">
        <f>E38*E8*B7</f>
        <v>3.8700000000000002E-3</v>
      </c>
      <c r="C38" s="86">
        <f t="shared" si="2"/>
        <v>0</v>
      </c>
      <c r="D38" s="75">
        <f t="shared" si="12"/>
        <v>3.8700000000000002E-3</v>
      </c>
      <c r="E38">
        <f>COUNTIF(tables_425101!C:C,input_425101!A38)-COUNTIF(Q:Q,A38)</f>
        <v>3</v>
      </c>
      <c r="F38" s="43">
        <f t="shared" si="16"/>
        <v>1.2900000000000001E-3</v>
      </c>
      <c r="G38">
        <f t="shared" si="4"/>
        <v>10526.4</v>
      </c>
      <c r="H38">
        <f t="shared" si="13"/>
        <v>3508.8</v>
      </c>
      <c r="I38">
        <f t="shared" si="15"/>
        <v>0.8000000000001819</v>
      </c>
      <c r="J38">
        <f t="shared" si="14"/>
        <v>1.2499999999997158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57" t="s">
        <v>258</v>
      </c>
      <c r="B39" s="56">
        <f>E$8*E39*B$5</f>
        <v>1.29E-2</v>
      </c>
      <c r="C39" s="86">
        <f t="shared" si="2"/>
        <v>0</v>
      </c>
      <c r="D39" s="75">
        <f t="shared" si="12"/>
        <v>1.29E-2</v>
      </c>
      <c r="E39">
        <f>COUNTIF(tables_425101!C:C,input_425101!A39)-COUNTIF(Q:Q,A39)</f>
        <v>1</v>
      </c>
      <c r="F39" s="43">
        <f t="shared" si="16"/>
        <v>1.29E-2</v>
      </c>
      <c r="G39">
        <f t="shared" si="4"/>
        <v>35088</v>
      </c>
      <c r="H39">
        <f t="shared" si="13"/>
        <v>35088</v>
      </c>
      <c r="I39">
        <f t="shared" si="15"/>
        <v>0</v>
      </c>
      <c r="J39">
        <f t="shared" si="14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57" t="s">
        <v>259</v>
      </c>
      <c r="B40" s="56">
        <f>E$8*B$6*E40</f>
        <v>1.1610000000000001E-2</v>
      </c>
      <c r="C40" s="86">
        <f t="shared" si="2"/>
        <v>0</v>
      </c>
      <c r="D40" s="75">
        <f t="shared" si="12"/>
        <v>1.1610000000000001E-2</v>
      </c>
      <c r="E40">
        <f>COUNTIF(tables_425101!C:C,input_425101!A40)-COUNTIF(Q:Q,A40)</f>
        <v>1</v>
      </c>
      <c r="F40" s="43">
        <f t="shared" si="16"/>
        <v>1.1610000000000001E-2</v>
      </c>
      <c r="G40">
        <f t="shared" si="4"/>
        <v>31579.200000000001</v>
      </c>
      <c r="H40">
        <f t="shared" si="13"/>
        <v>31579.200000000001</v>
      </c>
      <c r="I40">
        <f t="shared" si="15"/>
        <v>0.2000000000007276</v>
      </c>
      <c r="J40">
        <f t="shared" si="14"/>
        <v>4.9999999999818101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57" t="s">
        <v>260</v>
      </c>
      <c r="B41" s="56">
        <f>E$8*B$7*E41</f>
        <v>1.2900000000000001E-3</v>
      </c>
      <c r="C41" s="86">
        <f t="shared" si="2"/>
        <v>0</v>
      </c>
      <c r="D41" s="75">
        <f t="shared" si="12"/>
        <v>1.2900000000000001E-3</v>
      </c>
      <c r="E41">
        <f>COUNTIF(tables_425101!C:C,input_425101!A41)-COUNTIF(Q:Q,A41)</f>
        <v>1</v>
      </c>
      <c r="F41" s="43">
        <f t="shared" si="16"/>
        <v>1.2900000000000001E-3</v>
      </c>
      <c r="G41">
        <f t="shared" si="4"/>
        <v>3508.8</v>
      </c>
      <c r="H41">
        <f t="shared" si="13"/>
        <v>3508.8</v>
      </c>
      <c r="I41">
        <f t="shared" si="15"/>
        <v>0.8000000000001819</v>
      </c>
      <c r="J41">
        <f t="shared" si="14"/>
        <v>1.2499999999997158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57" t="s">
        <v>261</v>
      </c>
      <c r="B42" s="56">
        <f>E$6*E42*(B$5+B$6)+C52</f>
        <v>1.7885362470588181E-2</v>
      </c>
      <c r="C42" s="86">
        <f t="shared" si="2"/>
        <v>0</v>
      </c>
      <c r="D42" s="75">
        <f t="shared" si="12"/>
        <v>1.7885362470588181E-2</v>
      </c>
      <c r="E42">
        <f>COUNTIF(tables_425101!C:C,input_425101!A42)-COUNTIF(Q:Q,A42)</f>
        <v>7</v>
      </c>
      <c r="F42" s="43">
        <f>IFERROR(B42/E42,0)</f>
        <v>2.5550517815125973E-3</v>
      </c>
      <c r="G42">
        <f t="shared" si="4"/>
        <v>48648.185919999851</v>
      </c>
      <c r="H42">
        <f t="shared" si="13"/>
        <v>6949.7408500000001</v>
      </c>
      <c r="I42">
        <f t="shared" si="15"/>
        <v>0.74085000000013679</v>
      </c>
      <c r="J42">
        <f t="shared" si="14"/>
        <v>1.3498009043663568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57" t="s">
        <v>262</v>
      </c>
      <c r="B43" s="56">
        <f>E$6*E43*B$7</f>
        <v>7.5000000000000012E-4</v>
      </c>
      <c r="C43" s="86">
        <f t="shared" si="2"/>
        <v>0</v>
      </c>
      <c r="D43" s="75">
        <f t="shared" si="12"/>
        <v>7.5000000000000012E-4</v>
      </c>
      <c r="E43">
        <f>COUNTIF(tables_425101!C:C,input_425101!A43)-COUNTIF(Q:Q,A43)</f>
        <v>7</v>
      </c>
      <c r="F43" s="43">
        <f t="shared" ref="F43:F46" si="17">IFERROR(B43/E43,0)</f>
        <v>1.0714285714285716E-4</v>
      </c>
      <c r="G43">
        <f t="shared" si="4"/>
        <v>2040.0000000000002</v>
      </c>
      <c r="H43">
        <f t="shared" si="13"/>
        <v>291.42856999999998</v>
      </c>
      <c r="I43">
        <f t="shared" si="15"/>
        <v>0.42856999999997925</v>
      </c>
      <c r="J43">
        <f t="shared" si="14"/>
        <v>2.33334111113715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57" t="s">
        <v>263</v>
      </c>
      <c r="B44" s="56">
        <f>E$6*E44+E51+D51</f>
        <v>9.7646375294118716E-3</v>
      </c>
      <c r="C44" s="86">
        <f t="shared" si="2"/>
        <v>0</v>
      </c>
      <c r="D44" s="75">
        <f t="shared" si="12"/>
        <v>9.7646375294118716E-3</v>
      </c>
      <c r="E44">
        <f>COUNTIF(tables_425101!C:C,input_425101!A44)-COUNTIF(Q:Q,A44)</f>
        <v>7</v>
      </c>
      <c r="F44" s="43">
        <f t="shared" si="17"/>
        <v>1.3949482184874103E-3</v>
      </c>
      <c r="G44">
        <f t="shared" si="4"/>
        <v>26559.814080000291</v>
      </c>
      <c r="H44">
        <f t="shared" si="13"/>
        <v>3794.2591499999999</v>
      </c>
      <c r="I44">
        <f t="shared" si="15"/>
        <v>0.25914999999986321</v>
      </c>
      <c r="J44">
        <f t="shared" si="14"/>
        <v>3.8587690526742344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57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COUNTIF(tables_425101!C:C,input_425101!A45)-COUNTIF(Q:Q,A45)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18"/>
        <v>4.0000000000000001E-3</v>
      </c>
      <c r="E46">
        <f>COUNTIF(tables_425101!C:C,input_425101!A46)-COUNTIF(Q:Q,A46)</f>
        <v>1</v>
      </c>
      <c r="F46" s="43">
        <f t="shared" si="17"/>
        <v>4.0000000000000001E-3</v>
      </c>
      <c r="G46">
        <f t="shared" si="4"/>
        <v>10880</v>
      </c>
      <c r="H46">
        <f t="shared" si="19"/>
        <v>10880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48" spans="1:18" x14ac:dyDescent="0.15">
      <c r="E48" s="99">
        <v>3.3088309869810928E-11</v>
      </c>
    </row>
    <row r="49" spans="1:8" x14ac:dyDescent="0.15">
      <c r="B49" t="s">
        <v>291</v>
      </c>
      <c r="C49" s="94">
        <f>B27+B42</f>
        <v>3.1495724941176362E-2</v>
      </c>
      <c r="E49" s="99">
        <f>0.0145414498823527</f>
        <v>1.4541449882352699E-2</v>
      </c>
      <c r="F49">
        <v>1.9100207593283833E-3</v>
      </c>
      <c r="G49" s="92"/>
    </row>
    <row r="50" spans="1:8" x14ac:dyDescent="0.15">
      <c r="A50" t="s">
        <v>74</v>
      </c>
      <c r="B50" t="s">
        <v>292</v>
      </c>
      <c r="C50" s="94">
        <f>B28+B29+B43+B44</f>
        <v>1.8504275058823655E-2</v>
      </c>
      <c r="D50" s="98">
        <f>SUM(B32:B46)</f>
        <v>0.60000000000000009</v>
      </c>
      <c r="E50">
        <v>-1.3808068136193993E-2</v>
      </c>
      <c r="G50" s="55"/>
      <c r="H50" s="93"/>
    </row>
    <row r="51" spans="1:8" x14ac:dyDescent="0.15">
      <c r="A51" s="31">
        <f>LCM(F5-I5,F7-I6)*1000*2*2</f>
        <v>2720000</v>
      </c>
      <c r="C51" s="94">
        <v>7.2707249411763618E-3</v>
      </c>
      <c r="D51" s="96">
        <v>2.0353624705882201E-3</v>
      </c>
      <c r="E51">
        <f>E49/2*-1</f>
        <v>-7.2707249411763496E-3</v>
      </c>
      <c r="H51" s="93"/>
    </row>
    <row r="52" spans="1:8" x14ac:dyDescent="0.15">
      <c r="C52">
        <f>C51/2</f>
        <v>3.6353624705881809E-3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8" x14ac:dyDescent="0.15">
      <c r="A55" s="33" t="s">
        <v>106</v>
      </c>
      <c r="B55">
        <f ca="1">SUMIF(tables_425101!C:C,input_425101!A55,tables_425101!O:O)</f>
        <v>295151.99995999999</v>
      </c>
      <c r="C55" s="54">
        <f t="shared" ref="C55:C61" ca="1" si="22">B55/B$62</f>
        <v>0.50093733762346215</v>
      </c>
      <c r="E55">
        <v>3</v>
      </c>
      <c r="F55">
        <f ca="1">SUMIF(tables_425101!J:J,input_425101!E55,tables_425101!O:O)</f>
        <v>1360000</v>
      </c>
      <c r="G55" s="97">
        <f ca="1">F55/A51</f>
        <v>0.5</v>
      </c>
    </row>
    <row r="56" spans="1:8" x14ac:dyDescent="0.15">
      <c r="A56" s="33" t="s">
        <v>107</v>
      </c>
      <c r="B56">
        <f ca="1">SUMIF(tables_425101!C:C,input_425101!A56,tables_425101!O:O)</f>
        <v>245860.42796999987</v>
      </c>
      <c r="C56" s="54">
        <f t="shared" ca="1" si="22"/>
        <v>0.41727878595079104</v>
      </c>
      <c r="E56">
        <v>4</v>
      </c>
      <c r="F56">
        <f ca="1">SUMIF(tables_425101!J:J,input_425101!E56,tables_425101!O:O)</f>
        <v>1224000</v>
      </c>
      <c r="G56" s="97">
        <f ca="1">F56/A51</f>
        <v>0.45</v>
      </c>
    </row>
    <row r="57" spans="1:8" x14ac:dyDescent="0.15">
      <c r="A57" s="33" t="s">
        <v>112</v>
      </c>
      <c r="B57">
        <f ca="1">SUMIF(tables_425101!C:C,input_425101!A57,tables_425101!O:O)</f>
        <v>37020.186000000016</v>
      </c>
      <c r="C57" s="54">
        <f t="shared" ca="1" si="22"/>
        <v>6.2831332383580754E-2</v>
      </c>
      <c r="E57">
        <v>5</v>
      </c>
      <c r="F57">
        <f ca="1">SUMIF(tables_425101!J:J,input_425101!E57,tables_425101!O:O)</f>
        <v>136000.00000000006</v>
      </c>
      <c r="G57" s="97">
        <f ca="1">F57/A51</f>
        <v>5.0000000000000024E-2</v>
      </c>
    </row>
    <row r="58" spans="1:8" x14ac:dyDescent="0.15">
      <c r="A58" s="33" t="s">
        <v>113</v>
      </c>
      <c r="B58">
        <f>SUMIF(tables_425101!C:C,input_425101!A58,tables_425101!O:O)</f>
        <v>0</v>
      </c>
      <c r="C58" s="54">
        <f t="shared" ca="1" si="22"/>
        <v>0</v>
      </c>
      <c r="F58" s="55"/>
    </row>
    <row r="59" spans="1:8" x14ac:dyDescent="0.15">
      <c r="A59" s="33" t="s">
        <v>108</v>
      </c>
      <c r="B59">
        <f ca="1">SUMIF(tables_425101!C:C,input_425101!A59,tables_425101!O:O)</f>
        <v>9738.8283800000008</v>
      </c>
      <c r="C59" s="54">
        <f t="shared" ca="1" si="22"/>
        <v>1.6528916493569999E-2</v>
      </c>
      <c r="E59" t="s">
        <v>104</v>
      </c>
      <c r="F59" s="55"/>
    </row>
    <row r="60" spans="1:8" x14ac:dyDescent="0.15">
      <c r="A60" s="33" t="s">
        <v>114</v>
      </c>
      <c r="B60">
        <f ca="1">SUMIF(tables_425101!C:C,input_425101!A60,tables_425101!O:O)</f>
        <v>1428</v>
      </c>
      <c r="C60" s="54">
        <f t="shared" ca="1" si="22"/>
        <v>2.423627548596144E-3</v>
      </c>
      <c r="E60" t="s">
        <v>210</v>
      </c>
      <c r="F60" s="55">
        <f ca="1">SUMIF(tables_425101!I:I,input_425101!E60,tables_425101!P:P)</f>
        <v>0.22701203812132428</v>
      </c>
    </row>
    <row r="61" spans="1:8" x14ac:dyDescent="0.15">
      <c r="A61" s="33" t="s">
        <v>115</v>
      </c>
      <c r="B61">
        <f>SUMIF(tables_425101!C:C,input_425101!A61,tables_425101!O:O)</f>
        <v>0</v>
      </c>
      <c r="C61" s="54">
        <f t="shared" ca="1" si="22"/>
        <v>0</v>
      </c>
      <c r="E61" t="s">
        <v>211</v>
      </c>
      <c r="F61" s="55">
        <f ca="1">SUMIF(tables_425101!I:I,input_425101!E61,tables_425101!P:P)</f>
        <v>0.20799629601103012</v>
      </c>
    </row>
    <row r="62" spans="1:8" x14ac:dyDescent="0.15">
      <c r="A62" s="39" t="s">
        <v>60</v>
      </c>
      <c r="B62">
        <f ca="1">SUM(B55:B61)</f>
        <v>589199.44230999984</v>
      </c>
      <c r="C62" s="55">
        <f ca="1">SUM(C55:C61)</f>
        <v>1</v>
      </c>
      <c r="E62" t="s">
        <v>212</v>
      </c>
      <c r="F62" s="55">
        <f ca="1">SUMIF(tables_425101!I:I,input_425101!E62,tables_425101!P:P)</f>
        <v>0.51099166586764866</v>
      </c>
    </row>
    <row r="63" spans="1:8" x14ac:dyDescent="0.15">
      <c r="E63" t="s">
        <v>213</v>
      </c>
      <c r="F63" s="101">
        <f ca="1">SUMIF(tables_425101!I:I,input_425101!E63,tables_425101!P:P)</f>
        <v>4.882137302573545E-2</v>
      </c>
    </row>
    <row r="64" spans="1:8" x14ac:dyDescent="0.15">
      <c r="E64" t="s">
        <v>289</v>
      </c>
      <c r="F64" s="101">
        <f ca="1">SUMIF(tables_425101!I:I,input_425101!E64,tables_425101!P:P)</f>
        <v>1.1786269742647096E-3</v>
      </c>
    </row>
    <row r="65" spans="5:6" x14ac:dyDescent="0.15">
      <c r="E65" t="s">
        <v>288</v>
      </c>
      <c r="F65" s="101">
        <f ca="1">SUMIF(tables_425101!I:I,input_425101!E65,tables_425101!P:P)</f>
        <v>4.0000000000000131E-3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" activePane="bottomLeft" state="frozen"/>
      <selection activeCell="H10" sqref="H10"/>
      <selection pane="bottomLeft" activeCell="B319" sqref="B2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input_425101!A$2</f>
        <v>425101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" si="1">IF(K2="yellow","color","")</f>
        <v/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IFERROR(VLOOKUP(B2,input_425101!L:R,7,FALSE),VLOOKUP(tables_425101!C2,input_425101!A:H,8,FALSE))</f>
        <v>2696.5829100000001</v>
      </c>
      <c r="P2" s="46">
        <f t="shared" ref="P2:P65" ca="1" si="2">O2/SUM(O:O)</f>
        <v>9.9139077573529738E-4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input_425101!A$2</f>
        <v>425101</v>
      </c>
      <c r="B3" s="6">
        <v>128</v>
      </c>
      <c r="C3" s="7" t="str">
        <f t="shared" si="0"/>
        <v>PremiumW3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IFERROR(VLOOKUP(B3,input_425101!L:R,7,FALSE),VLOOKUP(tables_425101!C3,input_425101!A:H,8,FALSE))</f>
        <v>16153.14286</v>
      </c>
      <c r="P3" s="46">
        <f t="shared" ca="1" si="2"/>
        <v>5.9386554632353131E-3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input_425101!A$2</f>
        <v>425101</v>
      </c>
      <c r="B4" s="6">
        <v>129</v>
      </c>
      <c r="C4" s="7" t="str">
        <f t="shared" si="0"/>
        <v>PremiumW4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IFERROR(VLOOKUP(B4,input_425101!L:R,7,FALSE),VLOOKUP(tables_425101!C4,input_425101!A:H,8,FALSE))</f>
        <v>2696.5829100000001</v>
      </c>
      <c r="P4" s="46">
        <f t="shared" ca="1" si="2"/>
        <v>9.9139077573529738E-4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input_425101!A$2</f>
        <v>425101</v>
      </c>
      <c r="B5" s="6">
        <v>130</v>
      </c>
      <c r="C5" s="7" t="str">
        <f t="shared" si="0"/>
        <v>PremiumW3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IFERROR(VLOOKUP(B5,input_425101!L:R,7,FALSE),VLOOKUP(tables_425101!C5,input_425101!A:H,8,FALSE))</f>
        <v>16153.14286</v>
      </c>
      <c r="P5" s="46">
        <f t="shared" ca="1" si="2"/>
        <v>5.9386554632353131E-3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input_425101!A$2</f>
        <v>425101</v>
      </c>
      <c r="B6" s="6">
        <v>131</v>
      </c>
      <c r="C6" s="7" t="str">
        <f t="shared" si="0"/>
        <v>PremiumW4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IFERROR(VLOOKUP(B6,input_425101!L:R,7,FALSE),VLOOKUP(tables_425101!C6,input_425101!A:H,8,FALSE))</f>
        <v>2696.5829100000001</v>
      </c>
      <c r="P6" s="46">
        <f t="shared" ca="1" si="2"/>
        <v>9.9139077573529738E-4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input_425101!A$2</f>
        <v>425101</v>
      </c>
      <c r="B7" s="6">
        <v>132</v>
      </c>
      <c r="C7" s="7" t="str">
        <f t="shared" si="0"/>
        <v>PremiumW3color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>IF(K7="yellow","color","")</f>
        <v>color</v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IFERROR(VLOOKUP(B7,input_425101!L:R,7,FALSE),VLOOKUP(tables_425101!C7,input_425101!A:H,8,FALSE))</f>
        <v>64953.599999999999</v>
      </c>
      <c r="P7" s="46">
        <f t="shared" ca="1" si="2"/>
        <v>2.3880000000000078E-2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input_425101!A$2</f>
        <v>425101</v>
      </c>
      <c r="B8" s="6">
        <v>133</v>
      </c>
      <c r="C8" s="7" t="str">
        <f t="shared" si="0"/>
        <v>PremiumW4color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ref="G8:G71" si="4">IF(K8="yellow","color","")</f>
        <v>color</v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IFERROR(VLOOKUP(B8,input_425101!L:R,7,FALSE),VLOOKUP(tables_425101!C8,input_425101!A:H,8,FALSE))</f>
        <v>5222.3999999999996</v>
      </c>
      <c r="P8" s="46">
        <f t="shared" ca="1" si="2"/>
        <v>1.9200000000000061E-3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input_425101!A$2</f>
        <v>425101</v>
      </c>
      <c r="B9" s="6">
        <v>134</v>
      </c>
      <c r="C9" s="7" t="str">
        <f t="shared" si="0"/>
        <v>PremiumW3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4"/>
        <v/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IFERROR(VLOOKUP(B9,input_425101!L:R,7,FALSE),VLOOKUP(tables_425101!C9,input_425101!A:H,8,FALSE))</f>
        <v>16153.14286</v>
      </c>
      <c r="P9" s="46">
        <f t="shared" ca="1" si="2"/>
        <v>5.9386554632353131E-3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input_425101!A$2</f>
        <v>425101</v>
      </c>
      <c r="B10" s="6">
        <v>135</v>
      </c>
      <c r="C10" s="7" t="str">
        <f t="shared" si="0"/>
        <v>PremiumW4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4"/>
        <v/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IFERROR(VLOOKUP(B10,input_425101!L:R,7,FALSE),VLOOKUP(tables_425101!C10,input_425101!A:H,8,FALSE))</f>
        <v>2696.5829100000001</v>
      </c>
      <c r="P10" s="46">
        <f t="shared" ca="1" si="2"/>
        <v>9.9139077573529738E-4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input_425101!A$2</f>
        <v>425101</v>
      </c>
      <c r="B11" s="8">
        <v>136</v>
      </c>
      <c r="C11" s="7" t="str">
        <f t="shared" si="0"/>
        <v>PremiumW3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4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IFERROR(VLOOKUP(B11,input_425101!L:R,7,FALSE),VLOOKUP(tables_425101!C11,input_425101!A:H,8,FALSE))</f>
        <v>16153.14286</v>
      </c>
      <c r="P11" s="46">
        <f t="shared" ca="1" si="2"/>
        <v>5.9386554632353131E-3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input_425101!A$2</f>
        <v>425101</v>
      </c>
      <c r="B12" s="8">
        <v>137</v>
      </c>
      <c r="C12" s="7" t="str">
        <f t="shared" si="0"/>
        <v>PremiumW4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4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IFERROR(VLOOKUP(B12,input_425101!L:R,7,FALSE),VLOOKUP(tables_425101!C12,input_425101!A:H,8,FALSE))</f>
        <v>2696.5829100000001</v>
      </c>
      <c r="P12" s="46">
        <f t="shared" ca="1" si="2"/>
        <v>9.9139077573529738E-4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input_425101!A$2</f>
        <v>425101</v>
      </c>
      <c r="B13" s="6">
        <v>138</v>
      </c>
      <c r="C13" s="7" t="str">
        <f t="shared" si="0"/>
        <v>PremiumW3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4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IFERROR(VLOOKUP(B13,input_425101!L:R,7,FALSE),VLOOKUP(tables_425101!C13,input_425101!A:H,8,FALSE))</f>
        <v>16153.14286</v>
      </c>
      <c r="P13" s="46">
        <f t="shared" ca="1" si="2"/>
        <v>5.9386554632353131E-3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input_425101!A$2</f>
        <v>425101</v>
      </c>
      <c r="B14" s="6">
        <v>139</v>
      </c>
      <c r="C14" s="7" t="str">
        <f t="shared" si="0"/>
        <v>PremiumW4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4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IFERROR(VLOOKUP(B14,input_425101!L:R,7,FALSE),VLOOKUP(tables_425101!C14,input_425101!A:H,8,FALSE))</f>
        <v>2696.5829100000001</v>
      </c>
      <c r="P14" s="46">
        <f t="shared" ca="1" si="2"/>
        <v>9.9139077573529738E-4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input_425101!A$2</f>
        <v>425101</v>
      </c>
      <c r="B15" s="10">
        <v>140</v>
      </c>
      <c r="C15" s="7" t="str">
        <f t="shared" si="0"/>
        <v>PremiumW3color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4"/>
        <v>color</v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IFERROR(VLOOKUP(B15,input_425101!L:R,7,FALSE),VLOOKUP(tables_425101!C15,input_425101!A:H,8,FALSE))</f>
        <v>64953.599999999999</v>
      </c>
      <c r="P15" s="46">
        <f t="shared" ca="1" si="2"/>
        <v>2.3880000000000078E-2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input_425101!A$2</f>
        <v>425101</v>
      </c>
      <c r="B16" s="11">
        <v>141</v>
      </c>
      <c r="C16" s="7" t="str">
        <f t="shared" si="0"/>
        <v>PremiumW4color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4"/>
        <v>color</v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IFERROR(VLOOKUP(B16,input_425101!L:R,7,FALSE),VLOOKUP(tables_425101!C16,input_425101!A:H,8,FALSE))</f>
        <v>5222.3999999999996</v>
      </c>
      <c r="P16" s="46">
        <f t="shared" ca="1" si="2"/>
        <v>1.9200000000000061E-3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input_425101!A$2</f>
        <v>425101</v>
      </c>
      <c r="B17" s="6">
        <v>142</v>
      </c>
      <c r="C17" s="7" t="str">
        <f t="shared" si="0"/>
        <v>PremiumW3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4"/>
        <v/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IFERROR(VLOOKUP(B17,input_425101!L:R,7,FALSE),VLOOKUP(tables_425101!C17,input_425101!A:H,8,FALSE))</f>
        <v>16153.14286</v>
      </c>
      <c r="P17" s="46">
        <f t="shared" ca="1" si="2"/>
        <v>5.9386554632353131E-3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input_425101!A$2</f>
        <v>425101</v>
      </c>
      <c r="B18" s="6">
        <v>143</v>
      </c>
      <c r="C18" s="7" t="str">
        <f t="shared" si="0"/>
        <v>PremiumW4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4"/>
        <v/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IFERROR(VLOOKUP(B18,input_425101!L:R,7,FALSE),VLOOKUP(tables_425101!C18,input_425101!A:H,8,FALSE))</f>
        <v>2696.5829100000001</v>
      </c>
      <c r="P18" s="46">
        <f t="shared" ca="1" si="2"/>
        <v>9.9139077573529738E-4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input_425101!A$2</f>
        <v>425101</v>
      </c>
      <c r="B19" s="10">
        <v>144</v>
      </c>
      <c r="C19" s="7" t="str">
        <f t="shared" si="0"/>
        <v>PremiumW3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4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IFERROR(VLOOKUP(B19,input_425101!L:R,7,FALSE),VLOOKUP(tables_425101!C19,input_425101!A:H,8,FALSE))</f>
        <v>16153.14286</v>
      </c>
      <c r="P19" s="46">
        <f t="shared" ca="1" si="2"/>
        <v>5.9386554632353131E-3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input_425101!A$2</f>
        <v>425101</v>
      </c>
      <c r="B20" s="6">
        <v>145</v>
      </c>
      <c r="C20" s="7" t="str">
        <f t="shared" si="0"/>
        <v>PremiumW4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4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IFERROR(VLOOKUP(B20,input_425101!L:R,7,FALSE),VLOOKUP(tables_425101!C20,input_425101!A:H,8,FALSE))</f>
        <v>2696.5829100000001</v>
      </c>
      <c r="P20" s="46">
        <f t="shared" ca="1" si="2"/>
        <v>9.9139077573529738E-4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input_425101!A$2</f>
        <v>425101</v>
      </c>
      <c r="B21" s="6">
        <v>146</v>
      </c>
      <c r="C21" s="7" t="str">
        <f t="shared" si="0"/>
        <v>PremiumW3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4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IFERROR(VLOOKUP(B21,input_425101!L:R,7,FALSE),VLOOKUP(tables_425101!C21,input_425101!A:H,8,FALSE))</f>
        <v>16153.14286</v>
      </c>
      <c r="P21" s="46">
        <f t="shared" ca="1" si="2"/>
        <v>5.9386554632353131E-3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input_425101!A$2</f>
        <v>425101</v>
      </c>
      <c r="B22" s="6">
        <v>147</v>
      </c>
      <c r="C22" s="7" t="str">
        <f t="shared" si="0"/>
        <v>PremiumW4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4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IFERROR(VLOOKUP(B22,input_425101!L:R,7,FALSE),VLOOKUP(tables_425101!C22,input_425101!A:H,8,FALSE))</f>
        <v>2696.5829100000001</v>
      </c>
      <c r="P22" s="46">
        <f t="shared" ca="1" si="2"/>
        <v>9.9139077573529738E-4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input_425101!A$2</f>
        <v>425101</v>
      </c>
      <c r="B23" s="6">
        <v>148</v>
      </c>
      <c r="C23" s="7" t="str">
        <f t="shared" si="0"/>
        <v>PremiumW3color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4"/>
        <v>color</v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IFERROR(VLOOKUP(B23,input_425101!L:R,7,FALSE),VLOOKUP(tables_425101!C23,input_425101!A:H,8,FALSE))</f>
        <v>64953.599999999999</v>
      </c>
      <c r="P23" s="46">
        <f t="shared" ca="1" si="2"/>
        <v>2.3880000000000078E-2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input_425101!A$2</f>
        <v>425101</v>
      </c>
      <c r="B24" s="6">
        <v>149</v>
      </c>
      <c r="C24" s="7" t="str">
        <f t="shared" si="0"/>
        <v>PremiumW4color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4"/>
        <v>color</v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IFERROR(VLOOKUP(B24,input_425101!L:R,7,FALSE),VLOOKUP(tables_425101!C24,input_425101!A:H,8,FALSE))</f>
        <v>5222.3999999999996</v>
      </c>
      <c r="P24" s="46">
        <f t="shared" ca="1" si="2"/>
        <v>1.9200000000000061E-3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input_425101!A$2</f>
        <v>425101</v>
      </c>
      <c r="B25" s="6">
        <v>150</v>
      </c>
      <c r="C25" s="7" t="str">
        <f t="shared" si="0"/>
        <v>PremiumW3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4"/>
        <v/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IFERROR(VLOOKUP(B25,input_425101!L:R,7,FALSE),VLOOKUP(tables_425101!C25,input_425101!A:H,8,FALSE))</f>
        <v>16153.14286</v>
      </c>
      <c r="P25" s="46">
        <f t="shared" ca="1" si="2"/>
        <v>5.9386554632353131E-3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input_425101!A$2</f>
        <v>425101</v>
      </c>
      <c r="B26" s="6">
        <v>151</v>
      </c>
      <c r="C26" s="7" t="str">
        <f t="shared" si="0"/>
        <v>PremiumW4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4"/>
        <v/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IFERROR(VLOOKUP(B26,input_425101!L:R,7,FALSE),VLOOKUP(tables_425101!C26,input_425101!A:H,8,FALSE))</f>
        <v>2696.5829100000001</v>
      </c>
      <c r="P26" s="46">
        <f t="shared" ca="1" si="2"/>
        <v>9.9139077573529738E-4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input_425101!A$2</f>
        <v>425101</v>
      </c>
      <c r="B27" s="6">
        <v>152</v>
      </c>
      <c r="C27" s="7" t="str">
        <f t="shared" si="0"/>
        <v>PremiumW3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4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IFERROR(VLOOKUP(B27,input_425101!L:R,7,FALSE),VLOOKUP(tables_425101!C27,input_425101!A:H,8,FALSE))</f>
        <v>16153.14286</v>
      </c>
      <c r="P27" s="46">
        <f t="shared" ca="1" si="2"/>
        <v>5.9386554632353131E-3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input_425101!A$2</f>
        <v>425101</v>
      </c>
      <c r="B28" s="6">
        <v>153</v>
      </c>
      <c r="C28" s="7" t="str">
        <f t="shared" si="0"/>
        <v>PremiumW4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4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IFERROR(VLOOKUP(B28,input_425101!L:R,7,FALSE),VLOOKUP(tables_425101!C28,input_425101!A:H,8,FALSE))</f>
        <v>2696.5829100000001</v>
      </c>
      <c r="P28" s="46">
        <f t="shared" ca="1" si="2"/>
        <v>9.9139077573529738E-4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input_425101!A$2</f>
        <v>425101</v>
      </c>
      <c r="B29" s="6">
        <v>154</v>
      </c>
      <c r="C29" s="7" t="str">
        <f t="shared" si="0"/>
        <v>PremiumW3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4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IFERROR(VLOOKUP(B29,input_425101!L:R,7,FALSE),VLOOKUP(tables_425101!C29,input_425101!A:H,8,FALSE))</f>
        <v>16153.14286</v>
      </c>
      <c r="P29" s="46">
        <f t="shared" ca="1" si="2"/>
        <v>5.9386554632353131E-3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input_425101!A$2</f>
        <v>425101</v>
      </c>
      <c r="B30" s="6">
        <v>155</v>
      </c>
      <c r="C30" s="7" t="str">
        <f t="shared" si="0"/>
        <v>PremiumW4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4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IFERROR(VLOOKUP(B30,input_425101!L:R,7,FALSE),VLOOKUP(tables_425101!C30,input_425101!A:H,8,FALSE))</f>
        <v>2696.5829100000001</v>
      </c>
      <c r="P30" s="46">
        <f t="shared" ca="1" si="2"/>
        <v>9.9139077573529738E-4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input_425101!A$2</f>
        <v>425101</v>
      </c>
      <c r="B31" s="6">
        <v>156</v>
      </c>
      <c r="C31" s="7" t="str">
        <f t="shared" si="0"/>
        <v>PremiumW3color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4"/>
        <v>color</v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IFERROR(VLOOKUP(B31,input_425101!L:R,7,FALSE),VLOOKUP(tables_425101!C31,input_425101!A:H,8,FALSE))</f>
        <v>64953.599999999999</v>
      </c>
      <c r="P31" s="46">
        <f t="shared" ca="1" si="2"/>
        <v>2.3880000000000078E-2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input_425101!A$2</f>
        <v>425101</v>
      </c>
      <c r="B32" s="6">
        <v>157</v>
      </c>
      <c r="C32" s="7" t="str">
        <f t="shared" si="0"/>
        <v>PremiumW4color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4"/>
        <v>color</v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IFERROR(VLOOKUP(B32,input_425101!L:R,7,FALSE),VLOOKUP(tables_425101!C32,input_425101!A:H,8,FALSE))</f>
        <v>5222.3999999999996</v>
      </c>
      <c r="P32" s="46">
        <f t="shared" ca="1" si="2"/>
        <v>1.9200000000000061E-3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input_425101!A$2</f>
        <v>425101</v>
      </c>
      <c r="B33" s="6">
        <v>158</v>
      </c>
      <c r="C33" s="7" t="str">
        <f t="shared" si="0"/>
        <v>PremiumW3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4"/>
        <v/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IFERROR(VLOOKUP(B33,input_425101!L:R,7,FALSE),VLOOKUP(tables_425101!C33,input_425101!A:H,8,FALSE))</f>
        <v>16153.14286</v>
      </c>
      <c r="P33" s="46">
        <f t="shared" ca="1" si="2"/>
        <v>5.9386554632353131E-3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input_425101!A$2</f>
        <v>425101</v>
      </c>
      <c r="B34" s="6">
        <v>159</v>
      </c>
      <c r="C34" s="7" t="str">
        <f t="shared" si="0"/>
        <v>PremiumW4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4"/>
        <v/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IFERROR(VLOOKUP(B34,input_425101!L:R,7,FALSE),VLOOKUP(tables_425101!C34,input_425101!A:H,8,FALSE))</f>
        <v>2696.5829100000001</v>
      </c>
      <c r="P34" s="46">
        <f t="shared" ca="1" si="2"/>
        <v>9.9139077573529738E-4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input_425101!A$2</f>
        <v>425101</v>
      </c>
      <c r="B35" s="6">
        <v>160</v>
      </c>
      <c r="C35" s="7" t="str">
        <f t="shared" si="0"/>
        <v>PremiumW3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4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IFERROR(VLOOKUP(B35,input_425101!L:R,7,FALSE),VLOOKUP(tables_425101!C35,input_425101!A:H,8,FALSE))</f>
        <v>16153.14286</v>
      </c>
      <c r="P35" s="46">
        <f t="shared" ca="1" si="2"/>
        <v>5.9386554632353131E-3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input_425101!A$2</f>
        <v>425101</v>
      </c>
      <c r="B36" s="6">
        <v>161</v>
      </c>
      <c r="C36" s="7" t="str">
        <f t="shared" si="0"/>
        <v>PremiumW4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4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IFERROR(VLOOKUP(B36,input_425101!L:R,7,FALSE),VLOOKUP(tables_425101!C36,input_425101!A:H,8,FALSE))</f>
        <v>2696.5829100000001</v>
      </c>
      <c r="P36" s="46">
        <f t="shared" ca="1" si="2"/>
        <v>9.9139077573529738E-4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input_425101!A$2</f>
        <v>425101</v>
      </c>
      <c r="B37" s="6">
        <v>162</v>
      </c>
      <c r="C37" s="7" t="str">
        <f t="shared" si="0"/>
        <v>PremiumW3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4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IFERROR(VLOOKUP(B37,input_425101!L:R,7,FALSE),VLOOKUP(tables_425101!C37,input_425101!A:H,8,FALSE))</f>
        <v>16153.14286</v>
      </c>
      <c r="P37" s="46">
        <f t="shared" ca="1" si="2"/>
        <v>5.9386554632353131E-3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input_425101!A$2</f>
        <v>425101</v>
      </c>
      <c r="B38" s="6">
        <v>163</v>
      </c>
      <c r="C38" s="7" t="str">
        <f t="shared" si="0"/>
        <v>PremiumW4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4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IFERROR(VLOOKUP(B38,input_425101!L:R,7,FALSE),VLOOKUP(tables_425101!C38,input_425101!A:H,8,FALSE))</f>
        <v>2696.5829100000001</v>
      </c>
      <c r="P38" s="46">
        <f t="shared" ca="1" si="2"/>
        <v>9.9139077573529738E-4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input_425101!A$2</f>
        <v>425101</v>
      </c>
      <c r="B39" s="6">
        <v>164</v>
      </c>
      <c r="C39" s="7" t="str">
        <f t="shared" si="0"/>
        <v>PremiumW3color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4"/>
        <v>color</v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IFERROR(VLOOKUP(B39,input_425101!L:R,7,FALSE),VLOOKUP(tables_425101!C39,input_425101!A:H,8,FALSE))</f>
        <v>64953.599999999999</v>
      </c>
      <c r="P39" s="46">
        <f t="shared" ca="1" si="2"/>
        <v>2.3880000000000078E-2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input_425101!A$2</f>
        <v>425101</v>
      </c>
      <c r="B40" s="6">
        <v>165</v>
      </c>
      <c r="C40" s="7" t="str">
        <f t="shared" si="0"/>
        <v>PremiumW4color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4"/>
        <v>color</v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IFERROR(VLOOKUP(B40,input_425101!L:R,7,FALSE),VLOOKUP(tables_425101!C40,input_425101!A:H,8,FALSE))</f>
        <v>5222.3999999999996</v>
      </c>
      <c r="P40" s="46">
        <f t="shared" ca="1" si="2"/>
        <v>1.9200000000000061E-3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input_425101!A$2</f>
        <v>425101</v>
      </c>
      <c r="B41" s="6">
        <v>166</v>
      </c>
      <c r="C41" s="7" t="str">
        <f t="shared" si="0"/>
        <v>Premium3R6release</v>
      </c>
      <c r="D41" s="7" t="str">
        <f t="shared" si="3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4"/>
        <v/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IFERROR(VLOOKUP(B41,input_425101!L:R,7,FALSE),VLOOKUP(tables_425101!C41,input_425101!A:H,8,FALSE))</f>
        <v>7568</v>
      </c>
      <c r="P41" s="46">
        <f t="shared" ca="1" si="2"/>
        <v>2.7823529411764797E-3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input_425101!A$2</f>
        <v>425101</v>
      </c>
      <c r="B42" s="6">
        <v>167</v>
      </c>
      <c r="C42" s="7" t="str">
        <f t="shared" si="0"/>
        <v>Premium4R6release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4"/>
        <v/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IFERROR(VLOOKUP(B42,input_425101!L:R,7,FALSE),VLOOKUP(tables_425101!C42,input_425101!A:H,8,FALSE))</f>
        <v>6811.2</v>
      </c>
      <c r="P42" s="46">
        <f t="shared" ca="1" si="2"/>
        <v>2.5041176470588316E-3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input_425101!A$2</f>
        <v>425101</v>
      </c>
      <c r="B43" s="6">
        <v>168</v>
      </c>
      <c r="C43" s="7" t="str">
        <f t="shared" si="0"/>
        <v>Premium5R6release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4"/>
        <v/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IFERROR(VLOOKUP(B43,input_425101!L:R,7,FALSE),VLOOKUP(tables_425101!C43,input_425101!A:H,8,FALSE))</f>
        <v>756.8</v>
      </c>
      <c r="P43" s="46">
        <f t="shared" ca="1" si="2"/>
        <v>2.7823529411764793E-4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input_425101!A$2</f>
        <v>425101</v>
      </c>
      <c r="B44" s="6">
        <v>169</v>
      </c>
      <c r="C44" s="7" t="str">
        <f t="shared" si="0"/>
        <v>Premium3R6release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4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IFERROR(VLOOKUP(B44,input_425101!L:R,7,FALSE),VLOOKUP(tables_425101!C44,input_425101!A:H,8,FALSE))</f>
        <v>7568</v>
      </c>
      <c r="P44" s="46">
        <f t="shared" ca="1" si="2"/>
        <v>2.7823529411764797E-3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input_425101!A$2</f>
        <v>425101</v>
      </c>
      <c r="B45" s="6">
        <v>170</v>
      </c>
      <c r="C45" s="7" t="str">
        <f t="shared" si="0"/>
        <v>Premium4R6release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4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IFERROR(VLOOKUP(B45,input_425101!L:R,7,FALSE),VLOOKUP(tables_425101!C45,input_425101!A:H,8,FALSE))</f>
        <v>6811.2</v>
      </c>
      <c r="P45" s="46">
        <f t="shared" ca="1" si="2"/>
        <v>2.5041176470588316E-3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input_425101!A$2</f>
        <v>425101</v>
      </c>
      <c r="B46" s="6">
        <v>171</v>
      </c>
      <c r="C46" s="7" t="str">
        <f t="shared" si="0"/>
        <v>Premium5R6release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4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IFERROR(VLOOKUP(B46,input_425101!L:R,7,FALSE),VLOOKUP(tables_425101!C46,input_425101!A:H,8,FALSE))</f>
        <v>756.8</v>
      </c>
      <c r="P46" s="46">
        <f t="shared" ca="1" si="2"/>
        <v>2.7823529411764793E-4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input_425101!A$2</f>
        <v>425101</v>
      </c>
      <c r="B47" s="6">
        <v>172</v>
      </c>
      <c r="C47" s="7" t="str">
        <f t="shared" si="0"/>
        <v>Premium3R6release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4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IFERROR(VLOOKUP(B47,input_425101!L:R,7,FALSE),VLOOKUP(tables_425101!C47,input_425101!A:H,8,FALSE))</f>
        <v>7568</v>
      </c>
      <c r="P47" s="46">
        <f t="shared" ca="1" si="2"/>
        <v>2.7823529411764797E-3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input_425101!A$2</f>
        <v>425101</v>
      </c>
      <c r="B48" s="6">
        <v>173</v>
      </c>
      <c r="C48" s="7" t="str">
        <f t="shared" si="0"/>
        <v>Premium4R6release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4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IFERROR(VLOOKUP(B48,input_425101!L:R,7,FALSE),VLOOKUP(tables_425101!C48,input_425101!A:H,8,FALSE))</f>
        <v>6811.2</v>
      </c>
      <c r="P48" s="46">
        <f t="shared" ca="1" si="2"/>
        <v>2.5041176470588316E-3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input_425101!A$2</f>
        <v>425101</v>
      </c>
      <c r="B49" s="6">
        <v>174</v>
      </c>
      <c r="C49" s="7" t="str">
        <f t="shared" si="0"/>
        <v>Premium5R6release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4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IFERROR(VLOOKUP(B49,input_425101!L:R,7,FALSE),VLOOKUP(tables_425101!C49,input_425101!A:H,8,FALSE))</f>
        <v>756.8</v>
      </c>
      <c r="P49" s="46">
        <f t="shared" ca="1" si="2"/>
        <v>2.7823529411764793E-4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input_425101!A$2</f>
        <v>425101</v>
      </c>
      <c r="B50" s="6">
        <v>175</v>
      </c>
      <c r="C50" s="7" t="str">
        <f t="shared" si="0"/>
        <v>Premium3color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4"/>
        <v>color</v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IFERROR(VLOOKUP(B50,input_425101!L:R,7,FALSE),VLOOKUP(tables_425101!C50,input_425101!A:H,8,FALSE))</f>
        <v>35088</v>
      </c>
      <c r="P50" s="46">
        <f t="shared" ca="1" si="2"/>
        <v>1.2900000000000042E-2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input_425101!A$2</f>
        <v>425101</v>
      </c>
      <c r="B51" s="6">
        <v>176</v>
      </c>
      <c r="C51" s="7" t="str">
        <f t="shared" si="0"/>
        <v>Premium4color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4"/>
        <v>color</v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IFERROR(VLOOKUP(B51,input_425101!L:R,7,FALSE),VLOOKUP(tables_425101!C51,input_425101!A:H,8,FALSE))</f>
        <v>31978.83511</v>
      </c>
      <c r="P51" s="46">
        <f t="shared" ca="1" si="2"/>
        <v>1.1756924672794156E-2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input_425101!A$2</f>
        <v>425101</v>
      </c>
      <c r="B52" s="6">
        <v>177</v>
      </c>
      <c r="C52" s="7" t="str">
        <f t="shared" si="0"/>
        <v>Premium5color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4"/>
        <v>color</v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IFERROR(VLOOKUP(B52,input_425101!L:R,7,FALSE),VLOOKUP(tables_425101!C52,input_425101!A:H,8,FALSE))</f>
        <v>3109.16489</v>
      </c>
      <c r="P52" s="46">
        <f t="shared" ca="1" si="2"/>
        <v>1.143075327205886E-3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input_425101!A$2</f>
        <v>425101</v>
      </c>
      <c r="B53" s="6">
        <v>178</v>
      </c>
      <c r="C53" s="7" t="str">
        <f t="shared" si="0"/>
        <v>Premium3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4"/>
        <v/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100">
        <v>7567.9999600000001</v>
      </c>
      <c r="P53" s="46">
        <f t="shared" ca="1" si="2"/>
        <v>2.7823529264705974E-3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input_425101!A$2</f>
        <v>425101</v>
      </c>
      <c r="B54" s="6">
        <v>179</v>
      </c>
      <c r="C54" s="7" t="str">
        <f t="shared" si="0"/>
        <v>Premium4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4"/>
        <v/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100">
        <v>6304.1134499999998</v>
      </c>
      <c r="P54" s="46">
        <f t="shared" ca="1" si="2"/>
        <v>2.3176887683823604E-3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input_425101!A$2</f>
        <v>425101</v>
      </c>
      <c r="B55" s="6">
        <v>180</v>
      </c>
      <c r="C55" s="7" t="str">
        <f t="shared" si="0"/>
        <v>Premium5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4"/>
        <v/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100">
        <v>249.71386000000001</v>
      </c>
      <c r="P55" s="46">
        <f t="shared" ca="1" si="2"/>
        <v>9.1806566176470895E-5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input_425101!A$2</f>
        <v>425101</v>
      </c>
      <c r="B56" s="6">
        <v>181</v>
      </c>
      <c r="C56" s="7" t="str">
        <f t="shared" si="0"/>
        <v>Premium3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4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IFERROR(VLOOKUP(B56,input_425101!L:R,7,FALSE),VLOOKUP(tables_425101!C56,input_425101!A:H,8,FALSE))</f>
        <v>7568</v>
      </c>
      <c r="P56" s="46">
        <f t="shared" ca="1" si="2"/>
        <v>2.7823529411764797E-3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input_425101!A$2</f>
        <v>425101</v>
      </c>
      <c r="B57" s="6">
        <v>182</v>
      </c>
      <c r="C57" s="7" t="str">
        <f t="shared" si="0"/>
        <v>Premium4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4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IFERROR(VLOOKUP(B57,input_425101!L:R,7,FALSE),VLOOKUP(tables_425101!C57,input_425101!A:H,8,FALSE))</f>
        <v>6304.1135400000003</v>
      </c>
      <c r="P57" s="46">
        <f t="shared" ca="1" si="2"/>
        <v>2.3176888014705961E-3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input_425101!A$2</f>
        <v>425101</v>
      </c>
      <c r="B58" s="6">
        <v>183</v>
      </c>
      <c r="C58" s="7" t="str">
        <f t="shared" si="0"/>
        <v>Premium5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4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IFERROR(VLOOKUP(B58,input_425101!L:R,7,FALSE),VLOOKUP(tables_425101!C58,input_425101!A:H,8,FALSE))</f>
        <v>249.71353999999999</v>
      </c>
      <c r="P58" s="46">
        <f t="shared" ca="1" si="2"/>
        <v>9.1806448529412066E-5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input_425101!A$2</f>
        <v>425101</v>
      </c>
      <c r="B59" s="6">
        <v>184</v>
      </c>
      <c r="C59" s="7" t="str">
        <f t="shared" si="0"/>
        <v>Premium3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4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IFERROR(VLOOKUP(B59,input_425101!L:R,7,FALSE),VLOOKUP(tables_425101!C59,input_425101!A:H,8,FALSE))</f>
        <v>7568</v>
      </c>
      <c r="P59" s="46">
        <f t="shared" ca="1" si="2"/>
        <v>2.7823529411764797E-3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input_425101!A$2</f>
        <v>425101</v>
      </c>
      <c r="B60" s="6">
        <v>185</v>
      </c>
      <c r="C60" s="7" t="str">
        <f t="shared" si="0"/>
        <v>Premium4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4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IFERROR(VLOOKUP(B60,input_425101!L:R,7,FALSE),VLOOKUP(tables_425101!C60,input_425101!A:H,8,FALSE))</f>
        <v>6304.1135400000003</v>
      </c>
      <c r="P60" s="46">
        <f t="shared" ca="1" si="2"/>
        <v>2.3176888014705961E-3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input_425101!A$2</f>
        <v>425101</v>
      </c>
      <c r="B61" s="8">
        <v>186</v>
      </c>
      <c r="C61" s="7" t="str">
        <f t="shared" si="0"/>
        <v>Premium5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4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IFERROR(VLOOKUP(B61,input_425101!L:R,7,FALSE),VLOOKUP(tables_425101!C61,input_425101!A:H,8,FALSE))</f>
        <v>249.71353999999999</v>
      </c>
      <c r="P61" s="46">
        <f t="shared" ca="1" si="2"/>
        <v>9.1806448529412066E-5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input_425101!A$2</f>
        <v>425101</v>
      </c>
      <c r="B62" s="8">
        <v>187</v>
      </c>
      <c r="C62" s="7" t="str">
        <f t="shared" si="0"/>
        <v>Premium3color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4"/>
        <v>color</v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IFERROR(VLOOKUP(B62,input_425101!L:R,7,FALSE),VLOOKUP(tables_425101!C62,input_425101!A:H,8,FALSE))</f>
        <v>35088</v>
      </c>
      <c r="P62" s="46">
        <f t="shared" ca="1" si="2"/>
        <v>1.2900000000000042E-2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input_425101!A$2</f>
        <v>425101</v>
      </c>
      <c r="B63" s="8">
        <v>188</v>
      </c>
      <c r="C63" s="7" t="str">
        <f t="shared" si="0"/>
        <v>Premium4color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4"/>
        <v>color</v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IFERROR(VLOOKUP(B63,input_425101!L:R,7,FALSE),VLOOKUP(tables_425101!C63,input_425101!A:H,8,FALSE))</f>
        <v>31978.83511</v>
      </c>
      <c r="P63" s="46">
        <f t="shared" ca="1" si="2"/>
        <v>1.1756924672794156E-2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input_425101!A$2</f>
        <v>425101</v>
      </c>
      <c r="B64" s="8">
        <v>189</v>
      </c>
      <c r="C64" s="7" t="str">
        <f t="shared" si="0"/>
        <v>Premium5color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4"/>
        <v>color</v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IFERROR(VLOOKUP(B64,input_425101!L:R,7,FALSE),VLOOKUP(tables_425101!C64,input_425101!A:H,8,FALSE))</f>
        <v>3109.16489</v>
      </c>
      <c r="P64" s="46">
        <f t="shared" ca="1" si="2"/>
        <v>1.143075327205886E-3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input_425101!A$2</f>
        <v>425101</v>
      </c>
      <c r="B65" s="6">
        <v>190</v>
      </c>
      <c r="C65" s="7" t="str">
        <f t="shared" si="0"/>
        <v>Premium3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4"/>
        <v/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IFERROR(VLOOKUP(B65,input_425101!L:R,7,FALSE),VLOOKUP(tables_425101!C65,input_425101!A:H,8,FALSE))</f>
        <v>7568</v>
      </c>
      <c r="P65" s="46">
        <f t="shared" ca="1" si="2"/>
        <v>2.7823529411764797E-3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input_425101!A$2</f>
        <v>425101</v>
      </c>
      <c r="B66" s="6">
        <v>191</v>
      </c>
      <c r="C66" s="7" t="str">
        <f t="shared" ref="C66:C129" si="5">D66&amp;J66&amp;E66&amp;F66&amp;G66</f>
        <v>Premium4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4"/>
        <v/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IFERROR(VLOOKUP(B66,input_425101!L:R,7,FALSE),VLOOKUP(tables_425101!C66,input_425101!A:H,8,FALSE))</f>
        <v>6304.1135400000003</v>
      </c>
      <c r="P66" s="46">
        <f t="shared" ref="P66:P129" ca="1" si="6">O66/SUM(O:O)</f>
        <v>2.3176888014705961E-3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input_425101!A$2</f>
        <v>425101</v>
      </c>
      <c r="B67" s="6">
        <v>192</v>
      </c>
      <c r="C67" s="7" t="str">
        <f t="shared" si="5"/>
        <v>Premium5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4"/>
        <v/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IFERROR(VLOOKUP(B67,input_425101!L:R,7,FALSE),VLOOKUP(tables_425101!C67,input_425101!A:H,8,FALSE))</f>
        <v>249.71353999999999</v>
      </c>
      <c r="P67" s="46">
        <f t="shared" ca="1" si="6"/>
        <v>9.1806448529412066E-5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input_425101!A$2</f>
        <v>425101</v>
      </c>
      <c r="B68" s="6">
        <v>193</v>
      </c>
      <c r="C68" s="7" t="str">
        <f t="shared" si="5"/>
        <v>Premium3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4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IFERROR(VLOOKUP(B68,input_425101!L:R,7,FALSE),VLOOKUP(tables_425101!C68,input_425101!A:H,8,FALSE))</f>
        <v>7568</v>
      </c>
      <c r="P68" s="46">
        <f t="shared" ca="1" si="6"/>
        <v>2.7823529411764797E-3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input_425101!A$2</f>
        <v>425101</v>
      </c>
      <c r="B69" s="10">
        <v>194</v>
      </c>
      <c r="C69" s="7" t="str">
        <f t="shared" si="5"/>
        <v>Premium4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4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IFERROR(VLOOKUP(B69,input_425101!L:R,7,FALSE),VLOOKUP(tables_425101!C69,input_425101!A:H,8,FALSE))</f>
        <v>6304.1135400000003</v>
      </c>
      <c r="P69" s="46">
        <f t="shared" ca="1" si="6"/>
        <v>2.3176888014705961E-3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input_425101!A$2</f>
        <v>425101</v>
      </c>
      <c r="B70" s="6">
        <v>195</v>
      </c>
      <c r="C70" s="7" t="str">
        <f t="shared" si="5"/>
        <v>Premium5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4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IFERROR(VLOOKUP(B70,input_425101!L:R,7,FALSE),VLOOKUP(tables_425101!C70,input_425101!A:H,8,FALSE))</f>
        <v>249.71353999999999</v>
      </c>
      <c r="P70" s="46">
        <f t="shared" ca="1" si="6"/>
        <v>9.1806448529412066E-5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input_425101!A$2</f>
        <v>425101</v>
      </c>
      <c r="B71" s="10">
        <v>196</v>
      </c>
      <c r="C71" s="7" t="str">
        <f t="shared" si="5"/>
        <v>Premium3color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4"/>
        <v>color</v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IFERROR(VLOOKUP(B71,input_425101!L:R,7,FALSE),VLOOKUP(tables_425101!C71,input_425101!A:H,8,FALSE))</f>
        <v>35088</v>
      </c>
      <c r="P71" s="46">
        <f t="shared" ca="1" si="6"/>
        <v>1.2900000000000042E-2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input_425101!A$2</f>
        <v>425101</v>
      </c>
      <c r="B72" s="11">
        <v>197</v>
      </c>
      <c r="C72" s="7" t="str">
        <f t="shared" si="5"/>
        <v>Premium4color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ref="G72:G135" si="8">IF(K72="yellow","color","")</f>
        <v>color</v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IFERROR(VLOOKUP(B72,input_425101!L:R,7,FALSE),VLOOKUP(tables_425101!C72,input_425101!A:H,8,FALSE))</f>
        <v>31978.83511</v>
      </c>
      <c r="P72" s="46">
        <f t="shared" ca="1" si="6"/>
        <v>1.1756924672794156E-2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input_425101!A$2</f>
        <v>425101</v>
      </c>
      <c r="B73" s="6">
        <v>198</v>
      </c>
      <c r="C73" s="7" t="str">
        <f t="shared" si="5"/>
        <v>Premium5color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8"/>
        <v>color</v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IFERROR(VLOOKUP(B73,input_425101!L:R,7,FALSE),VLOOKUP(tables_425101!C73,input_425101!A:H,8,FALSE))</f>
        <v>3109.16489</v>
      </c>
      <c r="P73" s="46">
        <f t="shared" ca="1" si="6"/>
        <v>1.143075327205886E-3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input_425101!A$2</f>
        <v>425101</v>
      </c>
      <c r="B74" s="6">
        <v>199</v>
      </c>
      <c r="C74" s="7" t="str">
        <f t="shared" si="5"/>
        <v>Premium3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8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IFERROR(VLOOKUP(B74,input_425101!L:R,7,FALSE),VLOOKUP(tables_425101!C74,input_425101!A:H,8,FALSE))</f>
        <v>7568</v>
      </c>
      <c r="P74" s="46">
        <f t="shared" ca="1" si="6"/>
        <v>2.7823529411764797E-3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input_425101!A$2</f>
        <v>425101</v>
      </c>
      <c r="B75" s="6">
        <v>200</v>
      </c>
      <c r="C75" s="7" t="str">
        <f t="shared" si="5"/>
        <v>Premium4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8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IFERROR(VLOOKUP(B75,input_425101!L:R,7,FALSE),VLOOKUP(tables_425101!C75,input_425101!A:H,8,FALSE))</f>
        <v>6304.1135400000003</v>
      </c>
      <c r="P75" s="46">
        <f t="shared" ca="1" si="6"/>
        <v>2.3176888014705961E-3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input_425101!A$2</f>
        <v>425101</v>
      </c>
      <c r="B76" s="5">
        <v>201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8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IFERROR(VLOOKUP(B76,input_425101!L:R,7,FALSE),VLOOKUP(tables_425101!C76,input_425101!A:H,8,FALSE))</f>
        <v>249.71353999999999</v>
      </c>
      <c r="P76" s="46">
        <f t="shared" ca="1" si="6"/>
        <v>9.1806448529412066E-5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input_425101!A$2</f>
        <v>425101</v>
      </c>
      <c r="B77" s="5">
        <v>202</v>
      </c>
      <c r="C77" s="7" t="str">
        <f t="shared" si="5"/>
        <v>Premium3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8"/>
        <v/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IFERROR(VLOOKUP(B77,input_425101!L:R,7,FALSE),VLOOKUP(tables_425101!C77,input_425101!A:H,8,FALSE))</f>
        <v>7568</v>
      </c>
      <c r="P77" s="46">
        <f t="shared" ca="1" si="6"/>
        <v>2.7823529411764797E-3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input_425101!A$2</f>
        <v>425101</v>
      </c>
      <c r="B78" s="5">
        <v>203</v>
      </c>
      <c r="C78" s="7" t="str">
        <f t="shared" si="5"/>
        <v>Premium4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8"/>
        <v/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IFERROR(VLOOKUP(B78,input_425101!L:R,7,FALSE),VLOOKUP(tables_425101!C78,input_425101!A:H,8,FALSE))</f>
        <v>6304.1135400000003</v>
      </c>
      <c r="P78" s="46">
        <f t="shared" ca="1" si="6"/>
        <v>2.3176888014705961E-3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input_425101!A$2</f>
        <v>425101</v>
      </c>
      <c r="B79" s="5">
        <v>204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8"/>
        <v/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IFERROR(VLOOKUP(B79,input_425101!L:R,7,FALSE),VLOOKUP(tables_425101!C79,input_425101!A:H,8,FALSE))</f>
        <v>249.71353999999999</v>
      </c>
      <c r="P79" s="46">
        <f t="shared" ca="1" si="6"/>
        <v>9.1806448529412066E-5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input_425101!A$2</f>
        <v>425101</v>
      </c>
      <c r="B80" s="5">
        <v>205</v>
      </c>
      <c r="C80" s="7" t="str">
        <f t="shared" si="5"/>
        <v>Premium3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8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IFERROR(VLOOKUP(B80,input_425101!L:R,7,FALSE),VLOOKUP(tables_425101!C80,input_425101!A:H,8,FALSE))</f>
        <v>7568</v>
      </c>
      <c r="P80" s="46">
        <f t="shared" ca="1" si="6"/>
        <v>2.7823529411764797E-3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input_425101!A$2</f>
        <v>425101</v>
      </c>
      <c r="B81" s="5">
        <v>206</v>
      </c>
      <c r="C81" s="7" t="str">
        <f t="shared" si="5"/>
        <v>Premium4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8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IFERROR(VLOOKUP(B81,input_425101!L:R,7,FALSE),VLOOKUP(tables_425101!C81,input_425101!A:H,8,FALSE))</f>
        <v>6304.1135400000003</v>
      </c>
      <c r="P81" s="46">
        <f t="shared" ca="1" si="6"/>
        <v>2.3176888014705961E-3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input_425101!A$2</f>
        <v>425101</v>
      </c>
      <c r="B82" s="5">
        <v>207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8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IFERROR(VLOOKUP(B82,input_425101!L:R,7,FALSE),VLOOKUP(tables_425101!C82,input_425101!A:H,8,FALSE))</f>
        <v>249.71353999999999</v>
      </c>
      <c r="P82" s="46">
        <f t="shared" ca="1" si="6"/>
        <v>9.1806448529412066E-5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input_425101!A$2</f>
        <v>425101</v>
      </c>
      <c r="B83" s="5">
        <v>208</v>
      </c>
      <c r="C83" s="7" t="str">
        <f t="shared" si="5"/>
        <v>Premium3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8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IFERROR(VLOOKUP(B83,input_425101!L:R,7,FALSE),VLOOKUP(tables_425101!C83,input_425101!A:H,8,FALSE))</f>
        <v>7568</v>
      </c>
      <c r="P83" s="46">
        <f t="shared" ca="1" si="6"/>
        <v>2.7823529411764797E-3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input_425101!A$2</f>
        <v>425101</v>
      </c>
      <c r="B84" s="5">
        <v>209</v>
      </c>
      <c r="C84" s="7" t="str">
        <f t="shared" si="5"/>
        <v>Premium4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8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IFERROR(VLOOKUP(B84,input_425101!L:R,7,FALSE),VLOOKUP(tables_425101!C84,input_425101!A:H,8,FALSE))</f>
        <v>6304.1135400000003</v>
      </c>
      <c r="P84" s="46">
        <f t="shared" ca="1" si="6"/>
        <v>2.3176888014705961E-3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input_425101!A$2</f>
        <v>425101</v>
      </c>
      <c r="B85" s="5">
        <v>210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8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IFERROR(VLOOKUP(B85,input_425101!L:R,7,FALSE),VLOOKUP(tables_425101!C85,input_425101!A:H,8,FALSE))</f>
        <v>249.71353999999999</v>
      </c>
      <c r="P85" s="46">
        <f t="shared" ca="1" si="6"/>
        <v>9.1806448529412066E-5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input_425101!A$2</f>
        <v>425101</v>
      </c>
      <c r="B86" s="5">
        <v>211</v>
      </c>
      <c r="C86" s="7" t="str">
        <f t="shared" si="5"/>
        <v>Premium3color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8"/>
        <v>color</v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IFERROR(VLOOKUP(B86,input_425101!L:R,7,FALSE),VLOOKUP(tables_425101!C86,input_425101!A:H,8,FALSE))</f>
        <v>35088</v>
      </c>
      <c r="P86" s="46">
        <f t="shared" ca="1" si="6"/>
        <v>1.2900000000000042E-2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input_425101!A$2</f>
        <v>425101</v>
      </c>
      <c r="B87" s="5">
        <v>212</v>
      </c>
      <c r="C87" s="7" t="str">
        <f t="shared" si="5"/>
        <v>Premium4color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8"/>
        <v>color</v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IFERROR(VLOOKUP(B87,input_425101!L:R,7,FALSE),VLOOKUP(tables_425101!C87,input_425101!A:H,8,FALSE))</f>
        <v>31978.83511</v>
      </c>
      <c r="P87" s="46">
        <f t="shared" ca="1" si="6"/>
        <v>1.1756924672794156E-2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input_425101!A$2</f>
        <v>425101</v>
      </c>
      <c r="B88" s="5">
        <v>213</v>
      </c>
      <c r="C88" s="7" t="str">
        <f t="shared" si="5"/>
        <v>Premium5color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8"/>
        <v>color</v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IFERROR(VLOOKUP(B88,input_425101!L:R,7,FALSE),VLOOKUP(tables_425101!C88,input_425101!A:H,8,FALSE))</f>
        <v>3109.16489</v>
      </c>
      <c r="P88" s="46">
        <f t="shared" ca="1" si="6"/>
        <v>1.143075327205886E-3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input_425101!A$2</f>
        <v>425101</v>
      </c>
      <c r="B89" s="5">
        <v>214</v>
      </c>
      <c r="C89" s="7" t="str">
        <f t="shared" si="5"/>
        <v>Premium3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8"/>
        <v/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IFERROR(VLOOKUP(B89,input_425101!L:R,7,FALSE),VLOOKUP(tables_425101!C89,input_425101!A:H,8,FALSE))</f>
        <v>7568</v>
      </c>
      <c r="P89" s="46">
        <f t="shared" ca="1" si="6"/>
        <v>2.7823529411764797E-3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input_425101!A$2</f>
        <v>425101</v>
      </c>
      <c r="B90" s="5">
        <v>215</v>
      </c>
      <c r="C90" s="7" t="str">
        <f t="shared" si="5"/>
        <v>Premium4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8"/>
        <v/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IFERROR(VLOOKUP(B90,input_425101!L:R,7,FALSE),VLOOKUP(tables_425101!C90,input_425101!A:H,8,FALSE))</f>
        <v>6304.1135400000003</v>
      </c>
      <c r="P90" s="46">
        <f t="shared" ca="1" si="6"/>
        <v>2.3176888014705961E-3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input_425101!A$2</f>
        <v>425101</v>
      </c>
      <c r="B91" s="5">
        <v>216</v>
      </c>
      <c r="C91" s="7" t="str">
        <f t="shared" si="5"/>
        <v>Premium5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8"/>
        <v/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IFERROR(VLOOKUP(B91,input_425101!L:R,7,FALSE),VLOOKUP(tables_425101!C91,input_425101!A:H,8,FALSE))</f>
        <v>249.71353999999999</v>
      </c>
      <c r="P91" s="46">
        <f t="shared" ca="1" si="6"/>
        <v>9.1806448529412066E-5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input_425101!A$2</f>
        <v>425101</v>
      </c>
      <c r="B92" s="5">
        <v>217</v>
      </c>
      <c r="C92" s="7" t="str">
        <f t="shared" si="5"/>
        <v>Premium3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8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IFERROR(VLOOKUP(B92,input_425101!L:R,7,FALSE),VLOOKUP(tables_425101!C92,input_425101!A:H,8,FALSE))</f>
        <v>7568</v>
      </c>
      <c r="P92" s="46">
        <f t="shared" ca="1" si="6"/>
        <v>2.7823529411764797E-3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input_425101!A$2</f>
        <v>425101</v>
      </c>
      <c r="B93" s="5">
        <v>218</v>
      </c>
      <c r="C93" s="7" t="str">
        <f t="shared" si="5"/>
        <v>Premium4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8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IFERROR(VLOOKUP(B93,input_425101!L:R,7,FALSE),VLOOKUP(tables_425101!C93,input_425101!A:H,8,FALSE))</f>
        <v>6304.1135400000003</v>
      </c>
      <c r="P93" s="46">
        <f t="shared" ca="1" si="6"/>
        <v>2.3176888014705961E-3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input_425101!A$2</f>
        <v>425101</v>
      </c>
      <c r="B94" s="5">
        <v>219</v>
      </c>
      <c r="C94" s="7" t="str">
        <f t="shared" si="5"/>
        <v>Premium5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8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IFERROR(VLOOKUP(B94,input_425101!L:R,7,FALSE),VLOOKUP(tables_425101!C94,input_425101!A:H,8,FALSE))</f>
        <v>249.71353999999999</v>
      </c>
      <c r="P94" s="46">
        <f t="shared" ca="1" si="6"/>
        <v>9.1806448529412066E-5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input_425101!A$2</f>
        <v>425101</v>
      </c>
      <c r="B95" s="5">
        <v>220</v>
      </c>
      <c r="C95" s="7" t="str">
        <f t="shared" si="5"/>
        <v>Premium3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8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IFERROR(VLOOKUP(B95,input_425101!L:R,7,FALSE),VLOOKUP(tables_425101!C95,input_425101!A:H,8,FALSE))</f>
        <v>7568</v>
      </c>
      <c r="P95" s="46">
        <f t="shared" ca="1" si="6"/>
        <v>2.7823529411764797E-3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input_425101!A$2</f>
        <v>425101</v>
      </c>
      <c r="B96" s="5">
        <v>221</v>
      </c>
      <c r="C96" s="7" t="str">
        <f t="shared" si="5"/>
        <v>Premium4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8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IFERROR(VLOOKUP(B96,input_425101!L:R,7,FALSE),VLOOKUP(tables_425101!C96,input_425101!A:H,8,FALSE))</f>
        <v>6304.1135400000003</v>
      </c>
      <c r="P96" s="46">
        <f t="shared" ca="1" si="6"/>
        <v>2.3176888014705961E-3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input_425101!A$2</f>
        <v>425101</v>
      </c>
      <c r="B97" s="5">
        <v>222</v>
      </c>
      <c r="C97" s="7" t="str">
        <f t="shared" si="5"/>
        <v>Premium5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8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IFERROR(VLOOKUP(B97,input_425101!L:R,7,FALSE),VLOOKUP(tables_425101!C97,input_425101!A:H,8,FALSE))</f>
        <v>249.71353999999999</v>
      </c>
      <c r="P97" s="46">
        <f t="shared" ca="1" si="6"/>
        <v>9.1806448529412066E-5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input_425101!A$2</f>
        <v>425101</v>
      </c>
      <c r="B98" s="5">
        <v>223</v>
      </c>
      <c r="C98" s="7" t="str">
        <f t="shared" si="5"/>
        <v>Premium3color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8"/>
        <v>color</v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IFERROR(VLOOKUP(B98,input_425101!L:R,7,FALSE),VLOOKUP(tables_425101!C98,input_425101!A:H,8,FALSE))</f>
        <v>35088</v>
      </c>
      <c r="P98" s="46">
        <f t="shared" ca="1" si="6"/>
        <v>1.2900000000000042E-2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input_425101!A$2</f>
        <v>425101</v>
      </c>
      <c r="B99" s="5">
        <v>224</v>
      </c>
      <c r="C99" s="7" t="str">
        <f t="shared" si="5"/>
        <v>Premium4color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8"/>
        <v>color</v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IFERROR(VLOOKUP(B99,input_425101!L:R,7,FALSE),VLOOKUP(tables_425101!C99,input_425101!A:H,8,FALSE))</f>
        <v>31978.83511</v>
      </c>
      <c r="P99" s="46">
        <f t="shared" ca="1" si="6"/>
        <v>1.1756924672794156E-2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input_425101!A$2</f>
        <v>425101</v>
      </c>
      <c r="B100" s="5">
        <v>225</v>
      </c>
      <c r="C100" s="7" t="str">
        <f t="shared" si="5"/>
        <v>Premium5color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8"/>
        <v>color</v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IFERROR(VLOOKUP(B100,input_425101!L:R,7,FALSE),VLOOKUP(tables_425101!C100,input_425101!A:H,8,FALSE))</f>
        <v>3109.16489</v>
      </c>
      <c r="P100" s="46">
        <f t="shared" ca="1" si="6"/>
        <v>1.143075327205886E-3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input_425101!A$2</f>
        <v>425101</v>
      </c>
      <c r="B101" s="5">
        <v>226</v>
      </c>
      <c r="C101" s="7" t="str">
        <f t="shared" si="5"/>
        <v>Premium3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8"/>
        <v/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IFERROR(VLOOKUP(B101,input_425101!L:R,7,FALSE),VLOOKUP(tables_425101!C101,input_425101!A:H,8,FALSE))</f>
        <v>7568</v>
      </c>
      <c r="P101" s="46">
        <f t="shared" ca="1" si="6"/>
        <v>2.7823529411764797E-3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input_425101!A$2</f>
        <v>425101</v>
      </c>
      <c r="B102" s="5">
        <v>227</v>
      </c>
      <c r="C102" s="7" t="str">
        <f t="shared" si="5"/>
        <v>Premium4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8"/>
        <v/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IFERROR(VLOOKUP(B102,input_425101!L:R,7,FALSE),VLOOKUP(tables_425101!C102,input_425101!A:H,8,FALSE))</f>
        <v>6304.1135400000003</v>
      </c>
      <c r="P102" s="46">
        <f t="shared" ca="1" si="6"/>
        <v>2.3176888014705961E-3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input_425101!A$2</f>
        <v>425101</v>
      </c>
      <c r="B103" s="5">
        <v>228</v>
      </c>
      <c r="C103" s="7" t="str">
        <f t="shared" si="5"/>
        <v>Premium5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8"/>
        <v/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IFERROR(VLOOKUP(B103,input_425101!L:R,7,FALSE),VLOOKUP(tables_425101!C103,input_425101!A:H,8,FALSE))</f>
        <v>249.71353999999999</v>
      </c>
      <c r="P103" s="46">
        <f t="shared" ca="1" si="6"/>
        <v>9.1806448529412066E-5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input_425101!A$2</f>
        <v>425101</v>
      </c>
      <c r="B104" s="5">
        <v>229</v>
      </c>
      <c r="C104" s="7" t="str">
        <f t="shared" si="5"/>
        <v>Premium3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8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IFERROR(VLOOKUP(B104,input_425101!L:R,7,FALSE),VLOOKUP(tables_425101!C104,input_425101!A:H,8,FALSE))</f>
        <v>7568</v>
      </c>
      <c r="P104" s="46">
        <f t="shared" ca="1" si="6"/>
        <v>2.7823529411764797E-3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input_425101!A$2</f>
        <v>425101</v>
      </c>
      <c r="B105" s="5">
        <v>230</v>
      </c>
      <c r="C105" s="7" t="str">
        <f t="shared" si="5"/>
        <v>Premium4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8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IFERROR(VLOOKUP(B105,input_425101!L:R,7,FALSE),VLOOKUP(tables_425101!C105,input_425101!A:H,8,FALSE))</f>
        <v>6304.1135400000003</v>
      </c>
      <c r="P105" s="46">
        <f t="shared" ca="1" si="6"/>
        <v>2.3176888014705961E-3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input_425101!A$2</f>
        <v>425101</v>
      </c>
      <c r="B106" s="5">
        <v>231</v>
      </c>
      <c r="C106" s="7" t="str">
        <f t="shared" si="5"/>
        <v>Premium5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8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IFERROR(VLOOKUP(B106,input_425101!L:R,7,FALSE),VLOOKUP(tables_425101!C106,input_425101!A:H,8,FALSE))</f>
        <v>249.71353999999999</v>
      </c>
      <c r="P106" s="46">
        <f t="shared" ca="1" si="6"/>
        <v>9.1806448529412066E-5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input_425101!A$2</f>
        <v>425101</v>
      </c>
      <c r="B107" s="5">
        <v>232</v>
      </c>
      <c r="C107" s="7" t="str">
        <f t="shared" si="5"/>
        <v>Premium3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8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IFERROR(VLOOKUP(B107,input_425101!L:R,7,FALSE),VLOOKUP(tables_425101!C107,input_425101!A:H,8,FALSE))</f>
        <v>7568</v>
      </c>
      <c r="P107" s="46">
        <f t="shared" ca="1" si="6"/>
        <v>2.7823529411764797E-3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input_425101!A$2</f>
        <v>425101</v>
      </c>
      <c r="B108" s="5">
        <v>233</v>
      </c>
      <c r="C108" s="7" t="str">
        <f t="shared" si="5"/>
        <v>Premium4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8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IFERROR(VLOOKUP(B108,input_425101!L:R,7,FALSE),VLOOKUP(tables_425101!C108,input_425101!A:H,8,FALSE))</f>
        <v>6304.1135400000003</v>
      </c>
      <c r="P108" s="46">
        <f t="shared" ca="1" si="6"/>
        <v>2.3176888014705961E-3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input_425101!A$2</f>
        <v>425101</v>
      </c>
      <c r="B109" s="5">
        <v>234</v>
      </c>
      <c r="C109" s="7" t="str">
        <f t="shared" si="5"/>
        <v>Premium5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8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IFERROR(VLOOKUP(B109,input_425101!L:R,7,FALSE),VLOOKUP(tables_425101!C109,input_425101!A:H,8,FALSE))</f>
        <v>249.71353999999999</v>
      </c>
      <c r="P109" s="46">
        <f t="shared" ca="1" si="6"/>
        <v>9.1806448529412066E-5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input_425101!A$2</f>
        <v>425101</v>
      </c>
      <c r="B110" s="5">
        <v>235</v>
      </c>
      <c r="C110" s="7" t="str">
        <f t="shared" si="5"/>
        <v>Premium3R6releasecolor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8"/>
        <v>color</v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IFERROR(VLOOKUP(B110,input_425101!L:R,7,FALSE),VLOOKUP(tables_425101!C110,input_425101!A:H,8,FALSE))</f>
        <v>35088</v>
      </c>
      <c r="P110" s="46">
        <f t="shared" ca="1" si="6"/>
        <v>1.2900000000000042E-2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input_425101!A$2</f>
        <v>425101</v>
      </c>
      <c r="B111" s="5">
        <v>236</v>
      </c>
      <c r="C111" s="7" t="str">
        <f t="shared" si="5"/>
        <v>Premium4R6releasecolor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8"/>
        <v>color</v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IFERROR(VLOOKUP(B111,input_425101!L:R,7,FALSE),VLOOKUP(tables_425101!C111,input_425101!A:H,8,FALSE))</f>
        <v>31579.200000000001</v>
      </c>
      <c r="P111" s="46">
        <f t="shared" ca="1" si="6"/>
        <v>1.1610000000000039E-2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input_425101!A$2</f>
        <v>425101</v>
      </c>
      <c r="B112" s="5">
        <v>237</v>
      </c>
      <c r="C112" s="7" t="str">
        <f t="shared" si="5"/>
        <v>Premium5R6releasecolor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8"/>
        <v>color</v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IFERROR(VLOOKUP(B112,input_425101!L:R,7,FALSE),VLOOKUP(tables_425101!C112,input_425101!A:H,8,FALSE))</f>
        <v>3508.8</v>
      </c>
      <c r="P112" s="46">
        <f t="shared" ca="1" si="6"/>
        <v>1.2900000000000043E-3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input_425101!A$2</f>
        <v>425101</v>
      </c>
      <c r="B113" s="5">
        <v>238</v>
      </c>
      <c r="C113" s="7" t="str">
        <f t="shared" si="5"/>
        <v>Premium3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8"/>
        <v/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IFERROR(VLOOKUP(B113,input_425101!L:R,7,FALSE),VLOOKUP(tables_425101!C113,input_425101!A:H,8,FALSE))</f>
        <v>7568</v>
      </c>
      <c r="P113" s="46">
        <f t="shared" ca="1" si="6"/>
        <v>2.7823529411764797E-3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input_425101!A$2</f>
        <v>425101</v>
      </c>
      <c r="B114" s="5">
        <v>239</v>
      </c>
      <c r="C114" s="7" t="str">
        <f t="shared" si="5"/>
        <v>Premium4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8"/>
        <v/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IFERROR(VLOOKUP(B114,input_425101!L:R,7,FALSE),VLOOKUP(tables_425101!C114,input_425101!A:H,8,FALSE))</f>
        <v>6304.1135400000003</v>
      </c>
      <c r="P114" s="46">
        <f t="shared" ca="1" si="6"/>
        <v>2.3176888014705961E-3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input_425101!A$2</f>
        <v>425101</v>
      </c>
      <c r="B115" s="5">
        <v>240</v>
      </c>
      <c r="C115" s="7" t="str">
        <f t="shared" si="5"/>
        <v>Premium5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8"/>
        <v/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IFERROR(VLOOKUP(B115,input_425101!L:R,7,FALSE),VLOOKUP(tables_425101!C115,input_425101!A:H,8,FALSE))</f>
        <v>249.71353999999999</v>
      </c>
      <c r="P115" s="46">
        <f t="shared" ca="1" si="6"/>
        <v>9.1806448529412066E-5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input_425101!A$2</f>
        <v>425101</v>
      </c>
      <c r="B116" s="5">
        <v>241</v>
      </c>
      <c r="C116" s="7" t="str">
        <f t="shared" si="5"/>
        <v>Premium3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8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IFERROR(VLOOKUP(B116,input_425101!L:R,7,FALSE),VLOOKUP(tables_425101!C116,input_425101!A:H,8,FALSE))</f>
        <v>7568</v>
      </c>
      <c r="P116" s="46">
        <f t="shared" ca="1" si="6"/>
        <v>2.7823529411764797E-3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input_425101!A$2</f>
        <v>425101</v>
      </c>
      <c r="B117" s="5">
        <v>242</v>
      </c>
      <c r="C117" s="7" t="str">
        <f t="shared" si="5"/>
        <v>Premium4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8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IFERROR(VLOOKUP(B117,input_425101!L:R,7,FALSE),VLOOKUP(tables_425101!C117,input_425101!A:H,8,FALSE))</f>
        <v>6304.1135400000003</v>
      </c>
      <c r="P117" s="46">
        <f t="shared" ca="1" si="6"/>
        <v>2.3176888014705961E-3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input_425101!A$2</f>
        <v>425101</v>
      </c>
      <c r="B118" s="5">
        <v>243</v>
      </c>
      <c r="C118" s="7" t="str">
        <f t="shared" si="5"/>
        <v>Premium5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8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IFERROR(VLOOKUP(B118,input_425101!L:R,7,FALSE),VLOOKUP(tables_425101!C118,input_425101!A:H,8,FALSE))</f>
        <v>249.71353999999999</v>
      </c>
      <c r="P118" s="46">
        <f t="shared" ca="1" si="6"/>
        <v>9.1806448529412066E-5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input_425101!A$2</f>
        <v>425101</v>
      </c>
      <c r="B119" s="5">
        <v>244</v>
      </c>
      <c r="C119" s="7" t="str">
        <f t="shared" si="5"/>
        <v>Premium3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8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IFERROR(VLOOKUP(B119,input_425101!L:R,7,FALSE),VLOOKUP(tables_425101!C119,input_425101!A:H,8,FALSE))</f>
        <v>7568</v>
      </c>
      <c r="P119" s="46">
        <f t="shared" ca="1" si="6"/>
        <v>2.7823529411764797E-3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input_425101!A$2</f>
        <v>425101</v>
      </c>
      <c r="B120" s="5">
        <v>245</v>
      </c>
      <c r="C120" s="7" t="str">
        <f t="shared" si="5"/>
        <v>Premium4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8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IFERROR(VLOOKUP(B120,input_425101!L:R,7,FALSE),VLOOKUP(tables_425101!C120,input_425101!A:H,8,FALSE))</f>
        <v>6304.1135400000003</v>
      </c>
      <c r="P120" s="46">
        <f t="shared" ca="1" si="6"/>
        <v>2.3176888014705961E-3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input_425101!A$2</f>
        <v>425101</v>
      </c>
      <c r="B121" s="5">
        <v>246</v>
      </c>
      <c r="C121" s="7" t="str">
        <f t="shared" si="5"/>
        <v>Premium5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8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IFERROR(VLOOKUP(B121,input_425101!L:R,7,FALSE),VLOOKUP(tables_425101!C121,input_425101!A:H,8,FALSE))</f>
        <v>249.71353999999999</v>
      </c>
      <c r="P121" s="46">
        <f t="shared" ca="1" si="6"/>
        <v>9.1806448529412066E-5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input_425101!A$2</f>
        <v>425101</v>
      </c>
      <c r="B122" s="5">
        <v>247</v>
      </c>
      <c r="C122" s="7" t="str">
        <f t="shared" si="5"/>
        <v>Premium3color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8"/>
        <v>color</v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IFERROR(VLOOKUP(B122,input_425101!L:R,7,FALSE),VLOOKUP(tables_425101!C122,input_425101!A:H,8,FALSE))</f>
        <v>35088</v>
      </c>
      <c r="P122" s="46">
        <f t="shared" ca="1" si="6"/>
        <v>1.2900000000000042E-2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input_425101!A$2</f>
        <v>425101</v>
      </c>
      <c r="B123" s="5">
        <v>248</v>
      </c>
      <c r="C123" s="7" t="str">
        <f t="shared" si="5"/>
        <v>Premium4color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8"/>
        <v>color</v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IFERROR(VLOOKUP(B123,input_425101!L:R,7,FALSE),VLOOKUP(tables_425101!C123,input_425101!A:H,8,FALSE))</f>
        <v>31978.83511</v>
      </c>
      <c r="P123" s="46">
        <f t="shared" ca="1" si="6"/>
        <v>1.1756924672794156E-2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input_425101!A$2</f>
        <v>425101</v>
      </c>
      <c r="B124" s="6">
        <v>249</v>
      </c>
      <c r="C124" s="7" t="str">
        <f t="shared" si="5"/>
        <v>Premium5color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8"/>
        <v>color</v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IFERROR(VLOOKUP(B124,input_425101!L:R,7,FALSE),VLOOKUP(tables_425101!C124,input_425101!A:H,8,FALSE))</f>
        <v>3109.16489</v>
      </c>
      <c r="P124" s="46">
        <f t="shared" ca="1" si="6"/>
        <v>1.143075327205886E-3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input_425101!A$2</f>
        <v>425101</v>
      </c>
      <c r="B125" s="6">
        <v>250</v>
      </c>
      <c r="C125" s="7" t="str">
        <f t="shared" si="5"/>
        <v>Premium3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8"/>
        <v/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IFERROR(VLOOKUP(B125,input_425101!L:R,7,FALSE),VLOOKUP(tables_425101!C125,input_425101!A:H,8,FALSE))</f>
        <v>7568</v>
      </c>
      <c r="P125" s="46">
        <f t="shared" ca="1" si="6"/>
        <v>2.7823529411764797E-3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input_425101!A$2</f>
        <v>425101</v>
      </c>
      <c r="B126" s="6">
        <v>251</v>
      </c>
      <c r="C126" s="7" t="str">
        <f t="shared" si="5"/>
        <v>Premium4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8"/>
        <v/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IFERROR(VLOOKUP(B126,input_425101!L:R,7,FALSE),VLOOKUP(tables_425101!C126,input_425101!A:H,8,FALSE))</f>
        <v>6304.1135400000003</v>
      </c>
      <c r="P126" s="46">
        <f t="shared" ca="1" si="6"/>
        <v>2.3176888014705961E-3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input_425101!A$2</f>
        <v>425101</v>
      </c>
      <c r="B127" s="6">
        <v>252</v>
      </c>
      <c r="C127" s="7" t="str">
        <f t="shared" si="5"/>
        <v>Premium5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8"/>
        <v/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IFERROR(VLOOKUP(B127,input_425101!L:R,7,FALSE),VLOOKUP(tables_425101!C127,input_425101!A:H,8,FALSE))</f>
        <v>249.71353999999999</v>
      </c>
      <c r="P127" s="46">
        <f t="shared" ca="1" si="6"/>
        <v>9.1806448529412066E-5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input_425101!A$2</f>
        <v>425101</v>
      </c>
      <c r="B128" s="6">
        <v>253</v>
      </c>
      <c r="C128" s="7" t="str">
        <f t="shared" si="5"/>
        <v>Premium3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8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IFERROR(VLOOKUP(B128,input_425101!L:R,7,FALSE),VLOOKUP(tables_425101!C128,input_425101!A:H,8,FALSE))</f>
        <v>7568</v>
      </c>
      <c r="P128" s="46">
        <f t="shared" ca="1" si="6"/>
        <v>2.7823529411764797E-3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input_425101!A$2</f>
        <v>425101</v>
      </c>
      <c r="B129" s="6">
        <v>254</v>
      </c>
      <c r="C129" s="7" t="str">
        <f t="shared" si="5"/>
        <v>Premium4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8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IFERROR(VLOOKUP(B129,input_425101!L:R,7,FALSE),VLOOKUP(tables_425101!C129,input_425101!A:H,8,FALSE))</f>
        <v>6304.1135400000003</v>
      </c>
      <c r="P129" s="46">
        <f t="shared" ca="1" si="6"/>
        <v>2.3176888014705961E-3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input_425101!A$2</f>
        <v>425101</v>
      </c>
      <c r="B130" s="6">
        <v>255</v>
      </c>
      <c r="C130" s="7" t="str">
        <f t="shared" ref="C130:C193" si="9">D130&amp;J130&amp;E130&amp;F130&amp;G130</f>
        <v>Premium5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8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IFERROR(VLOOKUP(B130,input_425101!L:R,7,FALSE),VLOOKUP(tables_425101!C130,input_425101!A:H,8,FALSE))</f>
        <v>249.71353999999999</v>
      </c>
      <c r="P130" s="46">
        <f t="shared" ref="P130:P193" ca="1" si="10">O130/SUM(O:O)</f>
        <v>9.1806448529412066E-5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input_425101!A$2</f>
        <v>425101</v>
      </c>
      <c r="B131" s="6">
        <v>256</v>
      </c>
      <c r="C131" s="7" t="str">
        <f t="shared" si="9"/>
        <v>Premium3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8"/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IFERROR(VLOOKUP(B131,input_425101!L:R,7,FALSE),VLOOKUP(tables_425101!C131,input_425101!A:H,8,FALSE))</f>
        <v>7568</v>
      </c>
      <c r="P131" s="46">
        <f t="shared" ca="1" si="10"/>
        <v>2.7823529411764797E-3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input_425101!A$2</f>
        <v>425101</v>
      </c>
      <c r="B132" s="6">
        <v>257</v>
      </c>
      <c r="C132" s="7" t="str">
        <f t="shared" si="9"/>
        <v>Premium4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IFERROR(VLOOKUP(B132,input_425101!L:R,7,FALSE),VLOOKUP(tables_425101!C132,input_425101!A:H,8,FALSE))</f>
        <v>6304.1135400000003</v>
      </c>
      <c r="P132" s="46">
        <f t="shared" ca="1" si="10"/>
        <v>2.3176888014705961E-3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input_425101!A$2</f>
        <v>425101</v>
      </c>
      <c r="B133" s="6">
        <v>258</v>
      </c>
      <c r="C133" s="7" t="str">
        <f t="shared" si="9"/>
        <v>Premium5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IFERROR(VLOOKUP(B133,input_425101!L:R,7,FALSE),VLOOKUP(tables_425101!C133,input_425101!A:H,8,FALSE))</f>
        <v>249.71353999999999</v>
      </c>
      <c r="P133" s="46">
        <f t="shared" ca="1" si="10"/>
        <v>9.1806448529412066E-5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input_425101!A$2</f>
        <v>425101</v>
      </c>
      <c r="B134" s="6">
        <v>259</v>
      </c>
      <c r="C134" s="7" t="str">
        <f t="shared" si="9"/>
        <v>Premium3color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8"/>
        <v>color</v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IFERROR(VLOOKUP(B134,input_425101!L:R,7,FALSE),VLOOKUP(tables_425101!C134,input_425101!A:H,8,FALSE))</f>
        <v>35088</v>
      </c>
      <c r="P134" s="46">
        <f t="shared" ca="1" si="10"/>
        <v>1.2900000000000042E-2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input_425101!A$2</f>
        <v>425101</v>
      </c>
      <c r="B135" s="8">
        <v>260</v>
      </c>
      <c r="C135" s="7" t="str">
        <f t="shared" si="9"/>
        <v>Premium4color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8"/>
        <v>color</v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IFERROR(VLOOKUP(B135,input_425101!L:R,7,FALSE),VLOOKUP(tables_425101!C135,input_425101!A:H,8,FALSE))</f>
        <v>31978.83511</v>
      </c>
      <c r="P135" s="46">
        <f t="shared" ca="1" si="10"/>
        <v>1.1756924672794156E-2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input_425101!A$2</f>
        <v>425101</v>
      </c>
      <c r="B136" s="8">
        <v>261</v>
      </c>
      <c r="C136" s="7" t="str">
        <f t="shared" si="9"/>
        <v>Premium5color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ref="G136:G199" si="12">IF(K136="yellow","color","")</f>
        <v>color</v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IFERROR(VLOOKUP(B136,input_425101!L:R,7,FALSE),VLOOKUP(tables_425101!C136,input_425101!A:H,8,FALSE))</f>
        <v>3109.16489</v>
      </c>
      <c r="P136" s="46">
        <f t="shared" ca="1" si="10"/>
        <v>1.143075327205886E-3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input_425101!A$2</f>
        <v>425101</v>
      </c>
      <c r="B137" s="6">
        <v>320</v>
      </c>
      <c r="C137" s="7" t="str">
        <f t="shared" si="9"/>
        <v>PremiumSS4</v>
      </c>
      <c r="D137" s="7" t="str">
        <f t="shared" si="11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2"/>
        <v/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IFERROR(VLOOKUP(B137,input_425101!L:R,7,FALSE),VLOOKUP(tables_425101!C137,input_425101!A:H,8,FALSE))</f>
        <v>1762.866</v>
      </c>
      <c r="P137" s="46">
        <f t="shared" ca="1" si="10"/>
        <v>6.4811250000000207E-4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input_425101!A$2</f>
        <v>425101</v>
      </c>
      <c r="B138" s="6">
        <v>321</v>
      </c>
      <c r="C138" s="7" t="str">
        <f t="shared" si="9"/>
        <v>PremiumSS5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2"/>
        <v/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IFERROR(VLOOKUP(B138,input_425101!L:R,7,FALSE),VLOOKUP(tables_425101!C138,input_425101!A:H,8,FALSE))</f>
        <v>68</v>
      </c>
      <c r="P138" s="46">
        <f t="shared" ca="1" si="10"/>
        <v>2.5000000000000083E-5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input_425101!A$2</f>
        <v>425101</v>
      </c>
      <c r="B139" s="6">
        <v>322</v>
      </c>
      <c r="C139" s="7" t="str">
        <f t="shared" si="9"/>
        <v>PremiumSS4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2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IFERROR(VLOOKUP(B139,input_425101!L:R,7,FALSE),VLOOKUP(tables_425101!C139,input_425101!A:H,8,FALSE))</f>
        <v>1762.866</v>
      </c>
      <c r="P139" s="46">
        <f t="shared" ca="1" si="10"/>
        <v>6.4811250000000207E-4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input_425101!A$2</f>
        <v>425101</v>
      </c>
      <c r="B140" s="6">
        <v>323</v>
      </c>
      <c r="C140" s="7" t="str">
        <f t="shared" si="9"/>
        <v>PremiumSS5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2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IFERROR(VLOOKUP(B140,input_425101!L:R,7,FALSE),VLOOKUP(tables_425101!C140,input_425101!A:H,8,FALSE))</f>
        <v>68</v>
      </c>
      <c r="P140" s="46">
        <f t="shared" ca="1" si="10"/>
        <v>2.5000000000000083E-5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input_425101!A$2</f>
        <v>425101</v>
      </c>
      <c r="B141" s="6">
        <v>324</v>
      </c>
      <c r="C141" s="7" t="str">
        <f t="shared" si="9"/>
        <v>PremiumSS4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2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IFERROR(VLOOKUP(B141,input_425101!L:R,7,FALSE),VLOOKUP(tables_425101!C141,input_425101!A:H,8,FALSE))</f>
        <v>1762.866</v>
      </c>
      <c r="P141" s="46">
        <f t="shared" ca="1" si="10"/>
        <v>6.4811250000000207E-4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input_425101!A$2</f>
        <v>425101</v>
      </c>
      <c r="B142" s="6">
        <v>325</v>
      </c>
      <c r="C142" s="7" t="str">
        <f t="shared" si="9"/>
        <v>PremiumSS5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2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IFERROR(VLOOKUP(B142,input_425101!L:R,7,FALSE),VLOOKUP(tables_425101!C142,input_425101!A:H,8,FALSE))</f>
        <v>68</v>
      </c>
      <c r="P142" s="46">
        <f t="shared" ca="1" si="10"/>
        <v>2.5000000000000083E-5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input_425101!A$2</f>
        <v>425101</v>
      </c>
      <c r="B143" s="6">
        <v>326</v>
      </c>
      <c r="C143" s="7" t="str">
        <f t="shared" si="9"/>
        <v>PremiumSS4color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2"/>
        <v>color</v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IFERROR(VLOOKUP(B143,input_425101!L:R,7,FALSE),VLOOKUP(tables_425101!C143,input_425101!A:H,8,FALSE))</f>
        <v>6949.7408500000001</v>
      </c>
      <c r="P143" s="46">
        <f t="shared" ca="1" si="10"/>
        <v>2.5550517830882436E-3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input_425101!A$2</f>
        <v>425101</v>
      </c>
      <c r="B144" s="6">
        <v>327</v>
      </c>
      <c r="C144" s="7" t="str">
        <f t="shared" si="9"/>
        <v>PremiumSS5color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2"/>
        <v>color</v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IFERROR(VLOOKUP(B144,input_425101!L:R,7,FALSE),VLOOKUP(tables_425101!C144,input_425101!A:H,8,FALSE))</f>
        <v>291.42856999999998</v>
      </c>
      <c r="P144" s="46">
        <f t="shared" ca="1" si="10"/>
        <v>1.0714285661764741E-4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input_425101!A$2</f>
        <v>425101</v>
      </c>
      <c r="B145" s="6">
        <v>380</v>
      </c>
      <c r="C145" s="7" t="str">
        <f t="shared" si="9"/>
        <v>Premium3</v>
      </c>
      <c r="D145" s="7" t="str">
        <f t="shared" si="11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2"/>
        <v/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IFERROR(VLOOKUP(B145,input_425101!L:R,7,FALSE),VLOOKUP(tables_425101!C145,input_425101!A:H,8,FALSE))</f>
        <v>7568</v>
      </c>
      <c r="P145" s="46">
        <f t="shared" ca="1" si="10"/>
        <v>2.7823529411764797E-3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input_425101!A$2</f>
        <v>425101</v>
      </c>
      <c r="B146" s="6">
        <v>381</v>
      </c>
      <c r="C146" s="7" t="str">
        <f t="shared" si="9"/>
        <v>Premium4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2"/>
        <v/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IFERROR(VLOOKUP(B146,input_425101!L:R,7,FALSE),VLOOKUP(tables_425101!C146,input_425101!A:H,8,FALSE))</f>
        <v>6304.1135400000003</v>
      </c>
      <c r="P146" s="46">
        <f t="shared" ca="1" si="10"/>
        <v>2.3176888014705961E-3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input_425101!A$2</f>
        <v>425101</v>
      </c>
      <c r="B147" s="6">
        <v>382</v>
      </c>
      <c r="C147" s="7" t="str">
        <f t="shared" si="9"/>
        <v>Premium5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2"/>
        <v/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IFERROR(VLOOKUP(B147,input_425101!L:R,7,FALSE),VLOOKUP(tables_425101!C147,input_425101!A:H,8,FALSE))</f>
        <v>249.71353999999999</v>
      </c>
      <c r="P147" s="46">
        <f t="shared" ca="1" si="10"/>
        <v>9.1806448529412066E-5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input_425101!A$2</f>
        <v>425101</v>
      </c>
      <c r="B148" s="6">
        <v>383</v>
      </c>
      <c r="C148" s="7" t="str">
        <f t="shared" si="9"/>
        <v>PremiumSS4</v>
      </c>
      <c r="D148" s="7" t="str">
        <f t="shared" si="11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2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IFERROR(VLOOKUP(B148,input_425101!L:R,7,FALSE),VLOOKUP(tables_425101!C148,input_425101!A:H,8,FALSE))</f>
        <v>1762.866</v>
      </c>
      <c r="P148" s="46">
        <f t="shared" ca="1" si="10"/>
        <v>6.4811250000000207E-4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input_425101!A$2</f>
        <v>425101</v>
      </c>
      <c r="B149" s="6">
        <v>384</v>
      </c>
      <c r="C149" s="7" t="str">
        <f t="shared" si="9"/>
        <v>PremiumSS5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2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IFERROR(VLOOKUP(B149,input_425101!L:R,7,FALSE),VLOOKUP(tables_425101!C149,input_425101!A:H,8,FALSE))</f>
        <v>68</v>
      </c>
      <c r="P149" s="46">
        <f t="shared" ca="1" si="10"/>
        <v>2.5000000000000083E-5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input_425101!A$2</f>
        <v>425101</v>
      </c>
      <c r="B150" s="6">
        <v>385</v>
      </c>
      <c r="C150" s="7" t="str">
        <f t="shared" si="9"/>
        <v>PremiumSS4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2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IFERROR(VLOOKUP(B150,input_425101!L:R,7,FALSE),VLOOKUP(tables_425101!C150,input_425101!A:H,8,FALSE))</f>
        <v>1762.866</v>
      </c>
      <c r="P150" s="46">
        <f t="shared" ca="1" si="10"/>
        <v>6.4811250000000207E-4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input_425101!A$2</f>
        <v>425101</v>
      </c>
      <c r="B151" s="6">
        <v>386</v>
      </c>
      <c r="C151" s="7" t="str">
        <f t="shared" si="9"/>
        <v>PremiumSS5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2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IFERROR(VLOOKUP(B151,input_425101!L:R,7,FALSE),VLOOKUP(tables_425101!C151,input_425101!A:H,8,FALSE))</f>
        <v>68</v>
      </c>
      <c r="P151" s="46">
        <f t="shared" ca="1" si="10"/>
        <v>2.5000000000000083E-5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input_425101!A$2</f>
        <v>425101</v>
      </c>
      <c r="B152" s="6">
        <v>387</v>
      </c>
      <c r="C152" s="7" t="str">
        <f t="shared" si="9"/>
        <v>Premium3color</v>
      </c>
      <c r="D152" s="7" t="str">
        <f t="shared" si="11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2"/>
        <v>color</v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IFERROR(VLOOKUP(B152,input_425101!L:R,7,FALSE),VLOOKUP(tables_425101!C152,input_425101!A:H,8,FALSE))</f>
        <v>35088</v>
      </c>
      <c r="P152" s="46">
        <f t="shared" ca="1" si="10"/>
        <v>1.2900000000000042E-2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input_425101!A$2</f>
        <v>425101</v>
      </c>
      <c r="B153" s="6">
        <v>388</v>
      </c>
      <c r="C153" s="7" t="str">
        <f t="shared" si="9"/>
        <v>Premium4color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2"/>
        <v>color</v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IFERROR(VLOOKUP(B153,input_425101!L:R,7,FALSE),VLOOKUP(tables_425101!C153,input_425101!A:H,8,FALSE))</f>
        <v>31978.83511</v>
      </c>
      <c r="P153" s="46">
        <f t="shared" ca="1" si="10"/>
        <v>1.1756924672794156E-2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input_425101!A$2</f>
        <v>425101</v>
      </c>
      <c r="B154" s="6">
        <v>389</v>
      </c>
      <c r="C154" s="7" t="str">
        <f t="shared" si="9"/>
        <v>Premium5color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2"/>
        <v>color</v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IFERROR(VLOOKUP(B154,input_425101!L:R,7,FALSE),VLOOKUP(tables_425101!C154,input_425101!A:H,8,FALSE))</f>
        <v>3109.16489</v>
      </c>
      <c r="P154" s="46">
        <f t="shared" ca="1" si="10"/>
        <v>1.143075327205886E-3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input_425101!A$2</f>
        <v>425101</v>
      </c>
      <c r="B155" s="6">
        <v>390</v>
      </c>
      <c r="C155" s="7" t="str">
        <f t="shared" si="9"/>
        <v>PremiumSS4</v>
      </c>
      <c r="D155" s="7" t="str">
        <f t="shared" si="11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2"/>
        <v/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IFERROR(VLOOKUP(B155,input_425101!L:R,7,FALSE),VLOOKUP(tables_425101!C155,input_425101!A:H,8,FALSE))</f>
        <v>1762.866</v>
      </c>
      <c r="P155" s="46">
        <f t="shared" ca="1" si="10"/>
        <v>6.4811250000000207E-4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input_425101!A$2</f>
        <v>425101</v>
      </c>
      <c r="B156" s="6">
        <v>391</v>
      </c>
      <c r="C156" s="7" t="str">
        <f t="shared" si="9"/>
        <v>PremiumSS5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2"/>
        <v/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IFERROR(VLOOKUP(B156,input_425101!L:R,7,FALSE),VLOOKUP(tables_425101!C156,input_425101!A:H,8,FALSE))</f>
        <v>68</v>
      </c>
      <c r="P156" s="46">
        <f t="shared" ca="1" si="10"/>
        <v>2.5000000000000083E-5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input_425101!A$2</f>
        <v>425101</v>
      </c>
      <c r="B157" s="6">
        <v>392</v>
      </c>
      <c r="C157" s="7" t="str">
        <f t="shared" si="9"/>
        <v>Premium3</v>
      </c>
      <c r="D157" s="7" t="str">
        <f t="shared" si="11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2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IFERROR(VLOOKUP(B157,input_425101!L:R,7,FALSE),VLOOKUP(tables_425101!C157,input_425101!A:H,8,FALSE))</f>
        <v>7568</v>
      </c>
      <c r="P157" s="46">
        <f t="shared" ca="1" si="10"/>
        <v>2.7823529411764797E-3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input_425101!A$2</f>
        <v>425101</v>
      </c>
      <c r="B158" s="6">
        <v>393</v>
      </c>
      <c r="C158" s="7" t="str">
        <f t="shared" si="9"/>
        <v>Premium4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2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IFERROR(VLOOKUP(B158,input_425101!L:R,7,FALSE),VLOOKUP(tables_425101!C158,input_425101!A:H,8,FALSE))</f>
        <v>6304.1135400000003</v>
      </c>
      <c r="P158" s="46">
        <f t="shared" ca="1" si="10"/>
        <v>2.3176888014705961E-3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input_425101!A$2</f>
        <v>425101</v>
      </c>
      <c r="B159" s="6">
        <v>394</v>
      </c>
      <c r="C159" s="7" t="str">
        <f t="shared" si="9"/>
        <v>Premium5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2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IFERROR(VLOOKUP(B159,input_425101!L:R,7,FALSE),VLOOKUP(tables_425101!C159,input_425101!A:H,8,FALSE))</f>
        <v>249.71353999999999</v>
      </c>
      <c r="P159" s="46">
        <f t="shared" ca="1" si="10"/>
        <v>9.1806448529412066E-5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input_425101!A$2</f>
        <v>425101</v>
      </c>
      <c r="B160" s="6">
        <v>395</v>
      </c>
      <c r="C160" s="7" t="str">
        <f t="shared" si="9"/>
        <v>Premium3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2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IFERROR(VLOOKUP(B160,input_425101!L:R,7,FALSE),VLOOKUP(tables_425101!C160,input_425101!A:H,8,FALSE))</f>
        <v>7568</v>
      </c>
      <c r="P160" s="46">
        <f t="shared" ca="1" si="10"/>
        <v>2.7823529411764797E-3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input_425101!A$2</f>
        <v>425101</v>
      </c>
      <c r="B161" s="6">
        <v>396</v>
      </c>
      <c r="C161" s="7" t="str">
        <f t="shared" si="9"/>
        <v>Premium4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2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IFERROR(VLOOKUP(B161,input_425101!L:R,7,FALSE),VLOOKUP(tables_425101!C161,input_425101!A:H,8,FALSE))</f>
        <v>6304.1135400000003</v>
      </c>
      <c r="P161" s="46">
        <f t="shared" ca="1" si="10"/>
        <v>2.3176888014705961E-3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input_425101!A$2</f>
        <v>425101</v>
      </c>
      <c r="B162" s="6">
        <v>397</v>
      </c>
      <c r="C162" s="7" t="str">
        <f t="shared" si="9"/>
        <v>Premium5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2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IFERROR(VLOOKUP(B162,input_425101!L:R,7,FALSE),VLOOKUP(tables_425101!C162,input_425101!A:H,8,FALSE))</f>
        <v>249.71353999999999</v>
      </c>
      <c r="P162" s="46">
        <f t="shared" ca="1" si="10"/>
        <v>9.1806448529412066E-5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input_425101!A$2</f>
        <v>425101</v>
      </c>
      <c r="B163" s="6">
        <v>398</v>
      </c>
      <c r="C163" s="7" t="str">
        <f t="shared" si="9"/>
        <v>PremiumSS4color</v>
      </c>
      <c r="D163" s="7" t="str">
        <f t="shared" si="11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2"/>
        <v>color</v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IFERROR(VLOOKUP(B163,input_425101!L:R,7,FALSE),VLOOKUP(tables_425101!C163,input_425101!A:H,8,FALSE))</f>
        <v>6949.7408500000001</v>
      </c>
      <c r="P163" s="46">
        <f t="shared" ca="1" si="10"/>
        <v>2.5550517830882436E-3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input_425101!A$2</f>
        <v>425101</v>
      </c>
      <c r="B164" s="6">
        <v>399</v>
      </c>
      <c r="C164" s="7" t="str">
        <f t="shared" si="9"/>
        <v>PremiumSS5color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2"/>
        <v>color</v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IFERROR(VLOOKUP(B164,input_425101!L:R,7,FALSE),VLOOKUP(tables_425101!C164,input_425101!A:H,8,FALSE))</f>
        <v>291.42856999999998</v>
      </c>
      <c r="P164" s="46">
        <f t="shared" ca="1" si="10"/>
        <v>1.0714285661764741E-4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input_425101!A$2</f>
        <v>425101</v>
      </c>
      <c r="B165" s="6">
        <v>400</v>
      </c>
      <c r="C165" s="7" t="str">
        <f t="shared" si="9"/>
        <v>Premium3</v>
      </c>
      <c r="D165" s="7" t="str">
        <f t="shared" si="11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2"/>
        <v/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IFERROR(VLOOKUP(B165,input_425101!L:R,7,FALSE),VLOOKUP(tables_425101!C165,input_425101!A:H,8,FALSE))</f>
        <v>7568</v>
      </c>
      <c r="P165" s="46">
        <f t="shared" ca="1" si="10"/>
        <v>2.7823529411764797E-3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input_425101!A$2</f>
        <v>425101</v>
      </c>
      <c r="B166" s="6">
        <v>401</v>
      </c>
      <c r="C166" s="7" t="str">
        <f t="shared" si="9"/>
        <v>Premium4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2"/>
        <v/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IFERROR(VLOOKUP(B166,input_425101!L:R,7,FALSE),VLOOKUP(tables_425101!C166,input_425101!A:H,8,FALSE))</f>
        <v>6304.1135400000003</v>
      </c>
      <c r="P166" s="46">
        <f t="shared" ca="1" si="10"/>
        <v>2.3176888014705961E-3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input_425101!A$2</f>
        <v>425101</v>
      </c>
      <c r="B167" s="6">
        <v>402</v>
      </c>
      <c r="C167" s="7" t="str">
        <f t="shared" si="9"/>
        <v>Premium5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2"/>
        <v/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IFERROR(VLOOKUP(B167,input_425101!L:R,7,FALSE),VLOOKUP(tables_425101!C167,input_425101!A:H,8,FALSE))</f>
        <v>249.71353999999999</v>
      </c>
      <c r="P167" s="46">
        <f t="shared" ca="1" si="10"/>
        <v>9.1806448529412066E-5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input_425101!A$2</f>
        <v>425101</v>
      </c>
      <c r="B168" s="6">
        <v>403</v>
      </c>
      <c r="C168" s="7" t="str">
        <f t="shared" si="9"/>
        <v>PremiumSS4</v>
      </c>
      <c r="D168" s="7" t="str">
        <f t="shared" si="11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2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IFERROR(VLOOKUP(B168,input_425101!L:R,7,FALSE),VLOOKUP(tables_425101!C168,input_425101!A:H,8,FALSE))</f>
        <v>1762.866</v>
      </c>
      <c r="P168" s="46">
        <f t="shared" ca="1" si="10"/>
        <v>6.4811250000000207E-4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input_425101!A$2</f>
        <v>425101</v>
      </c>
      <c r="B169" s="6">
        <v>404</v>
      </c>
      <c r="C169" s="7" t="str">
        <f t="shared" si="9"/>
        <v>PremiumSS5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2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IFERROR(VLOOKUP(B169,input_425101!L:R,7,FALSE),VLOOKUP(tables_425101!C169,input_425101!A:H,8,FALSE))</f>
        <v>68</v>
      </c>
      <c r="P169" s="46">
        <f t="shared" ca="1" si="10"/>
        <v>2.5000000000000083E-5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input_425101!A$2</f>
        <v>425101</v>
      </c>
      <c r="B170" s="6">
        <v>405</v>
      </c>
      <c r="C170" s="7" t="str">
        <f t="shared" si="9"/>
        <v>Premium3</v>
      </c>
      <c r="D170" s="7" t="str">
        <f t="shared" si="11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2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IFERROR(VLOOKUP(B170,input_425101!L:R,7,FALSE),VLOOKUP(tables_425101!C170,input_425101!A:H,8,FALSE))</f>
        <v>7568</v>
      </c>
      <c r="P170" s="46">
        <f t="shared" ca="1" si="10"/>
        <v>2.7823529411764797E-3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input_425101!A$2</f>
        <v>425101</v>
      </c>
      <c r="B171" s="6">
        <v>406</v>
      </c>
      <c r="C171" s="7" t="str">
        <f t="shared" si="9"/>
        <v>Premium4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2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IFERROR(VLOOKUP(B171,input_425101!L:R,7,FALSE),VLOOKUP(tables_425101!C171,input_425101!A:H,8,FALSE))</f>
        <v>6304.1135400000003</v>
      </c>
      <c r="P171" s="46">
        <f t="shared" ca="1" si="10"/>
        <v>2.3176888014705961E-3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input_425101!A$2</f>
        <v>425101</v>
      </c>
      <c r="B172" s="6">
        <v>407</v>
      </c>
      <c r="C172" s="7" t="str">
        <f t="shared" si="9"/>
        <v>Premium5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2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IFERROR(VLOOKUP(B172,input_425101!L:R,7,FALSE),VLOOKUP(tables_425101!C172,input_425101!A:H,8,FALSE))</f>
        <v>249.71353999999999</v>
      </c>
      <c r="P172" s="46">
        <f t="shared" ca="1" si="10"/>
        <v>9.1806448529412066E-5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input_425101!A$2</f>
        <v>425101</v>
      </c>
      <c r="B173" s="6">
        <v>408</v>
      </c>
      <c r="C173" s="7" t="str">
        <f t="shared" si="9"/>
        <v>PremiumSS4color</v>
      </c>
      <c r="D173" s="7" t="str">
        <f t="shared" si="11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2"/>
        <v>color</v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IFERROR(VLOOKUP(B173,input_425101!L:R,7,FALSE),VLOOKUP(tables_425101!C173,input_425101!A:H,8,FALSE))</f>
        <v>6949.7408500000001</v>
      </c>
      <c r="P173" s="46">
        <f t="shared" ca="1" si="10"/>
        <v>2.5550517830882436E-3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input_425101!A$2</f>
        <v>425101</v>
      </c>
      <c r="B174" s="6">
        <v>409</v>
      </c>
      <c r="C174" s="7" t="str">
        <f t="shared" si="9"/>
        <v>PremiumSS5color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2"/>
        <v>color</v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IFERROR(VLOOKUP(B174,input_425101!L:R,7,FALSE),VLOOKUP(tables_425101!C174,input_425101!A:H,8,FALSE))</f>
        <v>291.42856999999998</v>
      </c>
      <c r="P174" s="46">
        <f t="shared" ca="1" si="10"/>
        <v>1.0714285661764741E-4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input_425101!A$2</f>
        <v>425101</v>
      </c>
      <c r="B175" s="6">
        <v>434</v>
      </c>
      <c r="C175" s="7" t="str">
        <f t="shared" si="9"/>
        <v>PremiumSS4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2"/>
        <v/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IFERROR(VLOOKUP(B175,input_425101!L:R,7,FALSE),VLOOKUP(tables_425101!C175,input_425101!A:H,8,FALSE))</f>
        <v>1762.866</v>
      </c>
      <c r="P175" s="46">
        <f t="shared" ca="1" si="10"/>
        <v>6.4811250000000207E-4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input_425101!A$2</f>
        <v>425101</v>
      </c>
      <c r="B176" s="6">
        <v>435</v>
      </c>
      <c r="C176" s="7" t="str">
        <f t="shared" si="9"/>
        <v>PremiumSS5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2"/>
        <v/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IFERROR(VLOOKUP(B176,input_425101!L:R,7,FALSE),VLOOKUP(tables_425101!C176,input_425101!A:H,8,FALSE))</f>
        <v>68</v>
      </c>
      <c r="P176" s="46">
        <f t="shared" ca="1" si="10"/>
        <v>2.5000000000000083E-5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input_425101!A$2</f>
        <v>425101</v>
      </c>
      <c r="B177" s="6">
        <v>436</v>
      </c>
      <c r="C177" s="7" t="str">
        <f t="shared" si="9"/>
        <v>Premium3</v>
      </c>
      <c r="D177" s="7" t="str">
        <f t="shared" si="11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2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IFERROR(VLOOKUP(B177,input_425101!L:R,7,FALSE),VLOOKUP(tables_425101!C177,input_425101!A:H,8,FALSE))</f>
        <v>7568</v>
      </c>
      <c r="P177" s="46">
        <f t="shared" ca="1" si="10"/>
        <v>2.7823529411764797E-3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input_425101!A$2</f>
        <v>425101</v>
      </c>
      <c r="B178" s="6">
        <v>437</v>
      </c>
      <c r="C178" s="7" t="str">
        <f t="shared" si="9"/>
        <v>Premium4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2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IFERROR(VLOOKUP(B178,input_425101!L:R,7,FALSE),VLOOKUP(tables_425101!C178,input_425101!A:H,8,FALSE))</f>
        <v>6304.1135400000003</v>
      </c>
      <c r="P178" s="46">
        <f t="shared" ca="1" si="10"/>
        <v>2.3176888014705961E-3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input_425101!A$2</f>
        <v>425101</v>
      </c>
      <c r="B179" s="6">
        <v>438</v>
      </c>
      <c r="C179" s="7" t="str">
        <f t="shared" si="9"/>
        <v>Premium5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2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IFERROR(VLOOKUP(B179,input_425101!L:R,7,FALSE),VLOOKUP(tables_425101!C179,input_425101!A:H,8,FALSE))</f>
        <v>249.71353999999999</v>
      </c>
      <c r="P179" s="46">
        <f t="shared" ca="1" si="10"/>
        <v>9.1806448529412066E-5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input_425101!A$2</f>
        <v>425101</v>
      </c>
      <c r="B180" s="6">
        <v>439</v>
      </c>
      <c r="C180" s="7" t="str">
        <f t="shared" si="9"/>
        <v>Premium3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2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IFERROR(VLOOKUP(B180,input_425101!L:R,7,FALSE),VLOOKUP(tables_425101!C180,input_425101!A:H,8,FALSE))</f>
        <v>7568</v>
      </c>
      <c r="P180" s="46">
        <f t="shared" ca="1" si="10"/>
        <v>2.7823529411764797E-3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input_425101!A$2</f>
        <v>425101</v>
      </c>
      <c r="B181" s="6">
        <v>440</v>
      </c>
      <c r="C181" s="7" t="str">
        <f t="shared" si="9"/>
        <v>Premium4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2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IFERROR(VLOOKUP(B181,input_425101!L:R,7,FALSE),VLOOKUP(tables_425101!C181,input_425101!A:H,8,FALSE))</f>
        <v>6304.1135400000003</v>
      </c>
      <c r="P181" s="46">
        <f t="shared" ca="1" si="10"/>
        <v>2.3176888014705961E-3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input_425101!A$2</f>
        <v>425101</v>
      </c>
      <c r="B182" s="6">
        <v>441</v>
      </c>
      <c r="C182" s="7" t="str">
        <f t="shared" si="9"/>
        <v>Premium5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2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IFERROR(VLOOKUP(B182,input_425101!L:R,7,FALSE),VLOOKUP(tables_425101!C182,input_425101!A:H,8,FALSE))</f>
        <v>249.71353999999999</v>
      </c>
      <c r="P182" s="46">
        <f t="shared" ca="1" si="10"/>
        <v>9.1806448529412066E-5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input_425101!A$2</f>
        <v>425101</v>
      </c>
      <c r="B183" s="6">
        <v>442</v>
      </c>
      <c r="C183" s="7" t="str">
        <f t="shared" si="9"/>
        <v>PremiumSS4color</v>
      </c>
      <c r="D183" s="7" t="str">
        <f t="shared" si="11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2"/>
        <v>color</v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IFERROR(VLOOKUP(B183,input_425101!L:R,7,FALSE),VLOOKUP(tables_425101!C183,input_425101!A:H,8,FALSE))</f>
        <v>6949.7408500000001</v>
      </c>
      <c r="P183" s="46">
        <f t="shared" ca="1" si="10"/>
        <v>2.5550517830882436E-3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input_425101!A$2</f>
        <v>425101</v>
      </c>
      <c r="B184" s="6">
        <v>443</v>
      </c>
      <c r="C184" s="7" t="str">
        <f t="shared" si="9"/>
        <v>PremiumSS5color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2"/>
        <v>color</v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IFERROR(VLOOKUP(B184,input_425101!L:R,7,FALSE),VLOOKUP(tables_425101!C184,input_425101!A:H,8,FALSE))</f>
        <v>291.42856999999998</v>
      </c>
      <c r="P184" s="46">
        <f t="shared" ca="1" si="10"/>
        <v>1.0714285661764741E-4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input_425101!A$2</f>
        <v>425101</v>
      </c>
      <c r="B185" s="8">
        <v>462</v>
      </c>
      <c r="C185" s="7" t="str">
        <f t="shared" si="9"/>
        <v>Premium3</v>
      </c>
      <c r="D185" s="7" t="str">
        <f t="shared" si="11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2"/>
        <v/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IFERROR(VLOOKUP(B185,input_425101!L:R,7,FALSE),VLOOKUP(tables_425101!C185,input_425101!A:H,8,FALSE))</f>
        <v>7568</v>
      </c>
      <c r="P185" s="46">
        <f t="shared" ca="1" si="10"/>
        <v>2.7823529411764797E-3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input_425101!A$2</f>
        <v>425101</v>
      </c>
      <c r="B186" s="8">
        <v>463</v>
      </c>
      <c r="C186" s="7" t="str">
        <f t="shared" si="9"/>
        <v>Premium4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2"/>
        <v/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IFERROR(VLOOKUP(B186,input_425101!L:R,7,FALSE),VLOOKUP(tables_425101!C186,input_425101!A:H,8,FALSE))</f>
        <v>6304.1135400000003</v>
      </c>
      <c r="P186" s="46">
        <f t="shared" ca="1" si="10"/>
        <v>2.3176888014705961E-3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input_425101!A$2</f>
        <v>425101</v>
      </c>
      <c r="B187" s="8">
        <v>464</v>
      </c>
      <c r="C187" s="7" t="str">
        <f t="shared" si="9"/>
        <v>Premium5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2"/>
        <v/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IFERROR(VLOOKUP(B187,input_425101!L:R,7,FALSE),VLOOKUP(tables_425101!C187,input_425101!A:H,8,FALSE))</f>
        <v>249.71353999999999</v>
      </c>
      <c r="P187" s="46">
        <f t="shared" ca="1" si="10"/>
        <v>9.1806448529412066E-5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input_425101!A$2</f>
        <v>425101</v>
      </c>
      <c r="B188" s="8">
        <v>465</v>
      </c>
      <c r="C188" s="7" t="str">
        <f t="shared" si="9"/>
        <v>PremiumSS4</v>
      </c>
      <c r="D188" s="7" t="str">
        <f t="shared" si="11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2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IFERROR(VLOOKUP(B188,input_425101!L:R,7,FALSE),VLOOKUP(tables_425101!C188,input_425101!A:H,8,FALSE))</f>
        <v>1762.866</v>
      </c>
      <c r="P188" s="46">
        <f t="shared" ca="1" si="10"/>
        <v>6.4811250000000207E-4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input_425101!A$2</f>
        <v>425101</v>
      </c>
      <c r="B189" s="6">
        <v>466</v>
      </c>
      <c r="C189" s="7" t="str">
        <f t="shared" si="9"/>
        <v>PremiumSS5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2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IFERROR(VLOOKUP(B189,input_425101!L:R,7,FALSE),VLOOKUP(tables_425101!C189,input_425101!A:H,8,FALSE))</f>
        <v>68</v>
      </c>
      <c r="P189" s="46">
        <f t="shared" ca="1" si="10"/>
        <v>2.5000000000000083E-5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input_425101!A$2</f>
        <v>425101</v>
      </c>
      <c r="B190" s="6">
        <v>467</v>
      </c>
      <c r="C190" s="7" t="str">
        <f t="shared" si="9"/>
        <v>PremiumSS4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2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IFERROR(VLOOKUP(B190,input_425101!L:R,7,FALSE),VLOOKUP(tables_425101!C190,input_425101!A:H,8,FALSE))</f>
        <v>1762.866</v>
      </c>
      <c r="P190" s="46">
        <f t="shared" ca="1" si="10"/>
        <v>6.4811250000000207E-4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input_425101!A$2</f>
        <v>425101</v>
      </c>
      <c r="B191" s="6">
        <v>468</v>
      </c>
      <c r="C191" s="7" t="str">
        <f t="shared" si="9"/>
        <v>PremiumSS5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2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IFERROR(VLOOKUP(B191,input_425101!L:R,7,FALSE),VLOOKUP(tables_425101!C191,input_425101!A:H,8,FALSE))</f>
        <v>68</v>
      </c>
      <c r="P191" s="46">
        <f t="shared" ca="1" si="10"/>
        <v>2.5000000000000083E-5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input_425101!A$2</f>
        <v>425101</v>
      </c>
      <c r="B192" s="6">
        <v>469</v>
      </c>
      <c r="C192" s="7" t="str">
        <f t="shared" si="9"/>
        <v>Premium3color</v>
      </c>
      <c r="D192" s="7" t="str">
        <f t="shared" si="11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2"/>
        <v>color</v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IFERROR(VLOOKUP(B192,input_425101!L:R,7,FALSE),VLOOKUP(tables_425101!C192,input_425101!A:H,8,FALSE))</f>
        <v>35088</v>
      </c>
      <c r="P192" s="46">
        <f t="shared" ca="1" si="10"/>
        <v>1.2900000000000042E-2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input_425101!A$2</f>
        <v>425101</v>
      </c>
      <c r="B193" s="6">
        <v>470</v>
      </c>
      <c r="C193" s="7" t="str">
        <f t="shared" si="9"/>
        <v>Premium4color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2"/>
        <v>color</v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IFERROR(VLOOKUP(B193,input_425101!L:R,7,FALSE),VLOOKUP(tables_425101!C193,input_425101!A:H,8,FALSE))</f>
        <v>31978.83511</v>
      </c>
      <c r="P193" s="46">
        <f t="shared" ca="1" si="10"/>
        <v>1.1756924672794156E-2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input_425101!A$2</f>
        <v>425101</v>
      </c>
      <c r="B194" s="6">
        <v>471</v>
      </c>
      <c r="C194" s="7" t="str">
        <f t="shared" ref="C194:C257" si="13">D194&amp;J194&amp;E194&amp;F194&amp;G194</f>
        <v>Premium5color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2"/>
        <v>color</v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IFERROR(VLOOKUP(B194,input_425101!L:R,7,FALSE),VLOOKUP(tables_425101!C194,input_425101!A:H,8,FALSE))</f>
        <v>3109.16489</v>
      </c>
      <c r="P194" s="46">
        <f t="shared" ref="P194:P257" ca="1" si="14">O194/SUM(O:O)</f>
        <v>1.143075327205886E-3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input_425101!A$2</f>
        <v>425101</v>
      </c>
      <c r="B195" s="6">
        <v>474</v>
      </c>
      <c r="C195" s="7" t="str">
        <f t="shared" si="13"/>
        <v>PremiumSS4</v>
      </c>
      <c r="D195" s="7" t="str">
        <f t="shared" ref="D195:D258" si="15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2"/>
        <v/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IFERROR(VLOOKUP(B195,input_425101!L:R,7,FALSE),VLOOKUP(tables_425101!C195,input_425101!A:H,8,FALSE))</f>
        <v>1762.866</v>
      </c>
      <c r="P195" s="46">
        <f t="shared" ca="1" si="14"/>
        <v>6.4811250000000207E-4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input_425101!A$2</f>
        <v>425101</v>
      </c>
      <c r="B196" s="6">
        <v>475</v>
      </c>
      <c r="C196" s="7" t="str">
        <f t="shared" si="13"/>
        <v>PremiumSS5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2"/>
        <v/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IFERROR(VLOOKUP(B196,input_425101!L:R,7,FALSE),VLOOKUP(tables_425101!C196,input_425101!A:H,8,FALSE))</f>
        <v>68</v>
      </c>
      <c r="P196" s="46">
        <f t="shared" ca="1" si="14"/>
        <v>2.5000000000000083E-5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input_425101!A$2</f>
        <v>425101</v>
      </c>
      <c r="B197" s="6">
        <v>476</v>
      </c>
      <c r="C197" s="7" t="str">
        <f t="shared" si="13"/>
        <v>Premium3</v>
      </c>
      <c r="D197" s="7" t="str">
        <f t="shared" si="15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2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IFERROR(VLOOKUP(B197,input_425101!L:R,7,FALSE),VLOOKUP(tables_425101!C197,input_425101!A:H,8,FALSE))</f>
        <v>7568</v>
      </c>
      <c r="P197" s="46">
        <f t="shared" ca="1" si="14"/>
        <v>2.7823529411764797E-3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input_425101!A$2</f>
        <v>425101</v>
      </c>
      <c r="B198" s="6">
        <v>477</v>
      </c>
      <c r="C198" s="7" t="str">
        <f t="shared" si="13"/>
        <v>Premium4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2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IFERROR(VLOOKUP(B198,input_425101!L:R,7,FALSE),VLOOKUP(tables_425101!C198,input_425101!A:H,8,FALSE))</f>
        <v>6304.1135400000003</v>
      </c>
      <c r="P198" s="46">
        <f t="shared" ca="1" si="14"/>
        <v>2.3176888014705961E-3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input_425101!A$2</f>
        <v>425101</v>
      </c>
      <c r="B199" s="6">
        <v>478</v>
      </c>
      <c r="C199" s="7" t="str">
        <f t="shared" si="13"/>
        <v>Premium5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2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IFERROR(VLOOKUP(B199,input_425101!L:R,7,FALSE),VLOOKUP(tables_425101!C199,input_425101!A:H,8,FALSE))</f>
        <v>249.71353999999999</v>
      </c>
      <c r="P199" s="46">
        <f t="shared" ca="1" si="14"/>
        <v>9.1806448529412066E-5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input_425101!A$2</f>
        <v>425101</v>
      </c>
      <c r="B200" s="6">
        <v>479</v>
      </c>
      <c r="C200" s="7" t="str">
        <f t="shared" si="13"/>
        <v>PremiumSS4</v>
      </c>
      <c r="D200" s="7" t="str">
        <f t="shared" si="15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ref="G200:G263" si="16">IF(K200="yellow","color","")</f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IFERROR(VLOOKUP(B200,input_425101!L:R,7,FALSE),VLOOKUP(tables_425101!C200,input_425101!A:H,8,FALSE))</f>
        <v>1762.866</v>
      </c>
      <c r="P200" s="46">
        <f t="shared" ca="1" si="14"/>
        <v>6.4811250000000207E-4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input_425101!A$2</f>
        <v>425101</v>
      </c>
      <c r="B201" s="6">
        <v>480</v>
      </c>
      <c r="C201" s="7" t="str">
        <f t="shared" si="13"/>
        <v>PremiumSS5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6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IFERROR(VLOOKUP(B201,input_425101!L:R,7,FALSE),VLOOKUP(tables_425101!C201,input_425101!A:H,8,FALSE))</f>
        <v>68</v>
      </c>
      <c r="P201" s="46">
        <f t="shared" ca="1" si="14"/>
        <v>2.5000000000000083E-5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input_425101!A$2</f>
        <v>425101</v>
      </c>
      <c r="B202" s="6">
        <v>481</v>
      </c>
      <c r="C202" s="7" t="str">
        <f t="shared" si="13"/>
        <v>Premium3color</v>
      </c>
      <c r="D202" s="7" t="str">
        <f t="shared" si="15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6"/>
        <v>color</v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IFERROR(VLOOKUP(B202,input_425101!L:R,7,FALSE),VLOOKUP(tables_425101!C202,input_425101!A:H,8,FALSE))</f>
        <v>35088</v>
      </c>
      <c r="P202" s="46">
        <f t="shared" ca="1" si="14"/>
        <v>1.2900000000000042E-2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input_425101!A$2</f>
        <v>425101</v>
      </c>
      <c r="B203" s="6">
        <v>482</v>
      </c>
      <c r="C203" s="7" t="str">
        <f t="shared" si="13"/>
        <v>Premium4color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6"/>
        <v>color</v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IFERROR(VLOOKUP(B203,input_425101!L:R,7,FALSE),VLOOKUP(tables_425101!C203,input_425101!A:H,8,FALSE))</f>
        <v>31978.83511</v>
      </c>
      <c r="P203" s="46">
        <f t="shared" ca="1" si="14"/>
        <v>1.1756924672794156E-2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input_425101!A$2</f>
        <v>425101</v>
      </c>
      <c r="B204" s="6">
        <v>483</v>
      </c>
      <c r="C204" s="7" t="str">
        <f t="shared" si="13"/>
        <v>Premium5color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6"/>
        <v>color</v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IFERROR(VLOOKUP(B204,input_425101!L:R,7,FALSE),VLOOKUP(tables_425101!C204,input_425101!A:H,8,FALSE))</f>
        <v>3109.16489</v>
      </c>
      <c r="P204" s="46">
        <f t="shared" ca="1" si="14"/>
        <v>1.143075327205886E-3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input_425101!A$2</f>
        <v>425101</v>
      </c>
      <c r="B205" s="6">
        <v>492</v>
      </c>
      <c r="C205" s="7" t="str">
        <f t="shared" si="13"/>
        <v>PremiumSS4</v>
      </c>
      <c r="D205" s="7" t="str">
        <f t="shared" si="15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6"/>
        <v/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IFERROR(VLOOKUP(B205,input_425101!L:R,7,FALSE),VLOOKUP(tables_425101!C205,input_425101!A:H,8,FALSE))</f>
        <v>1762.866</v>
      </c>
      <c r="P205" s="46">
        <f t="shared" ca="1" si="14"/>
        <v>6.4811250000000207E-4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input_425101!A$2</f>
        <v>425101</v>
      </c>
      <c r="B206" s="6">
        <v>493</v>
      </c>
      <c r="C206" s="7" t="str">
        <f t="shared" si="13"/>
        <v>PremiumSS5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6"/>
        <v/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IFERROR(VLOOKUP(B206,input_425101!L:R,7,FALSE),VLOOKUP(tables_425101!C206,input_425101!A:H,8,FALSE))</f>
        <v>68</v>
      </c>
      <c r="P206" s="46">
        <f t="shared" ca="1" si="14"/>
        <v>2.5000000000000083E-5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input_425101!A$2</f>
        <v>425101</v>
      </c>
      <c r="B207" s="6">
        <v>494</v>
      </c>
      <c r="C207" s="7" t="str">
        <f t="shared" si="13"/>
        <v>PremiumSS4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6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IFERROR(VLOOKUP(B207,input_425101!L:R,7,FALSE),VLOOKUP(tables_425101!C207,input_425101!A:H,8,FALSE))</f>
        <v>1762.866</v>
      </c>
      <c r="P207" s="46">
        <f t="shared" ca="1" si="14"/>
        <v>6.4811250000000207E-4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input_425101!A$2</f>
        <v>425101</v>
      </c>
      <c r="B208" s="6">
        <v>495</v>
      </c>
      <c r="C208" s="7" t="str">
        <f t="shared" si="13"/>
        <v>PremiumSS5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6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IFERROR(VLOOKUP(B208,input_425101!L:R,7,FALSE),VLOOKUP(tables_425101!C208,input_425101!A:H,8,FALSE))</f>
        <v>68</v>
      </c>
      <c r="P208" s="46">
        <f t="shared" ca="1" si="14"/>
        <v>2.5000000000000083E-5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input_425101!A$2</f>
        <v>425101</v>
      </c>
      <c r="B209" s="6">
        <v>496</v>
      </c>
      <c r="C209" s="7" t="str">
        <f t="shared" si="13"/>
        <v>Premium3</v>
      </c>
      <c r="D209" s="7" t="str">
        <f t="shared" si="15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6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IFERROR(VLOOKUP(B209,input_425101!L:R,7,FALSE),VLOOKUP(tables_425101!C209,input_425101!A:H,8,FALSE))</f>
        <v>7568</v>
      </c>
      <c r="P209" s="46">
        <f t="shared" ca="1" si="14"/>
        <v>2.7823529411764797E-3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input_425101!A$2</f>
        <v>425101</v>
      </c>
      <c r="B210" s="6">
        <v>497</v>
      </c>
      <c r="C210" s="7" t="str">
        <f t="shared" si="13"/>
        <v>Premium4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6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IFERROR(VLOOKUP(B210,input_425101!L:R,7,FALSE),VLOOKUP(tables_425101!C210,input_425101!A:H,8,FALSE))</f>
        <v>6304.1135400000003</v>
      </c>
      <c r="P210" s="46">
        <f t="shared" ca="1" si="14"/>
        <v>2.3176888014705961E-3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input_425101!A$2</f>
        <v>425101</v>
      </c>
      <c r="B211" s="6">
        <v>498</v>
      </c>
      <c r="C211" s="7" t="str">
        <f t="shared" si="13"/>
        <v>Premium5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6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IFERROR(VLOOKUP(B211,input_425101!L:R,7,FALSE),VLOOKUP(tables_425101!C211,input_425101!A:H,8,FALSE))</f>
        <v>249.71353999999999</v>
      </c>
      <c r="P211" s="46">
        <f t="shared" ca="1" si="14"/>
        <v>9.1806448529412066E-5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input_425101!A$2</f>
        <v>425101</v>
      </c>
      <c r="B212" s="6">
        <v>499</v>
      </c>
      <c r="C212" s="7" t="str">
        <f t="shared" si="13"/>
        <v>PremiumSS4color</v>
      </c>
      <c r="D212" s="7" t="str">
        <f t="shared" si="15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6"/>
        <v>color</v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IFERROR(VLOOKUP(B212,input_425101!L:R,7,FALSE),VLOOKUP(tables_425101!C212,input_425101!A:H,8,FALSE))</f>
        <v>6949.7408500000001</v>
      </c>
      <c r="P212" s="46">
        <f t="shared" ca="1" si="14"/>
        <v>2.5550517830882436E-3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input_425101!A$2</f>
        <v>425101</v>
      </c>
      <c r="B213" s="6">
        <v>500</v>
      </c>
      <c r="C213" s="7" t="str">
        <f t="shared" si="13"/>
        <v>PremiumSS5color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6"/>
        <v>color</v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IFERROR(VLOOKUP(B213,input_425101!L:R,7,FALSE),VLOOKUP(tables_425101!C213,input_425101!A:H,8,FALSE))</f>
        <v>291.42856999999998</v>
      </c>
      <c r="P213" s="46">
        <f t="shared" ca="1" si="14"/>
        <v>1.0714285661764741E-4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input_425101!A$2</f>
        <v>425101</v>
      </c>
      <c r="B214" s="6">
        <v>586</v>
      </c>
      <c r="C214" s="7" t="str">
        <f t="shared" si="13"/>
        <v>PremiumSS4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6"/>
        <v/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IFERROR(VLOOKUP(B214,input_425101!L:R,7,FALSE),VLOOKUP(tables_425101!C214,input_425101!A:H,8,FALSE))</f>
        <v>1762.866</v>
      </c>
      <c r="P214" s="46">
        <f t="shared" ca="1" si="14"/>
        <v>6.4811250000000207E-4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input_425101!A$2</f>
        <v>425101</v>
      </c>
      <c r="B215" s="6">
        <v>587</v>
      </c>
      <c r="C215" s="7" t="str">
        <f t="shared" si="13"/>
        <v>PremiumSS5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6"/>
        <v/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IFERROR(VLOOKUP(B215,input_425101!L:R,7,FALSE),VLOOKUP(tables_425101!C215,input_425101!A:H,8,FALSE))</f>
        <v>68</v>
      </c>
      <c r="P215" s="46">
        <f t="shared" ca="1" si="14"/>
        <v>2.5000000000000083E-5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input_425101!A$2</f>
        <v>425101</v>
      </c>
      <c r="B216" s="6">
        <v>588</v>
      </c>
      <c r="C216" s="7" t="str">
        <f t="shared" si="13"/>
        <v>Premium3</v>
      </c>
      <c r="D216" s="7" t="str">
        <f t="shared" si="15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6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IFERROR(VLOOKUP(B216,input_425101!L:R,7,FALSE),VLOOKUP(tables_425101!C216,input_425101!A:H,8,FALSE))</f>
        <v>7568</v>
      </c>
      <c r="P216" s="46">
        <f t="shared" ca="1" si="14"/>
        <v>2.7823529411764797E-3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input_425101!A$2</f>
        <v>425101</v>
      </c>
      <c r="B217" s="6">
        <v>589</v>
      </c>
      <c r="C217" s="7" t="str">
        <f t="shared" si="13"/>
        <v>Premium4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6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IFERROR(VLOOKUP(B217,input_425101!L:R,7,FALSE),VLOOKUP(tables_425101!C217,input_425101!A:H,8,FALSE))</f>
        <v>6304.1135400000003</v>
      </c>
      <c r="P217" s="46">
        <f t="shared" ca="1" si="14"/>
        <v>2.3176888014705961E-3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input_425101!A$2</f>
        <v>425101</v>
      </c>
      <c r="B218" s="6">
        <v>590</v>
      </c>
      <c r="C218" s="7" t="str">
        <f t="shared" si="13"/>
        <v>Premium5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6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IFERROR(VLOOKUP(B218,input_425101!L:R,7,FALSE),VLOOKUP(tables_425101!C218,input_425101!A:H,8,FALSE))</f>
        <v>249.71353999999999</v>
      </c>
      <c r="P218" s="46">
        <f t="shared" ca="1" si="14"/>
        <v>9.1806448529412066E-5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input_425101!A$2</f>
        <v>425101</v>
      </c>
      <c r="B219" s="6">
        <v>591</v>
      </c>
      <c r="C219" s="7" t="str">
        <f t="shared" si="13"/>
        <v>Premium3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6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IFERROR(VLOOKUP(B219,input_425101!L:R,7,FALSE),VLOOKUP(tables_425101!C219,input_425101!A:H,8,FALSE))</f>
        <v>7568</v>
      </c>
      <c r="P219" s="46">
        <f t="shared" ca="1" si="14"/>
        <v>2.7823529411764797E-3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input_425101!A$2</f>
        <v>425101</v>
      </c>
      <c r="B220" s="6">
        <v>592</v>
      </c>
      <c r="C220" s="7" t="str">
        <f t="shared" si="13"/>
        <v>Premium4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6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IFERROR(VLOOKUP(B220,input_425101!L:R,7,FALSE),VLOOKUP(tables_425101!C220,input_425101!A:H,8,FALSE))</f>
        <v>6304.1135400000003</v>
      </c>
      <c r="P220" s="46">
        <f t="shared" ca="1" si="14"/>
        <v>2.3176888014705961E-3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input_425101!A$2</f>
        <v>425101</v>
      </c>
      <c r="B221" s="6">
        <v>593</v>
      </c>
      <c r="C221" s="7" t="str">
        <f t="shared" si="13"/>
        <v>Premium5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6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IFERROR(VLOOKUP(B221,input_425101!L:R,7,FALSE),VLOOKUP(tables_425101!C221,input_425101!A:H,8,FALSE))</f>
        <v>249.71353999999999</v>
      </c>
      <c r="P221" s="46">
        <f t="shared" ca="1" si="14"/>
        <v>9.1806448529412066E-5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input_425101!A$2</f>
        <v>425101</v>
      </c>
      <c r="B222" s="6">
        <v>594</v>
      </c>
      <c r="C222" s="7" t="str">
        <f t="shared" si="13"/>
        <v>PremiumSS4color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6"/>
        <v>color</v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IFERROR(VLOOKUP(B222,input_425101!L:R,7,FALSE),VLOOKUP(tables_425101!C222,input_425101!A:H,8,FALSE))</f>
        <v>6949.7408500000001</v>
      </c>
      <c r="P222" s="46">
        <f t="shared" ca="1" si="14"/>
        <v>2.5550517830882436E-3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input_425101!A$2</f>
        <v>425101</v>
      </c>
      <c r="B223" s="6">
        <v>595</v>
      </c>
      <c r="C223" s="7" t="str">
        <f t="shared" si="13"/>
        <v>PremiumSS5color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6"/>
        <v>color</v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IFERROR(VLOOKUP(B223,input_425101!L:R,7,FALSE),VLOOKUP(tables_425101!C223,input_425101!A:H,8,FALSE))</f>
        <v>291.42856999999998</v>
      </c>
      <c r="P223" s="46">
        <f t="shared" ca="1" si="14"/>
        <v>1.0714285661764741E-4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input_425101!A$2</f>
        <v>425101</v>
      </c>
      <c r="B224" s="6">
        <v>596</v>
      </c>
      <c r="C224" s="7" t="str">
        <f t="shared" si="13"/>
        <v>Premium3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6"/>
        <v/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IFERROR(VLOOKUP(B224,input_425101!L:R,7,FALSE),VLOOKUP(tables_425101!C224,input_425101!A:H,8,FALSE))</f>
        <v>7568</v>
      </c>
      <c r="P224" s="46">
        <f t="shared" ca="1" si="14"/>
        <v>2.7823529411764797E-3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input_425101!A$2</f>
        <v>425101</v>
      </c>
      <c r="B225" s="6">
        <v>597</v>
      </c>
      <c r="C225" s="7" t="str">
        <f t="shared" si="13"/>
        <v>Premium4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6"/>
        <v/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IFERROR(VLOOKUP(B225,input_425101!L:R,7,FALSE),VLOOKUP(tables_425101!C225,input_425101!A:H,8,FALSE))</f>
        <v>6304.1135400000003</v>
      </c>
      <c r="P225" s="46">
        <f t="shared" ca="1" si="14"/>
        <v>2.3176888014705961E-3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input_425101!A$2</f>
        <v>425101</v>
      </c>
      <c r="B226" s="6">
        <v>598</v>
      </c>
      <c r="C226" s="7" t="str">
        <f t="shared" si="13"/>
        <v>Premium5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6"/>
        <v/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IFERROR(VLOOKUP(B226,input_425101!L:R,7,FALSE),VLOOKUP(tables_425101!C226,input_425101!A:H,8,FALSE))</f>
        <v>249.71353999999999</v>
      </c>
      <c r="P226" s="46">
        <f t="shared" ca="1" si="14"/>
        <v>9.1806448529412066E-5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input_425101!A$2</f>
        <v>425101</v>
      </c>
      <c r="B227" s="6">
        <v>599</v>
      </c>
      <c r="C227" s="7" t="str">
        <f t="shared" si="13"/>
        <v>Premium3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6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IFERROR(VLOOKUP(B227,input_425101!L:R,7,FALSE),VLOOKUP(tables_425101!C227,input_425101!A:H,8,FALSE))</f>
        <v>7568</v>
      </c>
      <c r="P227" s="46">
        <f t="shared" ca="1" si="14"/>
        <v>2.7823529411764797E-3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input_425101!A$2</f>
        <v>425101</v>
      </c>
      <c r="B228" s="6">
        <v>600</v>
      </c>
      <c r="C228" s="7" t="str">
        <f t="shared" si="13"/>
        <v>Premium4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6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IFERROR(VLOOKUP(B228,input_425101!L:R,7,FALSE),VLOOKUP(tables_425101!C228,input_425101!A:H,8,FALSE))</f>
        <v>6304.1135400000003</v>
      </c>
      <c r="P228" s="46">
        <f t="shared" ca="1" si="14"/>
        <v>2.3176888014705961E-3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input_425101!A$2</f>
        <v>425101</v>
      </c>
      <c r="B229" s="6">
        <v>601</v>
      </c>
      <c r="C229" s="7" t="str">
        <f t="shared" si="13"/>
        <v>Premium5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6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IFERROR(VLOOKUP(B229,input_425101!L:R,7,FALSE),VLOOKUP(tables_425101!C229,input_425101!A:H,8,FALSE))</f>
        <v>249.71353999999999</v>
      </c>
      <c r="P229" s="46">
        <f t="shared" ca="1" si="14"/>
        <v>9.1806448529412066E-5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input_425101!A$2</f>
        <v>425101</v>
      </c>
      <c r="B230" s="6">
        <v>602</v>
      </c>
      <c r="C230" s="7" t="str">
        <f t="shared" si="13"/>
        <v>PremiumSS4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6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IFERROR(VLOOKUP(B230,input_425101!L:R,7,FALSE),VLOOKUP(tables_425101!C230,input_425101!A:H,8,FALSE))</f>
        <v>1762.866</v>
      </c>
      <c r="P230" s="46">
        <f t="shared" ca="1" si="14"/>
        <v>6.4811250000000207E-4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input_425101!A$2</f>
        <v>425101</v>
      </c>
      <c r="B231" s="6">
        <v>603</v>
      </c>
      <c r="C231" s="7" t="str">
        <f t="shared" si="13"/>
        <v>PremiumSS5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6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IFERROR(VLOOKUP(B231,input_425101!L:R,7,FALSE),VLOOKUP(tables_425101!C231,input_425101!A:H,8,FALSE))</f>
        <v>68</v>
      </c>
      <c r="P231" s="46">
        <f t="shared" ca="1" si="14"/>
        <v>2.5000000000000083E-5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input_425101!A$2</f>
        <v>425101</v>
      </c>
      <c r="B232" s="6">
        <v>604</v>
      </c>
      <c r="C232" s="7" t="str">
        <f t="shared" si="13"/>
        <v>Premium3color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6"/>
        <v>color</v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IFERROR(VLOOKUP(B232,input_425101!L:R,7,FALSE),VLOOKUP(tables_425101!C232,input_425101!A:H,8,FALSE))</f>
        <v>35088</v>
      </c>
      <c r="P232" s="46">
        <f t="shared" ca="1" si="14"/>
        <v>1.2900000000000042E-2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input_425101!A$2</f>
        <v>425101</v>
      </c>
      <c r="B233" s="6">
        <v>605</v>
      </c>
      <c r="C233" s="7" t="str">
        <f t="shared" si="13"/>
        <v>Premium4color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6"/>
        <v>color</v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IFERROR(VLOOKUP(B233,input_425101!L:R,7,FALSE),VLOOKUP(tables_425101!C233,input_425101!A:H,8,FALSE))</f>
        <v>31978.83511</v>
      </c>
      <c r="P233" s="46">
        <f t="shared" ca="1" si="14"/>
        <v>1.1756924672794156E-2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input_425101!A$2</f>
        <v>425101</v>
      </c>
      <c r="B234" s="6">
        <v>606</v>
      </c>
      <c r="C234" s="7" t="str">
        <f t="shared" si="13"/>
        <v>Premium5color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6"/>
        <v>color</v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IFERROR(VLOOKUP(B234,input_425101!L:R,7,FALSE),VLOOKUP(tables_425101!C234,input_425101!A:H,8,FALSE))</f>
        <v>3109.16489</v>
      </c>
      <c r="P234" s="46">
        <f t="shared" ca="1" si="14"/>
        <v>1.143075327205886E-3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input_425101!A$2</f>
        <v>425101</v>
      </c>
      <c r="B235" s="6">
        <v>658</v>
      </c>
      <c r="C235" s="7" t="str">
        <f t="shared" si="13"/>
        <v>PremiumSS4</v>
      </c>
      <c r="D235" s="7" t="str">
        <f t="shared" si="15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6"/>
        <v/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IFERROR(VLOOKUP(B235,input_425101!L:R,7,FALSE),VLOOKUP(tables_425101!C235,input_425101!A:H,8,FALSE))</f>
        <v>1762.866</v>
      </c>
      <c r="P235" s="46">
        <f t="shared" ca="1" si="14"/>
        <v>6.4811250000000207E-4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input_425101!A$2</f>
        <v>425101</v>
      </c>
      <c r="B236" s="6">
        <v>659</v>
      </c>
      <c r="C236" s="7" t="str">
        <f t="shared" si="13"/>
        <v>PremiumSS5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6"/>
        <v/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IFERROR(VLOOKUP(B236,input_425101!L:R,7,FALSE),VLOOKUP(tables_425101!C236,input_425101!A:H,8,FALSE))</f>
        <v>68</v>
      </c>
      <c r="P236" s="46">
        <f t="shared" ca="1" si="14"/>
        <v>2.5000000000000083E-5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input_425101!A$2</f>
        <v>425101</v>
      </c>
      <c r="B237" s="6">
        <v>660</v>
      </c>
      <c r="C237" s="7" t="str">
        <f t="shared" si="13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6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IFERROR(VLOOKUP(B237,input_425101!L:R,7,FALSE),VLOOKUP(tables_425101!C237,input_425101!A:H,8,FALSE))</f>
        <v>1762.866</v>
      </c>
      <c r="P237" s="46">
        <f t="shared" ca="1" si="14"/>
        <v>6.4811250000000207E-4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input_425101!A$2</f>
        <v>425101</v>
      </c>
      <c r="B238" s="6">
        <v>661</v>
      </c>
      <c r="C238" s="7" t="str">
        <f t="shared" si="13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6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IFERROR(VLOOKUP(B238,input_425101!L:R,7,FALSE),VLOOKUP(tables_425101!C238,input_425101!A:H,8,FALSE))</f>
        <v>68</v>
      </c>
      <c r="P238" s="46">
        <f t="shared" ca="1" si="14"/>
        <v>2.5000000000000083E-5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input_425101!A$2</f>
        <v>425101</v>
      </c>
      <c r="B239" s="6">
        <v>662</v>
      </c>
      <c r="C239" s="7" t="str">
        <f t="shared" si="13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6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IFERROR(VLOOKUP(B239,input_425101!L:R,7,FALSE),VLOOKUP(tables_425101!C239,input_425101!A:H,8,FALSE))</f>
        <v>7568</v>
      </c>
      <c r="P239" s="46">
        <f t="shared" ca="1" si="14"/>
        <v>2.7823529411764797E-3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input_425101!A$2</f>
        <v>425101</v>
      </c>
      <c r="B240" s="6">
        <v>663</v>
      </c>
      <c r="C240" s="7" t="str">
        <f t="shared" si="13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6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IFERROR(VLOOKUP(B240,input_425101!L:R,7,FALSE),VLOOKUP(tables_425101!C240,input_425101!A:H,8,FALSE))</f>
        <v>6304.1135400000003</v>
      </c>
      <c r="P240" s="46">
        <f t="shared" ca="1" si="14"/>
        <v>2.3176888014705961E-3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input_425101!A$2</f>
        <v>425101</v>
      </c>
      <c r="B241" s="6">
        <v>664</v>
      </c>
      <c r="C241" s="7" t="str">
        <f t="shared" si="13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6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IFERROR(VLOOKUP(B241,input_425101!L:R,7,FALSE),VLOOKUP(tables_425101!C241,input_425101!A:H,8,FALSE))</f>
        <v>249.71353999999999</v>
      </c>
      <c r="P241" s="46">
        <f t="shared" ca="1" si="14"/>
        <v>9.1806448529412066E-5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input_425101!A$2</f>
        <v>425101</v>
      </c>
      <c r="B242" s="6">
        <v>665</v>
      </c>
      <c r="C242" s="7" t="str">
        <f t="shared" si="13"/>
        <v>Premium3color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6"/>
        <v>color</v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IFERROR(VLOOKUP(B242,input_425101!L:R,7,FALSE),VLOOKUP(tables_425101!C242,input_425101!A:H,8,FALSE))</f>
        <v>35088</v>
      </c>
      <c r="P242" s="46">
        <f t="shared" ca="1" si="14"/>
        <v>1.2900000000000042E-2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input_425101!A$2</f>
        <v>425101</v>
      </c>
      <c r="B243" s="6">
        <v>666</v>
      </c>
      <c r="C243" s="7" t="str">
        <f t="shared" si="13"/>
        <v>Premium4color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6"/>
        <v>color</v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IFERROR(VLOOKUP(B243,input_425101!L:R,7,FALSE),VLOOKUP(tables_425101!C243,input_425101!A:H,8,FALSE))</f>
        <v>31978.83511</v>
      </c>
      <c r="P243" s="46">
        <f t="shared" ca="1" si="14"/>
        <v>1.1756924672794156E-2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input_425101!A$2</f>
        <v>425101</v>
      </c>
      <c r="B244" s="6">
        <v>667</v>
      </c>
      <c r="C244" s="7" t="str">
        <f t="shared" si="13"/>
        <v>Premium5color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6"/>
        <v>color</v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IFERROR(VLOOKUP(B244,input_425101!L:R,7,FALSE),VLOOKUP(tables_425101!C244,input_425101!A:H,8,FALSE))</f>
        <v>3109.16489</v>
      </c>
      <c r="P244" s="46">
        <f t="shared" ca="1" si="14"/>
        <v>1.143075327205886E-3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input_425101!A$2</f>
        <v>425101</v>
      </c>
      <c r="B245" s="60">
        <v>668</v>
      </c>
      <c r="C245" s="7" t="str">
        <f t="shared" si="13"/>
        <v>Premium3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6"/>
        <v/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IFERROR(VLOOKUP(B245,input_425101!L:R,7,FALSE),VLOOKUP(tables_425101!C245,input_425101!A:H,8,FALSE))</f>
        <v>7568</v>
      </c>
      <c r="P245" s="46">
        <f t="shared" ca="1" si="14"/>
        <v>2.7823529411764797E-3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input_425101!A$2</f>
        <v>425101</v>
      </c>
      <c r="B246" s="60">
        <v>669</v>
      </c>
      <c r="C246" s="7" t="str">
        <f t="shared" si="13"/>
        <v>Premium4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6"/>
        <v/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IFERROR(VLOOKUP(B246,input_425101!L:R,7,FALSE),VLOOKUP(tables_425101!C246,input_425101!A:H,8,FALSE))</f>
        <v>6304.1135400000003</v>
      </c>
      <c r="P246" s="46">
        <f t="shared" ca="1" si="14"/>
        <v>2.3176888014705961E-3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input_425101!A$2</f>
        <v>425101</v>
      </c>
      <c r="B247" s="60">
        <v>670</v>
      </c>
      <c r="C247" s="7" t="str">
        <f t="shared" si="13"/>
        <v>Premium5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6"/>
        <v/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IFERROR(VLOOKUP(B247,input_425101!L:R,7,FALSE),VLOOKUP(tables_425101!C247,input_425101!A:H,8,FALSE))</f>
        <v>249.71353999999999</v>
      </c>
      <c r="P247" s="46">
        <f t="shared" ca="1" si="14"/>
        <v>9.1806448529412066E-5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input_425101!A$2</f>
        <v>425101</v>
      </c>
      <c r="B248" s="60">
        <v>671</v>
      </c>
      <c r="C248" s="7" t="str">
        <f t="shared" si="13"/>
        <v>Premium3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6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IFERROR(VLOOKUP(B248,input_425101!L:R,7,FALSE),VLOOKUP(tables_425101!C248,input_425101!A:H,8,FALSE))</f>
        <v>7568</v>
      </c>
      <c r="P248" s="46">
        <f t="shared" ca="1" si="14"/>
        <v>2.7823529411764797E-3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input_425101!A$2</f>
        <v>425101</v>
      </c>
      <c r="B249" s="60">
        <v>672</v>
      </c>
      <c r="C249" s="7" t="str">
        <f t="shared" si="13"/>
        <v>Premium4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6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IFERROR(VLOOKUP(B249,input_425101!L:R,7,FALSE),VLOOKUP(tables_425101!C249,input_425101!A:H,8,FALSE))</f>
        <v>6304.1135400000003</v>
      </c>
      <c r="P249" s="46">
        <f t="shared" ca="1" si="14"/>
        <v>2.3176888014705961E-3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input_425101!A$2</f>
        <v>425101</v>
      </c>
      <c r="B250" s="60">
        <v>673</v>
      </c>
      <c r="C250" s="7" t="str">
        <f t="shared" si="13"/>
        <v>Premium5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6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IFERROR(VLOOKUP(B250,input_425101!L:R,7,FALSE),VLOOKUP(tables_425101!C250,input_425101!A:H,8,FALSE))</f>
        <v>249.71353999999999</v>
      </c>
      <c r="P250" s="46">
        <f t="shared" ca="1" si="14"/>
        <v>9.1806448529412066E-5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input_425101!A$2</f>
        <v>425101</v>
      </c>
      <c r="B251" s="60">
        <v>674</v>
      </c>
      <c r="C251" s="7" t="str">
        <f t="shared" si="13"/>
        <v>PremiumSS4</v>
      </c>
      <c r="D251" s="7" t="str">
        <f t="shared" si="15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6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IFERROR(VLOOKUP(B251,input_425101!L:R,7,FALSE),VLOOKUP(tables_425101!C251,input_425101!A:H,8,FALSE))</f>
        <v>1762.866</v>
      </c>
      <c r="P251" s="46">
        <f t="shared" ca="1" si="14"/>
        <v>6.4811250000000207E-4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input_425101!A$2</f>
        <v>425101</v>
      </c>
      <c r="B252" s="60">
        <v>675</v>
      </c>
      <c r="C252" s="7" t="str">
        <f t="shared" si="13"/>
        <v>PremiumSS5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6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IFERROR(VLOOKUP(B252,input_425101!L:R,7,FALSE),VLOOKUP(tables_425101!C252,input_425101!A:H,8,FALSE))</f>
        <v>68</v>
      </c>
      <c r="P252" s="46">
        <f t="shared" ca="1" si="14"/>
        <v>2.5000000000000083E-5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input_425101!A$2</f>
        <v>425101</v>
      </c>
      <c r="B253" s="60">
        <v>676</v>
      </c>
      <c r="C253" s="7" t="str">
        <f t="shared" si="13"/>
        <v>PremiumSS4color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6"/>
        <v>color</v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IFERROR(VLOOKUP(B253,input_425101!L:R,7,FALSE),VLOOKUP(tables_425101!C253,input_425101!A:H,8,FALSE))</f>
        <v>6949.7408500000001</v>
      </c>
      <c r="P253" s="46">
        <f t="shared" ca="1" si="14"/>
        <v>2.5550517830882436E-3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input_425101!A$2</f>
        <v>425101</v>
      </c>
      <c r="B254" s="60">
        <v>677</v>
      </c>
      <c r="C254" s="7" t="str">
        <f t="shared" si="13"/>
        <v>PremiumSS5color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6"/>
        <v>color</v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IFERROR(VLOOKUP(B254,input_425101!L:R,7,FALSE),VLOOKUP(tables_425101!C254,input_425101!A:H,8,FALSE))</f>
        <v>291.42856999999998</v>
      </c>
      <c r="P254" s="46">
        <f t="shared" ca="1" si="14"/>
        <v>1.0714285661764741E-4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input_425101!A$2</f>
        <v>425101</v>
      </c>
      <c r="B255" s="60">
        <v>728</v>
      </c>
      <c r="C255" s="7" t="str">
        <f t="shared" si="13"/>
        <v>Premium4R3less</v>
      </c>
      <c r="D255" s="7" t="str">
        <f t="shared" si="15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6"/>
        <v/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IFERROR(VLOOKUP(B255,input_425101!L:R,7,FALSE),VLOOKUP(tables_425101!C255,input_425101!A:H,8,FALSE))</f>
        <v>14379.2</v>
      </c>
      <c r="P255" s="46">
        <f t="shared" ca="1" si="14"/>
        <v>5.2864705882353117E-3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input_425101!A$2</f>
        <v>425101</v>
      </c>
      <c r="B256" s="60">
        <v>729</v>
      </c>
      <c r="C256" s="7" t="str">
        <f t="shared" si="13"/>
        <v>Premium5R3less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6"/>
        <v/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IFERROR(VLOOKUP(B256,input_425101!L:R,7,FALSE),VLOOKUP(tables_425101!C256,input_425101!A:H,8,FALSE))</f>
        <v>756.8</v>
      </c>
      <c r="P256" s="46">
        <f t="shared" ca="1" si="14"/>
        <v>2.7823529411764793E-4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input_425101!A$2</f>
        <v>425101</v>
      </c>
      <c r="B257" s="60">
        <v>730</v>
      </c>
      <c r="C257" s="7" t="str">
        <f t="shared" si="13"/>
        <v>Premium4R3less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6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IFERROR(VLOOKUP(B257,input_425101!L:R,7,FALSE),VLOOKUP(tables_425101!C257,input_425101!A:H,8,FALSE))</f>
        <v>14379.2</v>
      </c>
      <c r="P257" s="46">
        <f t="shared" ca="1" si="14"/>
        <v>5.2864705882353117E-3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input_425101!A$2</f>
        <v>425101</v>
      </c>
      <c r="B258" s="60">
        <v>731</v>
      </c>
      <c r="C258" s="7" t="str">
        <f t="shared" ref="C258:C271" si="17">D258&amp;J258&amp;E258&amp;F258&amp;G258</f>
        <v>Premium5R3less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6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IFERROR(VLOOKUP(B258,input_425101!L:R,7,FALSE),VLOOKUP(tables_425101!C258,input_425101!A:H,8,FALSE))</f>
        <v>756.8</v>
      </c>
      <c r="P258" s="46">
        <f t="shared" ref="P258:P294" ca="1" si="18">O258/SUM(O:O)</f>
        <v>2.7823529411764793E-4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input_425101!A$2</f>
        <v>425101</v>
      </c>
      <c r="B259" s="60">
        <v>732</v>
      </c>
      <c r="C259" s="7" t="str">
        <f t="shared" si="17"/>
        <v>PremiumSS5R5only</v>
      </c>
      <c r="D259" s="7" t="str">
        <f t="shared" ref="D259:D305" si="19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si="16"/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IFERROR(VLOOKUP(B259,input_425101!L:R,7,FALSE),VLOOKUP(tables_425101!C259,input_425101!A:H,8,FALSE))</f>
        <v>1068.6217899999999</v>
      </c>
      <c r="P259" s="46">
        <f t="shared" ca="1" si="18"/>
        <v>3.9287565808823657E-4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input_425101!A$2</f>
        <v>425101</v>
      </c>
      <c r="B260" s="60">
        <v>734</v>
      </c>
      <c r="C260" s="7" t="str">
        <f t="shared" si="17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6"/>
        <v>color</v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IFERROR(VLOOKUP(B260,input_425101!L:R,7,FALSE),VLOOKUP(tables_425101!C260,input_425101!A:H,8,FALSE))</f>
        <v>3794.2591499999999</v>
      </c>
      <c r="P260" s="46">
        <f t="shared" ca="1" si="18"/>
        <v>1.3949482169117692E-3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input_425101!A$2</f>
        <v>425101</v>
      </c>
      <c r="B261" s="60">
        <v>770</v>
      </c>
      <c r="C261" s="7" t="str">
        <f t="shared" si="17"/>
        <v>PremiumSS4</v>
      </c>
      <c r="D261" s="7" t="str">
        <f t="shared" si="1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6"/>
        <v/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IFERROR(VLOOKUP(B261,input_425101!L:R,7,FALSE),VLOOKUP(tables_425101!C261,input_425101!A:H,8,FALSE))</f>
        <v>1762.866</v>
      </c>
      <c r="P261" s="46">
        <f t="shared" ca="1" si="18"/>
        <v>6.4811250000000207E-4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input_425101!A$2</f>
        <v>425101</v>
      </c>
      <c r="B262" s="60">
        <v>771</v>
      </c>
      <c r="C262" s="7" t="str">
        <f t="shared" si="17"/>
        <v>PremiumSS5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6"/>
        <v/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IFERROR(VLOOKUP(B262,input_425101!L:R,7,FALSE),VLOOKUP(tables_425101!C262,input_425101!A:H,8,FALSE))</f>
        <v>68</v>
      </c>
      <c r="P262" s="46">
        <f t="shared" ca="1" si="18"/>
        <v>2.5000000000000083E-5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input_425101!A$2</f>
        <v>425101</v>
      </c>
      <c r="B263" s="60">
        <v>772</v>
      </c>
      <c r="C263" s="7" t="str">
        <f t="shared" si="17"/>
        <v>PremiumSS4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6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IFERROR(VLOOKUP(B263,input_425101!L:R,7,FALSE),VLOOKUP(tables_425101!C263,input_425101!A:H,8,FALSE))</f>
        <v>1762.866</v>
      </c>
      <c r="P263" s="46">
        <f t="shared" ca="1" si="18"/>
        <v>6.4811250000000207E-4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input_425101!A$2</f>
        <v>425101</v>
      </c>
      <c r="B264" s="60">
        <v>773</v>
      </c>
      <c r="C264" s="7" t="str">
        <f t="shared" si="17"/>
        <v>PremiumSS5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ref="G264:G319" si="20">IF(K264="yellow","color","")</f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IFERROR(VLOOKUP(B264,input_425101!L:R,7,FALSE),VLOOKUP(tables_425101!C264,input_425101!A:H,8,FALSE))</f>
        <v>68</v>
      </c>
      <c r="P264" s="46">
        <f t="shared" ca="1" si="18"/>
        <v>2.5000000000000083E-5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input_425101!A$2</f>
        <v>425101</v>
      </c>
      <c r="B265" s="60">
        <v>774</v>
      </c>
      <c r="C265" s="7" t="str">
        <f t="shared" si="17"/>
        <v>Premium3</v>
      </c>
      <c r="D265" s="7" t="str">
        <f t="shared" si="19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20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IFERROR(VLOOKUP(B265,input_425101!L:R,7,FALSE),VLOOKUP(tables_425101!C265,input_425101!A:H,8,FALSE))</f>
        <v>7568</v>
      </c>
      <c r="P265" s="46">
        <f t="shared" ca="1" si="18"/>
        <v>2.7823529411764797E-3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input_425101!A$2</f>
        <v>425101</v>
      </c>
      <c r="B266" s="60">
        <v>775</v>
      </c>
      <c r="C266" s="7" t="str">
        <f t="shared" si="17"/>
        <v>Premium4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20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IFERROR(VLOOKUP(B266,input_425101!L:R,7,FALSE),VLOOKUP(tables_425101!C266,input_425101!A:H,8,FALSE))</f>
        <v>6304.1135400000003</v>
      </c>
      <c r="P266" s="46">
        <f t="shared" ca="1" si="18"/>
        <v>2.3176888014705961E-3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input_425101!A$2</f>
        <v>425101</v>
      </c>
      <c r="B267" s="60">
        <v>776</v>
      </c>
      <c r="C267" s="7" t="str">
        <f t="shared" si="17"/>
        <v>Premium5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20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IFERROR(VLOOKUP(B267,input_425101!L:R,7,FALSE),VLOOKUP(tables_425101!C267,input_425101!A:H,8,FALSE))</f>
        <v>249.71353999999999</v>
      </c>
      <c r="P267" s="46">
        <f t="shared" ca="1" si="18"/>
        <v>9.1806448529412066E-5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input_425101!A$2</f>
        <v>425101</v>
      </c>
      <c r="B268" s="60">
        <v>777</v>
      </c>
      <c r="C268" s="7" t="str">
        <f t="shared" si="17"/>
        <v>Premium3color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20"/>
        <v>color</v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IFERROR(VLOOKUP(B268,input_425101!L:R,7,FALSE),VLOOKUP(tables_425101!C268,input_425101!A:H,8,FALSE))</f>
        <v>35088</v>
      </c>
      <c r="P268" s="46">
        <f t="shared" ca="1" si="18"/>
        <v>1.2900000000000042E-2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input_425101!A$2</f>
        <v>425101</v>
      </c>
      <c r="B269" s="60">
        <v>778</v>
      </c>
      <c r="C269" s="7" t="str">
        <f t="shared" si="17"/>
        <v>Premium4color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20"/>
        <v>color</v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IFERROR(VLOOKUP(B269,input_425101!L:R,7,FALSE),VLOOKUP(tables_425101!C269,input_425101!A:H,8,FALSE))</f>
        <v>31978.83511</v>
      </c>
      <c r="P269" s="46">
        <f t="shared" ca="1" si="18"/>
        <v>1.1756924672794156E-2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input_425101!A$2</f>
        <v>425101</v>
      </c>
      <c r="B270" s="60">
        <v>779</v>
      </c>
      <c r="C270" s="7" t="str">
        <f t="shared" si="17"/>
        <v>Premium5color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20"/>
        <v>color</v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IFERROR(VLOOKUP(B270,input_425101!L:R,7,FALSE),VLOOKUP(tables_425101!C270,input_425101!A:H,8,FALSE))</f>
        <v>3109.16489</v>
      </c>
      <c r="P270" s="46">
        <f t="shared" ca="1" si="18"/>
        <v>1.143075327205886E-3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input_425101!A$2</f>
        <v>425101</v>
      </c>
      <c r="B271" s="82">
        <v>848</v>
      </c>
      <c r="C271" s="7" t="str">
        <f t="shared" si="17"/>
        <v>PremiumSS5R5only</v>
      </c>
      <c r="D271" s="7" t="str">
        <f t="shared" si="19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20"/>
        <v/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IFERROR(VLOOKUP(B271,input_425101!L:R,7,FALSE),VLOOKUP(tables_425101!C271,input_425101!A:H,8,FALSE))</f>
        <v>1068.6217899999999</v>
      </c>
      <c r="P271" s="46">
        <f t="shared" ca="1" si="18"/>
        <v>3.9287565808823657E-4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input_425101!A$2</f>
        <v>425101</v>
      </c>
      <c r="B272" s="82">
        <v>850</v>
      </c>
      <c r="C272" s="7" t="str">
        <f t="shared" ref="C272:C283" si="21">D272&amp;J272&amp;E272&amp;F272&amp;G272</f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20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IFERROR(VLOOKUP(B272,input_425101!L:R,7,FALSE),VLOOKUP(tables_425101!C272,input_425101!A:H,8,FALSE))</f>
        <v>1068.6217899999999</v>
      </c>
      <c r="P272" s="46">
        <f t="shared" ca="1" si="18"/>
        <v>3.9287565808823657E-4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input_425101!A$2</f>
        <v>425101</v>
      </c>
      <c r="B273" s="82">
        <v>852</v>
      </c>
      <c r="C273" s="7" t="str">
        <f t="shared" si="21"/>
        <v>Premium4R3less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20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IFERROR(VLOOKUP(B273,input_425101!L:R,7,FALSE),VLOOKUP(tables_425101!C273,input_425101!A:H,8,FALSE))</f>
        <v>14379.2</v>
      </c>
      <c r="P273" s="46">
        <f t="shared" ca="1" si="18"/>
        <v>5.2864705882353117E-3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input_425101!A$2</f>
        <v>425101</v>
      </c>
      <c r="B274" s="82">
        <v>853</v>
      </c>
      <c r="C274" s="7" t="str">
        <f t="shared" si="21"/>
        <v>Premium5R3less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20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IFERROR(VLOOKUP(B274,input_425101!L:R,7,FALSE),VLOOKUP(tables_425101!C274,input_425101!A:H,8,FALSE))</f>
        <v>756.8</v>
      </c>
      <c r="P274" s="46">
        <f t="shared" ca="1" si="18"/>
        <v>2.7823529411764793E-4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input_425101!A$2</f>
        <v>425101</v>
      </c>
      <c r="B275" s="82">
        <v>854</v>
      </c>
      <c r="C275" s="7" t="str">
        <f t="shared" si="21"/>
        <v>Premium4R3lesscolor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20"/>
        <v>color</v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IFERROR(VLOOKUP(B275,input_425101!L:R,7,FALSE),VLOOKUP(tables_425101!C275,input_425101!A:H,8,FALSE))</f>
        <v>66667.199999999997</v>
      </c>
      <c r="P275" s="46">
        <f t="shared" ca="1" si="18"/>
        <v>2.451000000000008E-2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input_425101!A$2</f>
        <v>425101</v>
      </c>
      <c r="B276" s="82">
        <v>855</v>
      </c>
      <c r="C276" s="7" t="str">
        <f t="shared" si="21"/>
        <v>Premium5R3lesscolor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20"/>
        <v>color</v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IFERROR(VLOOKUP(B276,input_425101!L:R,7,FALSE),VLOOKUP(tables_425101!C276,input_425101!A:H,8,FALSE))</f>
        <v>3508.8</v>
      </c>
      <c r="P276" s="46">
        <f t="shared" ca="1" si="18"/>
        <v>1.2900000000000043E-3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input_425101!A$2</f>
        <v>425101</v>
      </c>
      <c r="B277" s="82">
        <v>862</v>
      </c>
      <c r="C277" s="7" t="str">
        <f t="shared" si="21"/>
        <v>Premium4R3less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20"/>
        <v/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IFERROR(VLOOKUP(B277,input_425101!L:R,7,FALSE),VLOOKUP(tables_425101!C277,input_425101!A:H,8,FALSE))</f>
        <v>14379.2</v>
      </c>
      <c r="P277" s="46">
        <f t="shared" ca="1" si="18"/>
        <v>5.2864705882353117E-3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input_425101!A$2</f>
        <v>425101</v>
      </c>
      <c r="B278" s="82">
        <v>863</v>
      </c>
      <c r="C278" s="7" t="str">
        <f t="shared" si="21"/>
        <v>Premium5R3less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20"/>
        <v/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IFERROR(VLOOKUP(B278,input_425101!L:R,7,FALSE),VLOOKUP(tables_425101!C278,input_425101!A:H,8,FALSE))</f>
        <v>756.8</v>
      </c>
      <c r="P278" s="46">
        <f t="shared" ca="1" si="18"/>
        <v>2.7823529411764793E-4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input_425101!A$2</f>
        <v>425101</v>
      </c>
      <c r="B279" s="82">
        <v>864</v>
      </c>
      <c r="C279" s="7" t="str">
        <f t="shared" si="21"/>
        <v>Premium4R3less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20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IFERROR(VLOOKUP(B279,input_425101!L:R,7,FALSE),VLOOKUP(tables_425101!C279,input_425101!A:H,8,FALSE))</f>
        <v>14379.2</v>
      </c>
      <c r="P279" s="46">
        <f t="shared" ca="1" si="18"/>
        <v>5.2864705882353117E-3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input_425101!A$2</f>
        <v>425101</v>
      </c>
      <c r="B280" s="82">
        <v>865</v>
      </c>
      <c r="C280" s="7" t="str">
        <f t="shared" si="21"/>
        <v>Premium5R3less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20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IFERROR(VLOOKUP(B280,input_425101!L:R,7,FALSE),VLOOKUP(tables_425101!C280,input_425101!A:H,8,FALSE))</f>
        <v>756.8</v>
      </c>
      <c r="P280" s="46">
        <f t="shared" ca="1" si="18"/>
        <v>2.7823529411764793E-4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input_425101!A$2</f>
        <v>425101</v>
      </c>
      <c r="B281" s="82">
        <v>866</v>
      </c>
      <c r="C281" s="7" t="str">
        <f t="shared" si="21"/>
        <v>PremiumSS5R5only</v>
      </c>
      <c r="D281" s="7" t="str">
        <f t="shared" si="19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20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IFERROR(VLOOKUP(B281,input_425101!L:R,7,FALSE),VLOOKUP(tables_425101!C281,input_425101!A:H,8,FALSE))</f>
        <v>1068.6217899999999</v>
      </c>
      <c r="P281" s="46">
        <f t="shared" ca="1" si="18"/>
        <v>3.9287565808823657E-4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input_425101!A$2</f>
        <v>425101</v>
      </c>
      <c r="B282" s="82">
        <v>868</v>
      </c>
      <c r="C282" s="7" t="str">
        <f t="shared" si="21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20"/>
        <v>color</v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IFERROR(VLOOKUP(B282,input_425101!L:R,7,FALSE),VLOOKUP(tables_425101!C282,input_425101!A:H,8,FALSE))</f>
        <v>3794.2591499999999</v>
      </c>
      <c r="P282" s="46">
        <f t="shared" ca="1" si="18"/>
        <v>1.3949482169117692E-3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input_425101!A$2</f>
        <v>425101</v>
      </c>
      <c r="B283" s="5">
        <v>742</v>
      </c>
      <c r="C283" s="7" t="str">
        <f t="shared" si="21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20"/>
        <v/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IFERROR(VLOOKUP(B283,input_425101!L:R,7,FALSE),VLOOKUP(tables_425101!C283,input_425101!A:H,8,FALSE))</f>
        <v>1068.6217899999999</v>
      </c>
      <c r="P283" s="46">
        <f t="shared" ca="1" si="18"/>
        <v>3.9287565808823657E-4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input_425101!A$2</f>
        <v>425101</v>
      </c>
      <c r="B284" s="5">
        <v>744</v>
      </c>
      <c r="C284" s="7" t="str">
        <f t="shared" ref="C284" si="22">D284&amp;J284&amp;E284&amp;F284&amp;G284</f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20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IFERROR(VLOOKUP(B284,input_425101!L:R,7,FALSE),VLOOKUP(tables_425101!C284,input_425101!A:H,8,FALSE))</f>
        <v>1068.6217899999999</v>
      </c>
      <c r="P284" s="46">
        <f t="shared" ca="1" si="18"/>
        <v>3.9287565808823657E-4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input_425101!A$2</f>
        <v>425101</v>
      </c>
      <c r="B285" s="5">
        <v>746</v>
      </c>
      <c r="C285" s="7" t="str">
        <f t="shared" ref="C285:C290" si="23">D285&amp;J285&amp;E285&amp;F285&amp;G285</f>
        <v>Premium4R3less</v>
      </c>
      <c r="D285" s="7" t="str">
        <f t="shared" si="19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20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IFERROR(VLOOKUP(B285,input_425101!L:R,7,FALSE),VLOOKUP(tables_425101!C285,input_425101!A:H,8,FALSE))</f>
        <v>14379.2</v>
      </c>
      <c r="P285" s="46">
        <f t="shared" ca="1" si="18"/>
        <v>5.2864705882353117E-3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input_425101!A$2</f>
        <v>425101</v>
      </c>
      <c r="B286" s="5">
        <v>747</v>
      </c>
      <c r="C286" s="7" t="str">
        <f t="shared" si="23"/>
        <v>Premium5R3less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20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IFERROR(VLOOKUP(B286,input_425101!L:R,7,FALSE),VLOOKUP(tables_425101!C286,input_425101!A:H,8,FALSE))</f>
        <v>756.8</v>
      </c>
      <c r="P286" s="46">
        <f t="shared" ca="1" si="18"/>
        <v>2.7823529411764793E-4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input_425101!A$2</f>
        <v>425101</v>
      </c>
      <c r="B287" s="5">
        <v>748</v>
      </c>
      <c r="C287" s="7" t="str">
        <f t="shared" si="23"/>
        <v>Premium4R3lesscolor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20"/>
        <v>color</v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IFERROR(VLOOKUP(B287,input_425101!L:R,7,FALSE),VLOOKUP(tables_425101!C287,input_425101!A:H,8,FALSE))</f>
        <v>66667.199999999997</v>
      </c>
      <c r="P287" s="46">
        <f t="shared" ca="1" si="18"/>
        <v>2.451000000000008E-2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input_425101!A$2</f>
        <v>425101</v>
      </c>
      <c r="B288" s="5">
        <v>749</v>
      </c>
      <c r="C288" s="7" t="str">
        <f t="shared" si="23"/>
        <v>Premium5R3lesscolor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20"/>
        <v>color</v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IFERROR(VLOOKUP(B288,input_425101!L:R,7,FALSE),VLOOKUP(tables_425101!C288,input_425101!A:H,8,FALSE))</f>
        <v>3508.8</v>
      </c>
      <c r="P288" s="46">
        <f t="shared" ca="1" si="18"/>
        <v>1.2900000000000043E-3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input_425101!A$2</f>
        <v>425101</v>
      </c>
      <c r="B289" s="5">
        <v>937</v>
      </c>
      <c r="C289" s="7" t="str">
        <f t="shared" si="23"/>
        <v>PremiumSS5R5only</v>
      </c>
      <c r="D289" s="7" t="str">
        <f t="shared" si="19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20"/>
        <v/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IFERROR(VLOOKUP(B289,input_425101!L:R,7,FALSE),VLOOKUP(tables_425101!C289,input_425101!A:H,8,FALSE))</f>
        <v>1068.6217899999999</v>
      </c>
      <c r="P289" s="46">
        <f t="shared" ca="1" si="18"/>
        <v>3.9287565808823657E-4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input_425101!A$2</f>
        <v>425101</v>
      </c>
      <c r="B290" s="5">
        <v>939</v>
      </c>
      <c r="C290" s="7" t="str">
        <f t="shared" si="23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20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IFERROR(VLOOKUP(B290,input_425101!L:R,7,FALSE),VLOOKUP(tables_425101!C290,input_425101!A:H,8,FALSE))</f>
        <v>14379.2</v>
      </c>
      <c r="P290" s="46">
        <f t="shared" ca="1" si="18"/>
        <v>5.2864705882353117E-3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input_425101!A$2</f>
        <v>425101</v>
      </c>
      <c r="B291" s="5">
        <v>940</v>
      </c>
      <c r="C291" s="7" t="str">
        <f t="shared" ref="C291:C294" si="24">D291&amp;J291&amp;E291&amp;F291&amp;G291</f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20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IFERROR(VLOOKUP(B291,input_425101!L:R,7,FALSE),VLOOKUP(tables_425101!C291,input_425101!A:H,8,FALSE))</f>
        <v>756.8</v>
      </c>
      <c r="P291" s="46">
        <f t="shared" ca="1" si="18"/>
        <v>2.7823529411764793E-4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input_425101!A$2</f>
        <v>425101</v>
      </c>
      <c r="B292" s="5">
        <v>941</v>
      </c>
      <c r="C292" s="7" t="str">
        <f t="shared" si="24"/>
        <v>PremiumSS5R5only</v>
      </c>
      <c r="D292" s="7" t="str">
        <f t="shared" si="19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20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IFERROR(VLOOKUP(B292,input_425101!L:R,7,FALSE),VLOOKUP(tables_425101!C292,input_425101!A:H,8,FALSE))</f>
        <v>1068.6217899999999</v>
      </c>
      <c r="P292" s="46">
        <f t="shared" ca="1" si="18"/>
        <v>3.9287565808823657E-4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input_425101!A$2</f>
        <v>425101</v>
      </c>
      <c r="B293" s="5">
        <v>943</v>
      </c>
      <c r="C293" s="7" t="str">
        <f t="shared" si="24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20"/>
        <v>color</v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IFERROR(VLOOKUP(B293,input_425101!L:R,7,FALSE),VLOOKUP(tables_425101!C293,input_425101!A:H,8,FALSE))</f>
        <v>3794.2591499999999</v>
      </c>
      <c r="P293" s="46">
        <f t="shared" ca="1" si="18"/>
        <v>1.3949482169117692E-3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input_425101!A$2</f>
        <v>425101</v>
      </c>
      <c r="B294" s="5">
        <v>1012</v>
      </c>
      <c r="C294" s="7" t="str">
        <f t="shared" si="24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20"/>
        <v/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IFERROR(VLOOKUP(B294,input_425101!L:R,7,FALSE),VLOOKUP(tables_425101!C294,input_425101!A:H,8,FALSE))</f>
        <v>1068.6217899999999</v>
      </c>
      <c r="P294" s="46">
        <f t="shared" ca="1" si="18"/>
        <v>3.9287565808823657E-4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input_425101!A$2</f>
        <v>425101</v>
      </c>
      <c r="B295" s="5">
        <v>1014</v>
      </c>
      <c r="C295" s="7" t="str">
        <f t="shared" ref="C295:C298" si="25">D295&amp;J295&amp;E295&amp;F295&amp;G295</f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20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IFERROR(VLOOKUP(B295,input_425101!L:R,7,FALSE),VLOOKUP(tables_425101!C295,input_425101!A:H,8,FALSE))</f>
        <v>1068.6217899999999</v>
      </c>
      <c r="P295" s="46">
        <f t="shared" ref="P295:P300" ca="1" si="26">O295/SUM(O:O)</f>
        <v>3.9287565808823657E-4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input_425101!A$2</f>
        <v>425101</v>
      </c>
      <c r="B296" s="5">
        <v>1016</v>
      </c>
      <c r="C296" s="7" t="str">
        <f t="shared" si="25"/>
        <v>Premium4R3less</v>
      </c>
      <c r="D296" s="7" t="str">
        <f t="shared" si="19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20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IFERROR(VLOOKUP(B296,input_425101!L:R,7,FALSE),VLOOKUP(tables_425101!C296,input_425101!A:H,8,FALSE))</f>
        <v>14379.2</v>
      </c>
      <c r="P296" s="46">
        <f t="shared" ca="1" si="26"/>
        <v>5.2864705882353117E-3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input_425101!A$2</f>
        <v>425101</v>
      </c>
      <c r="B297" s="5">
        <v>1017</v>
      </c>
      <c r="C297" s="7" t="str">
        <f t="shared" si="25"/>
        <v>Premium5R3less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20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IFERROR(VLOOKUP(B297,input_425101!L:R,7,FALSE),VLOOKUP(tables_425101!C297,input_425101!A:H,8,FALSE))</f>
        <v>756.8</v>
      </c>
      <c r="P297" s="46">
        <f t="shared" ca="1" si="26"/>
        <v>2.7823529411764793E-4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input_425101!A$2</f>
        <v>425101</v>
      </c>
      <c r="B298" s="5">
        <v>1018</v>
      </c>
      <c r="C298" s="7" t="str">
        <f t="shared" si="25"/>
        <v>PremiumSS5R5onlycolor</v>
      </c>
      <c r="D298" s="7" t="str">
        <f t="shared" si="19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20"/>
        <v>color</v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IFERROR(VLOOKUP(B298,input_425101!L:R,7,FALSE),VLOOKUP(tables_425101!C298,input_425101!A:H,8,FALSE))</f>
        <v>3794.2591499999999</v>
      </c>
      <c r="P298" s="46">
        <f t="shared" ca="1" si="26"/>
        <v>1.3949482169117692E-3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input_425101!A$2</f>
        <v>425101</v>
      </c>
      <c r="B299" s="5">
        <v>1026</v>
      </c>
      <c r="C299" s="7" t="str">
        <f t="shared" ref="C299:C300" si="27">D299&amp;J299&amp;E299&amp;F299&amp;G299</f>
        <v>Premium4R3less</v>
      </c>
      <c r="D299" s="7" t="str">
        <f t="shared" si="19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20"/>
        <v/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IFERROR(VLOOKUP(B299,input_425101!L:R,7,FALSE),VLOOKUP(tables_425101!C299,input_425101!A:H,8,FALSE))</f>
        <v>14379.2</v>
      </c>
      <c r="P299" s="46">
        <f t="shared" ca="1" si="26"/>
        <v>5.2864705882353117E-3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input_425101!A$2</f>
        <v>425101</v>
      </c>
      <c r="B300" s="5">
        <v>1027</v>
      </c>
      <c r="C300" s="7" t="str">
        <f t="shared" si="27"/>
        <v>Premium5R3less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20"/>
        <v/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IFERROR(VLOOKUP(B300,input_425101!L:R,7,FALSE),VLOOKUP(tables_425101!C300,input_425101!A:H,8,FALSE))</f>
        <v>756.8</v>
      </c>
      <c r="P300" s="46">
        <f t="shared" ca="1" si="26"/>
        <v>2.7823529411764793E-4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input_425101!A$2</f>
        <v>425101</v>
      </c>
      <c r="B301" s="5">
        <v>1028</v>
      </c>
      <c r="C301" s="7" t="str">
        <f t="shared" ref="C301:C305" si="28">D301&amp;J301&amp;E301&amp;F301&amp;G301</f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20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IFERROR(VLOOKUP(B301,input_425101!L:R,7,FALSE),VLOOKUP(tables_425101!C301,input_425101!A:H,8,FALSE))</f>
        <v>1068.6217899999999</v>
      </c>
      <c r="P301" s="46">
        <f t="shared" ref="P301:P305" ca="1" si="29">O301/SUM(O:O)</f>
        <v>3.9287565808823657E-4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input_425101!A$2</f>
        <v>425101</v>
      </c>
      <c r="B302" s="5">
        <v>1031</v>
      </c>
      <c r="C302" s="7" t="str">
        <f t="shared" si="2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20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IFERROR(VLOOKUP(B302,input_425101!L:R,7,FALSE),VLOOKUP(tables_425101!C302,input_425101!A:H,8,FALSE))</f>
        <v>1068.6217899999999</v>
      </c>
      <c r="P302" s="46">
        <f t="shared" ca="1" si="29"/>
        <v>3.9287565808823657E-4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input_425101!A$2</f>
        <v>425101</v>
      </c>
      <c r="B303" s="5">
        <v>1033</v>
      </c>
      <c r="C303" s="7" t="str">
        <f t="shared" si="28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20"/>
        <v>color</v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IFERROR(VLOOKUP(B303,input_425101!L:R,7,FALSE),VLOOKUP(tables_425101!C303,input_425101!A:H,8,FALSE))</f>
        <v>3794.2591499999999</v>
      </c>
      <c r="P303" s="46">
        <f t="shared" ca="1" si="29"/>
        <v>1.3949482169117692E-3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input_425101!A$2</f>
        <v>425101</v>
      </c>
      <c r="B304" s="5">
        <v>1067</v>
      </c>
      <c r="C304" s="7" t="str">
        <f t="shared" si="28"/>
        <v>Premium4R3less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20"/>
        <v/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IFERROR(VLOOKUP(B304,input_425101!L:R,7,FALSE),VLOOKUP(tables_425101!C304,input_425101!A:H,8,FALSE))</f>
        <v>14379.2</v>
      </c>
      <c r="P304" s="46">
        <f t="shared" ca="1" si="29"/>
        <v>5.2864705882353117E-3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input_425101!A$2</f>
        <v>425101</v>
      </c>
      <c r="B305" s="5">
        <v>1068</v>
      </c>
      <c r="C305" s="7" t="str">
        <f t="shared" si="28"/>
        <v>Premium5R3less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20"/>
        <v/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IFERROR(VLOOKUP(B305,input_425101!L:R,7,FALSE),VLOOKUP(tables_425101!C305,input_425101!A:H,8,FALSE))</f>
        <v>756.8</v>
      </c>
      <c r="P305" s="46">
        <f t="shared" ca="1" si="29"/>
        <v>2.7823529411764793E-4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input_425101!A$2</f>
        <v>425101</v>
      </c>
      <c r="B306" s="5">
        <v>1069</v>
      </c>
      <c r="C306" s="7" t="str">
        <f t="shared" ref="C306:C310" si="30">D306&amp;J306&amp;E306&amp;F306&amp;G306</f>
        <v>PremiumSS5R5only</v>
      </c>
      <c r="D306" s="7" t="str">
        <f t="shared" ref="D306:D310" si="31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20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IFERROR(VLOOKUP(B306,input_425101!L:R,7,FALSE),VLOOKUP(tables_425101!C306,input_425101!A:H,8,FALSE))</f>
        <v>1068.6217899999999</v>
      </c>
      <c r="P306" s="46">
        <f t="shared" ref="P306:P310" ca="1" si="32">O306/SUM(O:O)</f>
        <v>3.9287565808823657E-4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input_425101!A$2</f>
        <v>425101</v>
      </c>
      <c r="B307" s="5">
        <v>1072</v>
      </c>
      <c r="C307" s="7" t="str">
        <f t="shared" si="30"/>
        <v>PremiumSS5R5only</v>
      </c>
      <c r="D307" s="7" t="str">
        <f t="shared" si="31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20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IFERROR(VLOOKUP(B307,input_425101!L:R,7,FALSE),VLOOKUP(tables_425101!C307,input_425101!A:H,8,FALSE))</f>
        <v>1068.6217899999999</v>
      </c>
      <c r="P307" s="46">
        <f t="shared" ca="1" si="32"/>
        <v>3.9287565808823657E-4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input_425101!A$2</f>
        <v>425101</v>
      </c>
      <c r="B308" s="5">
        <v>1074</v>
      </c>
      <c r="C308" s="7" t="str">
        <f t="shared" si="30"/>
        <v>PremiumSS5R5onlycolor</v>
      </c>
      <c r="D308" s="7" t="str">
        <f t="shared" si="31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0"/>
        <v>color</v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IFERROR(VLOOKUP(B308,input_425101!L:R,7,FALSE),VLOOKUP(tables_425101!C308,input_425101!A:H,8,FALSE))</f>
        <v>3794.2591499999999</v>
      </c>
      <c r="P308" s="46">
        <f t="shared" ca="1" si="32"/>
        <v>1.3949482169117692E-3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input_425101!A$2</f>
        <v>425101</v>
      </c>
      <c r="B309" s="5">
        <v>1104</v>
      </c>
      <c r="C309" s="7" t="str">
        <f t="shared" si="30"/>
        <v>Premium4R3less</v>
      </c>
      <c r="D309" s="7" t="str">
        <f t="shared" si="31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20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IFERROR(VLOOKUP(B309,input_425101!L:R,7,FALSE),VLOOKUP(tables_425101!C309,input_425101!A:H,8,FALSE))</f>
        <v>14379.2</v>
      </c>
      <c r="P309" s="46">
        <f t="shared" ca="1" si="32"/>
        <v>5.2864705882353117E-3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input_425101!A$2</f>
        <v>425101</v>
      </c>
      <c r="B310" s="5">
        <v>1105</v>
      </c>
      <c r="C310" s="7" t="str">
        <f t="shared" si="30"/>
        <v>Premium5R3less</v>
      </c>
      <c r="D310" s="7" t="str">
        <f t="shared" si="31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20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IFERROR(VLOOKUP(B310,input_425101!L:R,7,FALSE),VLOOKUP(tables_425101!C310,input_425101!A:H,8,FALSE))</f>
        <v>756.8</v>
      </c>
      <c r="P310" s="46">
        <f t="shared" ca="1" si="32"/>
        <v>2.7823529411764793E-4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input_425101!A$2</f>
        <v>425101</v>
      </c>
      <c r="B311" s="5">
        <v>1106</v>
      </c>
      <c r="C311" s="7" t="str">
        <f t="shared" ref="C311:C318" si="33">D311&amp;J311&amp;E311&amp;F311&amp;G311</f>
        <v>PremiumSS5R5onlycolor</v>
      </c>
      <c r="D311" s="7" t="str">
        <f t="shared" ref="D311:D318" si="34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20"/>
        <v>color</v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IFERROR(VLOOKUP(B311,input_425101!L:R,7,FALSE),VLOOKUP(tables_425101!C311,input_425101!A:H,8,FALSE))</f>
        <v>3794.2591499999999</v>
      </c>
      <c r="P311" s="46">
        <f t="shared" ref="P311:P318" ca="1" si="35">O311/SUM(O:O)</f>
        <v>1.3949482169117692E-3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input_425101!A$2</f>
        <v>425101</v>
      </c>
      <c r="B312" s="5">
        <v>1102</v>
      </c>
      <c r="C312" s="7" t="str">
        <f t="shared" si="33"/>
        <v>PremiumSS5R5only</v>
      </c>
      <c r="D312" s="7" t="str">
        <f t="shared" si="3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20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IFERROR(VLOOKUP(B312,input_425101!L:R,7,FALSE),VLOOKUP(tables_425101!C312,input_425101!A:H,8,FALSE))</f>
        <v>1068.6217899999999</v>
      </c>
      <c r="P312" s="46">
        <f t="shared" ca="1" si="35"/>
        <v>3.9287565808823657E-4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input_425101!A$2</f>
        <v>425101</v>
      </c>
      <c r="B313" s="5">
        <v>1100</v>
      </c>
      <c r="C313" s="7" t="str">
        <f t="shared" si="33"/>
        <v>PremiumSS5R5only</v>
      </c>
      <c r="D313" s="7" t="str">
        <f>IF(OR(I313="PremiumSS",I313="PremiumSSw"),"PremiumSS",IF(I313="PremiumSSS",I313,IF(I313="PremiumW",I313,"Premium")))</f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20"/>
        <v/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IFERROR(VLOOKUP(B313,input_425101!L:R,7,FALSE),VLOOKUP(tables_425101!C313,input_425101!A:H,8,FALSE))</f>
        <v>1068.6217899999999</v>
      </c>
      <c r="P313" s="46">
        <f t="shared" ca="1" si="35"/>
        <v>3.9287565808823657E-4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input_425101!A$2</f>
        <v>425101</v>
      </c>
      <c r="B314" s="5">
        <v>1137</v>
      </c>
      <c r="C314" s="7" t="str">
        <f t="shared" si="33"/>
        <v>PremiumSS5R5only</v>
      </c>
      <c r="D314" s="7" t="str">
        <f t="shared" si="3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20"/>
        <v/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IFERROR(VLOOKUP(B314,input_425101!L:R,7,FALSE),VLOOKUP(tables_425101!C314,input_425101!A:H,8,FALSE))</f>
        <v>1068.6217899999999</v>
      </c>
      <c r="P314" s="46">
        <f t="shared" ca="1" si="35"/>
        <v>3.9287565808823657E-4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input_425101!A$2</f>
        <v>425101</v>
      </c>
      <c r="B315" s="5">
        <v>1139</v>
      </c>
      <c r="C315" s="7" t="str">
        <f t="shared" si="33"/>
        <v>PremiumSS5R5only</v>
      </c>
      <c r="D315" s="7" t="str">
        <f t="shared" si="3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20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IFERROR(VLOOKUP(B315,input_425101!L:R,7,FALSE),VLOOKUP(tables_425101!C315,input_425101!A:H,8,FALSE))</f>
        <v>1068.6217899999999</v>
      </c>
      <c r="P315" s="46">
        <f t="shared" ca="1" si="35"/>
        <v>3.9287565808823657E-4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input_425101!A$2</f>
        <v>425101</v>
      </c>
      <c r="B316" s="5">
        <v>1141</v>
      </c>
      <c r="C316" s="7" t="str">
        <f t="shared" si="33"/>
        <v>PremiumSS5R5only</v>
      </c>
      <c r="D316" s="7" t="str">
        <f t="shared" si="3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20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IFERROR(VLOOKUP(B316,input_425101!L:R,7,FALSE),VLOOKUP(tables_425101!C316,input_425101!A:H,8,FALSE))</f>
        <v>1068.6217899999999</v>
      </c>
      <c r="P316" s="46">
        <f t="shared" ca="1" si="35"/>
        <v>3.9287565808823657E-4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input_425101!A$2</f>
        <v>425101</v>
      </c>
      <c r="B317" s="5">
        <v>1143</v>
      </c>
      <c r="C317" s="7" t="str">
        <f t="shared" si="33"/>
        <v>Premium4R3lesscolor</v>
      </c>
      <c r="D317" s="7" t="str">
        <f t="shared" si="34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20"/>
        <v>color</v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IFERROR(VLOOKUP(B317,input_425101!L:R,7,FALSE),VLOOKUP(tables_425101!C317,input_425101!A:H,8,FALSE))</f>
        <v>66667.199999999997</v>
      </c>
      <c r="P317" s="46">
        <f t="shared" ca="1" si="35"/>
        <v>2.451000000000008E-2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input_425101!A$2</f>
        <v>425101</v>
      </c>
      <c r="B318" s="5">
        <v>1144</v>
      </c>
      <c r="C318" s="7" t="str">
        <f t="shared" si="33"/>
        <v>Premium5R3lesscolor</v>
      </c>
      <c r="D318" s="7" t="str">
        <f t="shared" si="3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20"/>
        <v>color</v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IFERROR(VLOOKUP(B318,input_425101!L:R,7,FALSE),VLOOKUP(tables_425101!C318,input_425101!A:H,8,FALSE))</f>
        <v>3508.8</v>
      </c>
      <c r="P318" s="46">
        <f t="shared" ca="1" si="35"/>
        <v>1.2900000000000043E-3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input_425101!A$2</f>
        <v>425101</v>
      </c>
      <c r="B319" s="1">
        <v>874</v>
      </c>
      <c r="C319" s="7" t="str">
        <f t="shared" ref="C319" si="36">D319&amp;J319&amp;E319&amp;F319&amp;G319</f>
        <v>PremiumSSS5R3lesscolor</v>
      </c>
      <c r="D319" s="7" t="str">
        <f t="shared" ref="D319" si="37">IF(OR(I319="PremiumSS",I319="PremiumSSw"),"PremiumSS",IF(I319="PremiumSSS",I319,IF(I319="PremiumW",I319,"Premium")))</f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20"/>
        <v>color</v>
      </c>
      <c r="H319" s="7" t="str">
        <f>VLOOKUP(B319,[1]characters!$A:$C,3,FALSE)</f>
        <v>フレネル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attack</v>
      </c>
      <c r="M319" s="7" t="str">
        <f>VLOOKUP(B319,[1]characters!$A:$M,13,FALSE)</f>
        <v>academia</v>
      </c>
      <c r="N319" s="7" t="str">
        <f>VLOOKUP(B319,[1]characters!$A:$G,7,FALSE)</f>
        <v>男性</v>
      </c>
      <c r="O319" s="45">
        <f ca="1">IFERROR(VLOOKUP(B319,input_425101!L:R,7,FALSE),VLOOKUP(tables_425101!C319,input_425101!A:H,8,FALSE))</f>
        <v>10880</v>
      </c>
      <c r="P319" s="46">
        <f t="shared" ref="P319" ca="1" si="38">O319/SUM(O:O)</f>
        <v>4.0000000000000131E-3</v>
      </c>
      <c r="Q319" s="88"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1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workbookViewId="0">
      <selection activeCell="E49" sqref="E49:E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425103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VLOOKUP(L3,tables_425103!B:C,2,FALSE)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VLOOKUP(L4,tables_425103!B:C,2,FALSE)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5.0000000000000012E-4</v>
      </c>
      <c r="F5">
        <f>(COUNTIF(tables_425103!C:C,input_425103!A28)+COUNTIF(tables_425103!C:C,input_425103!A29))</f>
        <v>40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VLOOKUP(L5,tables_425103!B:C,2,FALSE)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(COUNTIF(tables_425103!C:C,input_425103!A43)+COUNTIF(tables_425103!C:C,input_425103!A44))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VLOOKUP(L6,tables_425103!B:C,2,FALSE)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5.5647058823529412E-3</v>
      </c>
      <c r="F7">
        <f>(COUNTIF(tables_425103!C:C,input_425103!A25)+COUNTIF(tables_425103!C:C,input_425103!A18)+COUNTIF(tables_425103!C:C,input_425103!A20)+COUNTIF(tables_425103!C:C,input_425103!A22))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VLOOKUP(L7,tables_425103!B:C,2,FALSE)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2.58E-2</v>
      </c>
      <c r="F8">
        <f>(COUNTIF(tables_425103!C:C,input_425103!A40)+COUNTIF(tables_425103!C:C,input_425103!A33)+COUNTIF(tables_425103!C:C,input_425103!A35)+COUNTIF(tables_425103!C:C,input_425103!A37))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VLOOKUP(L8,tables_425103!B:C,2,FALSE)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VLOOKUP(L9,tables_425103!B:C,2,FALSE)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VLOOKUP(L10,tables_425103!B:C,2,FALSE)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VLOOKUP(L11,tables_425103!B:C,2,FALSE)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VLOOKUP(L12,tables_425103!B:C,2,FALSE)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VLOOKUP(L13,tables_425103!B:C,2,FALSE)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VLOOKUP(L14,tables_425103!B:C,2,FALSE)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VLOOKUP(L15,tables_425103!B:C,2,FALSE)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VLOOKUP(L16,tables_425103!B:C,2,FALSE)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COUNTIF(tables_425103!C:C,input_425103!A17)-COUNTIF(Q:Q,A17)</f>
        <v>14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VLOOKUP(L17,tables_425103!B:C,2,FALSE)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8.3470588235294116E-2</v>
      </c>
      <c r="C18" s="86">
        <f t="shared" si="2"/>
        <v>0</v>
      </c>
      <c r="D18" s="75">
        <f t="shared" si="3"/>
        <v>8.3470588235294116E-2</v>
      </c>
      <c r="E18">
        <f>COUNTIF(tables_425103!C:C,input_425103!A18)-COUNTIF(Q:Q,A18)</f>
        <v>15</v>
      </c>
      <c r="F18" s="43">
        <f>IFERROR(B18/E18,0)</f>
        <v>5.5647058823529412E-3</v>
      </c>
      <c r="G18">
        <f t="shared" si="4"/>
        <v>227040</v>
      </c>
      <c r="H18">
        <f t="shared" si="5"/>
        <v>15136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VLOOKUP(L18,tables_425103!B:C,2,FALSE)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COUNTIF(tables_425103!C:C,input_425103!A19)-COUNTIF(Q:Q,A19)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VLOOKUP(L19,tables_425103!B:C,2,FALSE)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E$7*E20*B$6+0.0016+E50</f>
        <v>0.21599808825735281</v>
      </c>
      <c r="C20" s="86">
        <f t="shared" si="2"/>
        <v>0</v>
      </c>
      <c r="D20" s="75">
        <f t="shared" si="3"/>
        <v>0.21599808825735281</v>
      </c>
      <c r="E20">
        <f>COUNTIF(tables_425103!C:C,input_425103!A20)-COUNTIF(Q:Q,A20)</f>
        <v>39</v>
      </c>
      <c r="F20" s="43">
        <f t="shared" si="8"/>
        <v>5.5384125194193031E-3</v>
      </c>
      <c r="G20">
        <f t="shared" si="4"/>
        <v>587514.80005999969</v>
      </c>
      <c r="H20">
        <f t="shared" si="5"/>
        <v>15064.482050000001</v>
      </c>
      <c r="I20">
        <f t="shared" si="6"/>
        <v>0.48205000000052678</v>
      </c>
      <c r="J20">
        <f t="shared" si="7"/>
        <v>2.0744736023211434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VLOOKUP(L20,tables_425103!B:C,2,FALSE)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E$7*E21*B$7-E50</f>
        <v>2.625441154411861E-3</v>
      </c>
      <c r="C21" s="86">
        <f t="shared" si="2"/>
        <v>0</v>
      </c>
      <c r="D21" s="75">
        <f t="shared" si="3"/>
        <v>2.625441154411861E-3</v>
      </c>
      <c r="E21">
        <f>COUNTIF(tables_425103!C:C,input_425103!A21)-COUNTIF(Q:Q,A21)</f>
        <v>39</v>
      </c>
      <c r="F21" s="43">
        <f t="shared" si="8"/>
        <v>6.7319003959278486E-5</v>
      </c>
      <c r="G21">
        <f t="shared" si="4"/>
        <v>7141.1999400002614</v>
      </c>
      <c r="H21">
        <f t="shared" si="5"/>
        <v>183.10768999999999</v>
      </c>
      <c r="I21">
        <f t="shared" si="6"/>
        <v>0.10768999999999096</v>
      </c>
      <c r="J21">
        <f t="shared" si="7"/>
        <v>9.2859132695708411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5.8151176470588234E-2</v>
      </c>
      <c r="C22" s="86">
        <f t="shared" si="2"/>
        <v>0</v>
      </c>
      <c r="D22" s="75">
        <f t="shared" si="3"/>
        <v>5.8151176470588234E-2</v>
      </c>
      <c r="E22">
        <f>COUNTIF(tables_425103!C:C,input_425103!A22)-COUNTIF(Q:Q,A22)</f>
        <v>11</v>
      </c>
      <c r="F22" s="43">
        <f t="shared" si="8"/>
        <v>5.2864705882352944E-3</v>
      </c>
      <c r="G22">
        <f t="shared" si="4"/>
        <v>158171.19999999998</v>
      </c>
      <c r="H22">
        <f t="shared" si="5"/>
        <v>14379.2</v>
      </c>
      <c r="I22">
        <f t="shared" si="6"/>
        <v>0.2000000000007276</v>
      </c>
      <c r="J22">
        <f t="shared" si="7"/>
        <v>4.9999999999818101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3.0605882352941179E-3</v>
      </c>
      <c r="C23" s="86">
        <f t="shared" si="2"/>
        <v>0</v>
      </c>
      <c r="D23" s="75">
        <f t="shared" si="3"/>
        <v>3.0605882352941179E-3</v>
      </c>
      <c r="E23">
        <f>COUNTIF(tables_425103!C:C,input_425103!A23)-COUNTIF(Q:Q,A23)</f>
        <v>11</v>
      </c>
      <c r="F23" s="43">
        <f t="shared" si="8"/>
        <v>2.7823529411764706E-4</v>
      </c>
      <c r="G23">
        <f t="shared" si="4"/>
        <v>8324.8000000000011</v>
      </c>
      <c r="H23">
        <f t="shared" si="5"/>
        <v>756.8</v>
      </c>
      <c r="I23">
        <f t="shared" si="6"/>
        <v>0.79999999999995453</v>
      </c>
      <c r="J23">
        <f t="shared" si="7"/>
        <v>1.2500000000000711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COUNTIF(tables_425103!C:C,input_425103!A24)-COUNTIF(Q:Q,A24)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1.5859411764705879E-2</v>
      </c>
      <c r="C25" s="86">
        <f t="shared" si="2"/>
        <v>0</v>
      </c>
      <c r="D25" s="75">
        <f t="shared" si="3"/>
        <v>1.5859411764705879E-2</v>
      </c>
      <c r="E25">
        <f>COUNTIF(tables_425103!C:C,input_425103!A25)-COUNTIF(Q:Q,A25)</f>
        <v>3</v>
      </c>
      <c r="F25" s="43">
        <f t="shared" si="8"/>
        <v>5.2864705882352927E-3</v>
      </c>
      <c r="G25">
        <f t="shared" si="4"/>
        <v>43137.599999999991</v>
      </c>
      <c r="H25">
        <f t="shared" si="5"/>
        <v>14379.2</v>
      </c>
      <c r="I25">
        <f t="shared" si="6"/>
        <v>0.2000000000007276</v>
      </c>
      <c r="J25">
        <f t="shared" si="7"/>
        <v>4.9999999999818101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8.3470588235294118E-4</v>
      </c>
      <c r="C26" s="86">
        <f t="shared" si="2"/>
        <v>0</v>
      </c>
      <c r="D26" s="75">
        <f t="shared" si="3"/>
        <v>8.3470588235294118E-4</v>
      </c>
      <c r="E26">
        <f>COUNTIF(tables_425103!C:C,input_425103!A26)-COUNTIF(Q:Q,A26)</f>
        <v>3</v>
      </c>
      <c r="F26" s="43">
        <f t="shared" si="8"/>
        <v>2.7823529411764706E-4</v>
      </c>
      <c r="G26">
        <f t="shared" si="4"/>
        <v>2270.4</v>
      </c>
      <c r="H26">
        <f t="shared" si="5"/>
        <v>756.8</v>
      </c>
      <c r="I26">
        <f t="shared" si="6"/>
        <v>0.79999999999995453</v>
      </c>
      <c r="J26">
        <f t="shared" si="7"/>
        <v>1.2500000000000711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9.9750000000000012E-3</v>
      </c>
      <c r="C27" s="86">
        <f t="shared" si="2"/>
        <v>0</v>
      </c>
      <c r="D27" s="75">
        <f t="shared" si="3"/>
        <v>9.9750000000000012E-3</v>
      </c>
      <c r="E27">
        <f>COUNTIF(tables_425103!C:C,input_425103!A27)-COUNTIF(Q:Q,A27)</f>
        <v>21</v>
      </c>
      <c r="F27" s="43">
        <f>IFERROR(B27/E27,0)</f>
        <v>4.7500000000000005E-4</v>
      </c>
      <c r="G27">
        <f t="shared" si="4"/>
        <v>27132.000000000004</v>
      </c>
      <c r="H27">
        <f t="shared" si="5"/>
        <v>1292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5.2500000000000018E-4</v>
      </c>
      <c r="C28" s="86">
        <f t="shared" si="2"/>
        <v>0</v>
      </c>
      <c r="D28" s="75">
        <f t="shared" si="3"/>
        <v>5.2500000000000018E-4</v>
      </c>
      <c r="E28">
        <f>COUNTIF(tables_425103!C:C,input_425103!A28)-COUNTIF(Q:Q,A28)</f>
        <v>21</v>
      </c>
      <c r="F28" s="43">
        <f t="shared" si="8"/>
        <v>2.5000000000000008E-5</v>
      </c>
      <c r="G28">
        <f t="shared" si="4"/>
        <v>1428.0000000000005</v>
      </c>
      <c r="H28">
        <f t="shared" si="5"/>
        <v>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9.5000000000000015E-3</v>
      </c>
      <c r="C29" s="86">
        <f t="shared" si="2"/>
        <v>0</v>
      </c>
      <c r="D29" s="75">
        <f t="shared" si="3"/>
        <v>9.5000000000000015E-3</v>
      </c>
      <c r="E29">
        <f>COUNTIF(tables_425103!C:C,input_425103!A29)-COUNTIF(Q:Q,A29)</f>
        <v>19</v>
      </c>
      <c r="F29" s="43">
        <f t="shared" si="8"/>
        <v>5.0000000000000012E-4</v>
      </c>
      <c r="G29">
        <f t="shared" si="4"/>
        <v>25840.000000000004</v>
      </c>
      <c r="H29">
        <f t="shared" si="5"/>
        <v>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COUNTIF(tables_425103!C:C,input_425103!A30)-COUNTIF(Q:Q,A30)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COUNTIF(tables_425103!C:C,input_425103!A31)-COUNTIF(Q:Q,A31)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COUNTIF(tables_425103!C:C,input_425103!A32)-COUNTIF(Q:Q,A32)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E$8*E33-B32-0.0016</f>
        <v>0.12740000000000001</v>
      </c>
      <c r="C33" s="86">
        <f t="shared" si="2"/>
        <v>0</v>
      </c>
      <c r="D33" s="75">
        <f t="shared" si="3"/>
        <v>0.12740000000000001</v>
      </c>
      <c r="E33">
        <f>COUNTIF(tables_425103!C:C,input_425103!A33)-COUNTIF(Q:Q,A33)</f>
        <v>5</v>
      </c>
      <c r="F33" s="43">
        <f>IFERROR(B33/E33,0)</f>
        <v>2.5480000000000003E-2</v>
      </c>
      <c r="G33">
        <f t="shared" si="4"/>
        <v>346528.00000000006</v>
      </c>
      <c r="H33">
        <f t="shared" si="5"/>
        <v>69305.600000000006</v>
      </c>
      <c r="I33">
        <f t="shared" si="6"/>
        <v>0.60000000000582077</v>
      </c>
      <c r="J33">
        <f t="shared" si="7"/>
        <v>1.6666666666504979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COUNTIF(tables_425103!C:C,input_425103!A34)-COUNTIF(Q:Q,A34)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E$8*E35*B$6+E50</f>
        <v>0.32685573531617634</v>
      </c>
      <c r="C35" s="86">
        <f t="shared" si="2"/>
        <v>0</v>
      </c>
      <c r="D35" s="75">
        <f t="shared" si="3"/>
        <v>0.32685573531617634</v>
      </c>
      <c r="E35">
        <f>COUNTIF(tables_425103!C:C,input_425103!A35)-COUNTIF(Q:Q,A35)</f>
        <v>13</v>
      </c>
      <c r="F35" s="43">
        <f t="shared" si="9"/>
        <v>2.5142748870475105E-2</v>
      </c>
      <c r="G35">
        <f t="shared" si="4"/>
        <v>889047.60005999962</v>
      </c>
      <c r="H35">
        <f t="shared" si="5"/>
        <v>68388.276930000007</v>
      </c>
      <c r="I35">
        <f t="shared" si="6"/>
        <v>0.27693000000726897</v>
      </c>
      <c r="J35">
        <f t="shared" si="7"/>
        <v>3.6110208354954376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E$8*E36*B$7-E50</f>
        <v>8.5442646838236255E-3</v>
      </c>
      <c r="C36" s="86">
        <f t="shared" si="2"/>
        <v>0</v>
      </c>
      <c r="D36" s="75">
        <f t="shared" si="3"/>
        <v>8.5442646838236255E-3</v>
      </c>
      <c r="E36">
        <f>COUNTIF(tables_425103!C:C,input_425103!A36)-COUNTIF(Q:Q,A36)</f>
        <v>13</v>
      </c>
      <c r="F36" s="43">
        <f t="shared" si="9"/>
        <v>6.5725112952489425E-4</v>
      </c>
      <c r="G36">
        <f t="shared" si="4"/>
        <v>23240.399940000261</v>
      </c>
      <c r="H36">
        <f t="shared" si="5"/>
        <v>1787.72307</v>
      </c>
      <c r="I36">
        <f t="shared" si="6"/>
        <v>0.72307000000000698</v>
      </c>
      <c r="J36">
        <f t="shared" si="7"/>
        <v>1.3829919648166711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7.3529999999999998E-2</v>
      </c>
      <c r="C37" s="86">
        <f t="shared" si="2"/>
        <v>0</v>
      </c>
      <c r="D37" s="75">
        <f t="shared" si="3"/>
        <v>7.3529999999999998E-2</v>
      </c>
      <c r="E37">
        <f>COUNTIF(tables_425103!C:C,input_425103!A37)-COUNTIF(Q:Q,A37)</f>
        <v>3</v>
      </c>
      <c r="F37" s="43">
        <f t="shared" si="9"/>
        <v>2.4510000000000001E-2</v>
      </c>
      <c r="G37">
        <f t="shared" si="4"/>
        <v>200001.6</v>
      </c>
      <c r="H37">
        <f t="shared" si="5"/>
        <v>66667.199999999997</v>
      </c>
      <c r="I37">
        <f t="shared" si="6"/>
        <v>0.19999999999708962</v>
      </c>
      <c r="J37">
        <f t="shared" si="7"/>
        <v>5.0000000000727596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3.8700000000000002E-3</v>
      </c>
      <c r="C38" s="86">
        <f t="shared" si="2"/>
        <v>0</v>
      </c>
      <c r="D38" s="75">
        <f t="shared" si="3"/>
        <v>3.8700000000000002E-3</v>
      </c>
      <c r="E38">
        <f>COUNTIF(tables_425103!C:C,input_425103!A38)-COUNTIF(Q:Q,A38)</f>
        <v>3</v>
      </c>
      <c r="F38" s="43">
        <f t="shared" si="9"/>
        <v>1.2900000000000001E-3</v>
      </c>
      <c r="G38">
        <f t="shared" si="4"/>
        <v>10526.4</v>
      </c>
      <c r="H38">
        <f t="shared" si="5"/>
        <v>3508.8</v>
      </c>
      <c r="I38">
        <f t="shared" si="6"/>
        <v>0.8000000000001819</v>
      </c>
      <c r="J38">
        <f t="shared" si="7"/>
        <v>1.2499999999997158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COUNTIF(tables_425103!C:C,input_425103!A39)-COUNTIF(Q:Q,A39)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2.4510000000000001E-2</v>
      </c>
      <c r="C40" s="86">
        <f t="shared" si="2"/>
        <v>0</v>
      </c>
      <c r="D40" s="75">
        <f t="shared" si="3"/>
        <v>2.4510000000000001E-2</v>
      </c>
      <c r="E40">
        <f>COUNTIF(tables_425103!C:C,input_425103!A40)-COUNTIF(Q:Q,A40)</f>
        <v>1</v>
      </c>
      <c r="F40" s="43">
        <f t="shared" si="9"/>
        <v>2.4510000000000001E-2</v>
      </c>
      <c r="G40">
        <f t="shared" si="4"/>
        <v>66667.199999999997</v>
      </c>
      <c r="H40">
        <f t="shared" si="5"/>
        <v>66667.199999999997</v>
      </c>
      <c r="I40">
        <f t="shared" si="6"/>
        <v>0.19999999999708962</v>
      </c>
      <c r="J40">
        <f t="shared" si="7"/>
        <v>5.0000000000727596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1.2900000000000001E-3</v>
      </c>
      <c r="C41" s="86">
        <f t="shared" si="2"/>
        <v>0</v>
      </c>
      <c r="D41" s="75">
        <f t="shared" si="3"/>
        <v>1.2900000000000001E-3</v>
      </c>
      <c r="E41">
        <f>COUNTIF(tables_425103!C:C,input_425103!A41)-COUNTIF(Q:Q,A41)</f>
        <v>1</v>
      </c>
      <c r="F41" s="43">
        <f t="shared" si="9"/>
        <v>1.2900000000000001E-3</v>
      </c>
      <c r="G41">
        <f t="shared" si="4"/>
        <v>3508.8</v>
      </c>
      <c r="H41">
        <f t="shared" si="5"/>
        <v>3508.8</v>
      </c>
      <c r="I41">
        <f t="shared" si="6"/>
        <v>0.8000000000001819</v>
      </c>
      <c r="J41">
        <f t="shared" si="7"/>
        <v>1.2499999999997158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1.4250000000000001E-2</v>
      </c>
      <c r="C42" s="86">
        <f t="shared" si="2"/>
        <v>0</v>
      </c>
      <c r="D42" s="75">
        <f t="shared" si="3"/>
        <v>1.4250000000000001E-2</v>
      </c>
      <c r="E42">
        <f>COUNTIF(tables_425103!C:C,input_425103!A42)-COUNTIF(Q:Q,A42)</f>
        <v>7</v>
      </c>
      <c r="F42" s="43">
        <f>IFERROR(B42/E42,0)</f>
        <v>2.0357142857142857E-3</v>
      </c>
      <c r="G42">
        <f t="shared" si="4"/>
        <v>38760</v>
      </c>
      <c r="H42">
        <f t="shared" si="5"/>
        <v>5537.1428599999999</v>
      </c>
      <c r="I42">
        <f t="shared" si="6"/>
        <v>0.14285999999992782</v>
      </c>
      <c r="J42">
        <f t="shared" si="7"/>
        <v>6.999860002803481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7.5000000000000012E-4</v>
      </c>
      <c r="C43" s="86">
        <f t="shared" si="2"/>
        <v>0</v>
      </c>
      <c r="D43" s="75">
        <f t="shared" si="3"/>
        <v>7.5000000000000012E-4</v>
      </c>
      <c r="E43">
        <f>COUNTIF(tables_425103!C:C,input_425103!A43)-COUNTIF(Q:Q,A43)</f>
        <v>7</v>
      </c>
      <c r="F43" s="43">
        <f t="shared" ref="F43:F46" si="10">IFERROR(B43/E43,0)</f>
        <v>1.0714285714285716E-4</v>
      </c>
      <c r="G43">
        <f t="shared" si="4"/>
        <v>2040.0000000000002</v>
      </c>
      <c r="H43">
        <f t="shared" si="5"/>
        <v>291.42856999999998</v>
      </c>
      <c r="I43">
        <f t="shared" si="6"/>
        <v>0.42856999999997925</v>
      </c>
      <c r="J43">
        <f t="shared" si="7"/>
        <v>2.33334111113715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1.5000000000000001E-2</v>
      </c>
      <c r="C44" s="86">
        <f t="shared" si="2"/>
        <v>0</v>
      </c>
      <c r="D44" s="75">
        <f t="shared" si="3"/>
        <v>1.5000000000000001E-2</v>
      </c>
      <c r="E44">
        <f>COUNTIF(tables_425103!C:C,input_425103!A44)-COUNTIF(Q:Q,A44)</f>
        <v>7</v>
      </c>
      <c r="F44" s="43">
        <f t="shared" si="10"/>
        <v>2.142857142857143E-3</v>
      </c>
      <c r="G44">
        <f t="shared" si="4"/>
        <v>40800</v>
      </c>
      <c r="H44">
        <f t="shared" si="5"/>
        <v>5828.57143</v>
      </c>
      <c r="I44">
        <f t="shared" si="6"/>
        <v>0.57142999999996391</v>
      </c>
      <c r="J44">
        <f t="shared" si="7"/>
        <v>1.749995625011048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COUNTIF(tables_425103!C:C,input_425103!A45)-COUNTIF(Q:Q,A45)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3"/>
        <v>4.0000000000000001E-3</v>
      </c>
      <c r="E46">
        <f>COUNTIF(tables_425103!C:C,input_425103!A46)-COUNTIF(Q:Q,A46)</f>
        <v>1</v>
      </c>
      <c r="F46" s="43">
        <f t="shared" si="10"/>
        <v>4.0000000000000001E-3</v>
      </c>
      <c r="G46">
        <f t="shared" si="4"/>
        <v>10880</v>
      </c>
      <c r="H46">
        <f t="shared" si="5"/>
        <v>10880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1.6451470632352749E-2</v>
      </c>
    </row>
    <row r="50" spans="1:7" x14ac:dyDescent="0.15">
      <c r="A50" t="s">
        <v>74</v>
      </c>
      <c r="E50">
        <f>E49/2</f>
        <v>8.2257353161763747E-3</v>
      </c>
    </row>
    <row r="51" spans="1:7" x14ac:dyDescent="0.15">
      <c r="A51" s="31">
        <f>LCM(F5-I5,F7-I6)*1000*2*2</f>
        <v>2720000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SUMIF(tables_425103!C:C,input_425103!A55,tables_425103!O:O)</f>
        <v>0</v>
      </c>
      <c r="C55" s="54">
        <f t="shared" ref="C55:C61" ca="1" si="11">B55/B$62</f>
        <v>0</v>
      </c>
      <c r="E55">
        <v>3</v>
      </c>
      <c r="F55">
        <f ca="1">SUMIF(tables_425103!J:J,input_425103!E55,tables_425103!O:O)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SUMIF(tables_425103!C:C,input_425103!A56,tables_425103!O:O)</f>
        <v>587514.79994999978</v>
      </c>
      <c r="C56" s="54">
        <f t="shared" ca="1" si="11"/>
        <v>0.94271456458431757</v>
      </c>
      <c r="E56">
        <v>4</v>
      </c>
      <c r="F56">
        <f ca="1">SUMIF(tables_425103!J:J,input_425103!E56,tables_425103!O:O)</f>
        <v>2584000.0000600028</v>
      </c>
      <c r="G56">
        <f ca="1">F56/A51</f>
        <v>0.95000000002205987</v>
      </c>
    </row>
    <row r="57" spans="1:7" x14ac:dyDescent="0.15">
      <c r="A57" s="33" t="s">
        <v>109</v>
      </c>
      <c r="B57">
        <f ca="1">SUMIF(tables_425103!C:C,input_425103!A57,tables_425103!O:O)</f>
        <v>27132</v>
      </c>
      <c r="C57" s="54">
        <f t="shared" ca="1" si="11"/>
        <v>4.3535467648608148E-2</v>
      </c>
      <c r="E57">
        <v>5</v>
      </c>
      <c r="F57">
        <f ca="1">SUMIF(tables_425103!J:J,input_425103!E57,tables_425103!O:O)</f>
        <v>135999.99982000003</v>
      </c>
      <c r="G57">
        <f ca="1">F57/A51</f>
        <v>4.9999999933823536E-2</v>
      </c>
    </row>
    <row r="58" spans="1:7" x14ac:dyDescent="0.15">
      <c r="A58" s="33" t="s">
        <v>113</v>
      </c>
      <c r="B58">
        <f>SUMIF(tables_425103!C:C,input_425103!A58,tables_425103!O:O)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SUMIF(tables_425103!C:C,input_425103!A59,tables_425103!O:O)</f>
        <v>7141.1999099999957</v>
      </c>
      <c r="C59" s="54">
        <f t="shared" ca="1" si="11"/>
        <v>1.1458627364516005E-2</v>
      </c>
      <c r="E59" t="s">
        <v>55</v>
      </c>
      <c r="F59" s="55"/>
    </row>
    <row r="60" spans="1:7" x14ac:dyDescent="0.15">
      <c r="A60" s="33" t="s">
        <v>110</v>
      </c>
      <c r="B60">
        <f ca="1">SUMIF(tables_425103!C:C,input_425103!A60,tables_425103!O:O)</f>
        <v>1428</v>
      </c>
      <c r="C60" s="54">
        <f t="shared" ca="1" si="11"/>
        <v>2.2913404025583237E-3</v>
      </c>
      <c r="E60" t="s">
        <v>210</v>
      </c>
      <c r="F60" s="55">
        <f ca="1">SUMIF(tables_425103!I:I,input_425103!E60,tables_425103!P:P)</f>
        <v>0.21087058824459728</v>
      </c>
    </row>
    <row r="61" spans="1:7" x14ac:dyDescent="0.15">
      <c r="A61" s="33" t="s">
        <v>111</v>
      </c>
      <c r="B61">
        <f>SUMIF(tables_425103!C:C,input_425103!A61,tables_425103!O:O)</f>
        <v>0</v>
      </c>
      <c r="C61" s="54">
        <f t="shared" ca="1" si="11"/>
        <v>0</v>
      </c>
      <c r="E61" t="s">
        <v>211</v>
      </c>
      <c r="F61" s="55">
        <f ca="1">SUMIF(tables_425103!I:I,input_425103!E61,tables_425103!P:P)</f>
        <v>0.21296289592116005</v>
      </c>
    </row>
    <row r="62" spans="1:7" x14ac:dyDescent="0.15">
      <c r="A62" s="39" t="s">
        <v>60</v>
      </c>
      <c r="B62">
        <f ca="1">SUM(B55:B61)</f>
        <v>623215.99985999975</v>
      </c>
      <c r="C62" s="55">
        <f ca="1">SUM(C55:C61)</f>
        <v>1</v>
      </c>
      <c r="E62" t="s">
        <v>212</v>
      </c>
      <c r="F62" s="55">
        <f ca="1">SUMIF(tables_425103!I:I,input_425103!E62,tables_425103!P:P)</f>
        <v>0.52216651582450724</v>
      </c>
    </row>
    <row r="63" spans="1:7" x14ac:dyDescent="0.15">
      <c r="E63" t="s">
        <v>213</v>
      </c>
      <c r="F63" s="55">
        <f ca="1">SUMIF(tables_425103!I:I,input_425103!E63,tables_425103!P:P)</f>
        <v>4.8500000009492637E-2</v>
      </c>
    </row>
    <row r="64" spans="1:7" x14ac:dyDescent="0.15">
      <c r="E64" t="s">
        <v>294</v>
      </c>
      <c r="F64" s="55">
        <f ca="1">SUMIF(tables_425103!I:I,input_425103!E64,tables_425103!P:P)</f>
        <v>1.5000000000661767E-3</v>
      </c>
    </row>
    <row r="65" spans="5:6" x14ac:dyDescent="0.15">
      <c r="E65" t="s">
        <v>293</v>
      </c>
      <c r="F65" s="55">
        <f ca="1">SUMIF(tables_425103!I:I,input_425103!E65,tables_425103!P:P)</f>
        <v>4.0000000001764709E-3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" activePane="bottomLeft" state="frozen"/>
      <selection activeCell="L296" sqref="L296"/>
      <selection pane="bottomLeft" activeCell="B319" sqref="B2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input_425103!A$2</f>
        <v>425103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IFERROR(VLOOKUP(B2,input_425103!L:R,7,FALSE),VLOOKUP(tables_425103!C2,input_425103!A:H,8,FALSE))</f>
        <v>15136</v>
      </c>
      <c r="P2" s="46">
        <f t="shared" ref="P2:P65" ca="1" si="1">O2/SUM(O:O)</f>
        <v>5.5647058825984436E-3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input_425103!A$2</f>
        <v>425103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IFERROR(VLOOKUP(B3,input_425103!L:R,7,FALSE),VLOOKUP(tables_425103!C3,input_425103!A:H,8,FALSE))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input_425103!A$2</f>
        <v>425103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IFERROR(VLOOKUP(B4,input_425103!L:R,7,FALSE),VLOOKUP(tables_425103!C4,input_425103!A:H,8,FALSE))</f>
        <v>15136</v>
      </c>
      <c r="P4" s="46">
        <f t="shared" ca="1" si="1"/>
        <v>5.5647058825984436E-3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input_425103!A$2</f>
        <v>425103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IFERROR(VLOOKUP(B5,input_425103!L:R,7,FALSE),VLOOKUP(tables_425103!C5,input_425103!A:H,8,FALSE))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input_425103!A$2</f>
        <v>425103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IFERROR(VLOOKUP(B6,input_425103!L:R,7,FALSE),VLOOKUP(tables_425103!C6,input_425103!A:H,8,FALSE))</f>
        <v>15136</v>
      </c>
      <c r="P6" s="46">
        <f t="shared" ca="1" si="1"/>
        <v>5.5647058825984436E-3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input_425103!A$2</f>
        <v>425103</v>
      </c>
      <c r="B7" s="6">
        <v>132</v>
      </c>
      <c r="C7" s="7" t="str">
        <f t="shared" si="0"/>
        <v>PremiumW3color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IFERROR(VLOOKUP(B7,input_425103!L:R,7,FALSE),VLOOKUP(tables_425103!C7,input_425103!A:H,8,FALSE))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input_425103!A$2</f>
        <v>425103</v>
      </c>
      <c r="B8" s="6">
        <v>133</v>
      </c>
      <c r="C8" s="7" t="str">
        <f t="shared" si="0"/>
        <v>PremiumW4color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IFERROR(VLOOKUP(B8,input_425103!L:R,7,FALSE),VLOOKUP(tables_425103!C8,input_425103!A:H,8,FALSE))</f>
        <v>69305.600000000006</v>
      </c>
      <c r="P8" s="46">
        <f t="shared" ca="1" si="1"/>
        <v>2.5480000001124124E-2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input_425103!A$2</f>
        <v>425103</v>
      </c>
      <c r="B9" s="6">
        <v>134</v>
      </c>
      <c r="C9" s="7" t="str">
        <f t="shared" si="0"/>
        <v>PremiumW3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IFERROR(VLOOKUP(B9,input_425103!L:R,7,FALSE),VLOOKUP(tables_425103!C9,input_425103!A:H,8,FALSE))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input_425103!A$2</f>
        <v>425103</v>
      </c>
      <c r="B10" s="6">
        <v>135</v>
      </c>
      <c r="C10" s="7" t="str">
        <f t="shared" si="0"/>
        <v>PremiumW4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IFERROR(VLOOKUP(B10,input_425103!L:R,7,FALSE),VLOOKUP(tables_425103!C10,input_425103!A:H,8,FALSE))</f>
        <v>15136</v>
      </c>
      <c r="P10" s="46">
        <f t="shared" ca="1" si="1"/>
        <v>5.5647058825984436E-3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input_425103!A$2</f>
        <v>425103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IFERROR(VLOOKUP(B11,input_425103!L:R,7,FALSE),VLOOKUP(tables_425103!C11,input_425103!A:H,8,FALSE))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input_425103!A$2</f>
        <v>425103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IFERROR(VLOOKUP(B12,input_425103!L:R,7,FALSE),VLOOKUP(tables_425103!C12,input_425103!A:H,8,FALSE))</f>
        <v>15136</v>
      </c>
      <c r="P12" s="46">
        <f t="shared" ca="1" si="1"/>
        <v>5.5647058825984436E-3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input_425103!A$2</f>
        <v>425103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IFERROR(VLOOKUP(B13,input_425103!L:R,7,FALSE),VLOOKUP(tables_425103!C13,input_425103!A:H,8,FALSE))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input_425103!A$2</f>
        <v>425103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IFERROR(VLOOKUP(B14,input_425103!L:R,7,FALSE),VLOOKUP(tables_425103!C14,input_425103!A:H,8,FALSE))</f>
        <v>15136</v>
      </c>
      <c r="P14" s="46">
        <f t="shared" ca="1" si="1"/>
        <v>5.5647058825984436E-3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input_425103!A$2</f>
        <v>425103</v>
      </c>
      <c r="B15" s="10">
        <v>140</v>
      </c>
      <c r="C15" s="7" t="str">
        <f t="shared" si="0"/>
        <v>PremiumW3color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IFERROR(VLOOKUP(B15,input_425103!L:R,7,FALSE),VLOOKUP(tables_425103!C15,input_425103!A:H,8,FALSE))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input_425103!A$2</f>
        <v>425103</v>
      </c>
      <c r="B16" s="11">
        <v>141</v>
      </c>
      <c r="C16" s="7" t="str">
        <f t="shared" si="0"/>
        <v>PremiumW4color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IFERROR(VLOOKUP(B16,input_425103!L:R,7,FALSE),VLOOKUP(tables_425103!C16,input_425103!A:H,8,FALSE))</f>
        <v>69305.600000000006</v>
      </c>
      <c r="P16" s="46">
        <f t="shared" ca="1" si="1"/>
        <v>2.5480000001124124E-2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input_425103!A$2</f>
        <v>425103</v>
      </c>
      <c r="B17" s="6">
        <v>142</v>
      </c>
      <c r="C17" s="7" t="str">
        <f t="shared" si="0"/>
        <v>PremiumW3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IFERROR(VLOOKUP(B17,input_425103!L:R,7,FALSE),VLOOKUP(tables_425103!C17,input_425103!A:H,8,FALSE))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input_425103!A$2</f>
        <v>425103</v>
      </c>
      <c r="B18" s="6">
        <v>143</v>
      </c>
      <c r="C18" s="7" t="str">
        <f t="shared" si="0"/>
        <v>PremiumW4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IFERROR(VLOOKUP(B18,input_425103!L:R,7,FALSE),VLOOKUP(tables_425103!C18,input_425103!A:H,8,FALSE))</f>
        <v>15136</v>
      </c>
      <c r="P18" s="46">
        <f t="shared" ca="1" si="1"/>
        <v>5.5647058825984436E-3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input_425103!A$2</f>
        <v>425103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IFERROR(VLOOKUP(B19,input_425103!L:R,7,FALSE),VLOOKUP(tables_425103!C19,input_425103!A:H,8,FALSE))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input_425103!A$2</f>
        <v>425103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IFERROR(VLOOKUP(B20,input_425103!L:R,7,FALSE),VLOOKUP(tables_425103!C20,input_425103!A:H,8,FALSE))</f>
        <v>15136</v>
      </c>
      <c r="P20" s="46">
        <f t="shared" ca="1" si="1"/>
        <v>5.5647058825984436E-3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input_425103!A$2</f>
        <v>425103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IFERROR(VLOOKUP(B21,input_425103!L:R,7,FALSE),VLOOKUP(tables_425103!C21,input_425103!A:H,8,FALSE))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input_425103!A$2</f>
        <v>425103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IFERROR(VLOOKUP(B22,input_425103!L:R,7,FALSE),VLOOKUP(tables_425103!C22,input_425103!A:H,8,FALSE))</f>
        <v>15136</v>
      </c>
      <c r="P22" s="46">
        <f t="shared" ca="1" si="1"/>
        <v>5.5647058825984436E-3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input_425103!A$2</f>
        <v>425103</v>
      </c>
      <c r="B23" s="6">
        <v>148</v>
      </c>
      <c r="C23" s="7" t="str">
        <f t="shared" si="0"/>
        <v>PremiumW3color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IFERROR(VLOOKUP(B23,input_425103!L:R,7,FALSE),VLOOKUP(tables_425103!C23,input_425103!A:H,8,FALSE))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input_425103!A$2</f>
        <v>425103</v>
      </c>
      <c r="B24" s="6">
        <v>149</v>
      </c>
      <c r="C24" s="7" t="str">
        <f t="shared" si="0"/>
        <v>PremiumW4color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IFERROR(VLOOKUP(B24,input_425103!L:R,7,FALSE),VLOOKUP(tables_425103!C24,input_425103!A:H,8,FALSE))</f>
        <v>69305.600000000006</v>
      </c>
      <c r="P24" s="46">
        <f t="shared" ca="1" si="1"/>
        <v>2.5480000001124124E-2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input_425103!A$2</f>
        <v>425103</v>
      </c>
      <c r="B25" s="6">
        <v>150</v>
      </c>
      <c r="C25" s="7" t="str">
        <f t="shared" si="0"/>
        <v>PremiumW3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IFERROR(VLOOKUP(B25,input_425103!L:R,7,FALSE),VLOOKUP(tables_425103!C25,input_425103!A:H,8,FALSE))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input_425103!A$2</f>
        <v>425103</v>
      </c>
      <c r="B26" s="6">
        <v>151</v>
      </c>
      <c r="C26" s="7" t="str">
        <f t="shared" si="0"/>
        <v>PremiumW4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IFERROR(VLOOKUP(B26,input_425103!L:R,7,FALSE),VLOOKUP(tables_425103!C26,input_425103!A:H,8,FALSE))</f>
        <v>15136</v>
      </c>
      <c r="P26" s="46">
        <f t="shared" ca="1" si="1"/>
        <v>5.5647058825984436E-3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input_425103!A$2</f>
        <v>425103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IFERROR(VLOOKUP(B27,input_425103!L:R,7,FALSE),VLOOKUP(tables_425103!C27,input_425103!A:H,8,FALSE))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input_425103!A$2</f>
        <v>425103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IFERROR(VLOOKUP(B28,input_425103!L:R,7,FALSE),VLOOKUP(tables_425103!C28,input_425103!A:H,8,FALSE))</f>
        <v>15136</v>
      </c>
      <c r="P28" s="46">
        <f t="shared" ca="1" si="1"/>
        <v>5.5647058825984436E-3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input_425103!A$2</f>
        <v>425103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IFERROR(VLOOKUP(B29,input_425103!L:R,7,FALSE),VLOOKUP(tables_425103!C29,input_425103!A:H,8,FALSE))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input_425103!A$2</f>
        <v>425103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IFERROR(VLOOKUP(B30,input_425103!L:R,7,FALSE),VLOOKUP(tables_425103!C30,input_425103!A:H,8,FALSE))</f>
        <v>15136</v>
      </c>
      <c r="P30" s="46">
        <f t="shared" ca="1" si="1"/>
        <v>5.5647058825984436E-3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input_425103!A$2</f>
        <v>425103</v>
      </c>
      <c r="B31" s="6">
        <v>156</v>
      </c>
      <c r="C31" s="7" t="str">
        <f t="shared" si="0"/>
        <v>PremiumW3color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IFERROR(VLOOKUP(B31,input_425103!L:R,7,FALSE),VLOOKUP(tables_425103!C31,input_425103!A:H,8,FALSE))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input_425103!A$2</f>
        <v>425103</v>
      </c>
      <c r="B32" s="6">
        <v>157</v>
      </c>
      <c r="C32" s="7" t="str">
        <f t="shared" si="0"/>
        <v>PremiumW4color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IFERROR(VLOOKUP(B32,input_425103!L:R,7,FALSE),VLOOKUP(tables_425103!C32,input_425103!A:H,8,FALSE))</f>
        <v>69305.600000000006</v>
      </c>
      <c r="P32" s="46">
        <f t="shared" ca="1" si="1"/>
        <v>2.5480000001124124E-2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input_425103!A$2</f>
        <v>425103</v>
      </c>
      <c r="B33" s="6">
        <v>158</v>
      </c>
      <c r="C33" s="7" t="str">
        <f t="shared" si="0"/>
        <v>PremiumW3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IFERROR(VLOOKUP(B33,input_425103!L:R,7,FALSE),VLOOKUP(tables_425103!C33,input_425103!A:H,8,FALSE))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input_425103!A$2</f>
        <v>425103</v>
      </c>
      <c r="B34" s="6">
        <v>159</v>
      </c>
      <c r="C34" s="7" t="str">
        <f t="shared" si="0"/>
        <v>PremiumW4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IFERROR(VLOOKUP(B34,input_425103!L:R,7,FALSE),VLOOKUP(tables_425103!C34,input_425103!A:H,8,FALSE))</f>
        <v>15136</v>
      </c>
      <c r="P34" s="46">
        <f t="shared" ca="1" si="1"/>
        <v>5.5647058825984436E-3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input_425103!A$2</f>
        <v>425103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IFERROR(VLOOKUP(B35,input_425103!L:R,7,FALSE),VLOOKUP(tables_425103!C35,input_425103!A:H,8,FALSE))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input_425103!A$2</f>
        <v>425103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IFERROR(VLOOKUP(B36,input_425103!L:R,7,FALSE),VLOOKUP(tables_425103!C36,input_425103!A:H,8,FALSE))</f>
        <v>15136</v>
      </c>
      <c r="P36" s="46">
        <f t="shared" ca="1" si="1"/>
        <v>5.5647058825984436E-3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input_425103!A$2</f>
        <v>425103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IFERROR(VLOOKUP(B37,input_425103!L:R,7,FALSE),VLOOKUP(tables_425103!C37,input_425103!A:H,8,FALSE))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input_425103!A$2</f>
        <v>425103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IFERROR(VLOOKUP(B38,input_425103!L:R,7,FALSE),VLOOKUP(tables_425103!C38,input_425103!A:H,8,FALSE))</f>
        <v>15136</v>
      </c>
      <c r="P38" s="46">
        <f t="shared" ca="1" si="1"/>
        <v>5.5647058825984436E-3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input_425103!A$2</f>
        <v>425103</v>
      </c>
      <c r="B39" s="6">
        <v>164</v>
      </c>
      <c r="C39" s="7" t="str">
        <f t="shared" si="0"/>
        <v>PremiumW3color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IFERROR(VLOOKUP(B39,input_425103!L:R,7,FALSE),VLOOKUP(tables_425103!C39,input_425103!A:H,8,FALSE))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input_425103!A$2</f>
        <v>425103</v>
      </c>
      <c r="B40" s="6">
        <v>165</v>
      </c>
      <c r="C40" s="7" t="str">
        <f t="shared" si="0"/>
        <v>PremiumW4color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IFERROR(VLOOKUP(B40,input_425103!L:R,7,FALSE),VLOOKUP(tables_425103!C40,input_425103!A:H,8,FALSE))</f>
        <v>69305.600000000006</v>
      </c>
      <c r="P40" s="46">
        <f t="shared" ca="1" si="1"/>
        <v>2.5480000001124124E-2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input_425103!A$2</f>
        <v>425103</v>
      </c>
      <c r="B41" s="6">
        <v>166</v>
      </c>
      <c r="C41" s="7" t="str">
        <f t="shared" si="0"/>
        <v>Premium3R6release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/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IFERROR(VLOOKUP(B41,input_425103!L:R,7,FALSE),VLOOKUP(tables_425103!C41,input_425103!A:H,8,FALSE))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input_425103!A$2</f>
        <v>425103</v>
      </c>
      <c r="B42" s="6">
        <v>167</v>
      </c>
      <c r="C42" s="7" t="str">
        <f t="shared" si="0"/>
        <v>Premium4R6release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IFERROR(VLOOKUP(B42,input_425103!L:R,7,FALSE),VLOOKUP(tables_425103!C42,input_425103!A:H,8,FALSE))</f>
        <v>14379.2</v>
      </c>
      <c r="P42" s="46">
        <f t="shared" ca="1" si="1"/>
        <v>5.2864705884685219E-3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input_425103!A$2</f>
        <v>425103</v>
      </c>
      <c r="B43" s="6">
        <v>168</v>
      </c>
      <c r="C43" s="7" t="str">
        <f t="shared" si="0"/>
        <v>Premium5R6release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IFERROR(VLOOKUP(B43,input_425103!L:R,7,FALSE),VLOOKUP(tables_425103!C43,input_425103!A:H,8,FALSE))</f>
        <v>756.8</v>
      </c>
      <c r="P43" s="46">
        <f t="shared" ca="1" si="1"/>
        <v>2.7823529412992218E-4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input_425103!A$2</f>
        <v>425103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IFERROR(VLOOKUP(B44,input_425103!L:R,7,FALSE),VLOOKUP(tables_425103!C44,input_425103!A:H,8,FALSE))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input_425103!A$2</f>
        <v>425103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IFERROR(VLOOKUP(B45,input_425103!L:R,7,FALSE),VLOOKUP(tables_425103!C45,input_425103!A:H,8,FALSE))</f>
        <v>14379.2</v>
      </c>
      <c r="P45" s="46">
        <f t="shared" ca="1" si="1"/>
        <v>5.2864705884685219E-3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input_425103!A$2</f>
        <v>425103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IFERROR(VLOOKUP(B46,input_425103!L:R,7,FALSE),VLOOKUP(tables_425103!C46,input_425103!A:H,8,FALSE))</f>
        <v>756.8</v>
      </c>
      <c r="P46" s="46">
        <f t="shared" ca="1" si="1"/>
        <v>2.7823529412992218E-4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input_425103!A$2</f>
        <v>425103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IFERROR(VLOOKUP(B47,input_425103!L:R,7,FALSE),VLOOKUP(tables_425103!C47,input_425103!A:H,8,FALSE))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input_425103!A$2</f>
        <v>425103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IFERROR(VLOOKUP(B48,input_425103!L:R,7,FALSE),VLOOKUP(tables_425103!C48,input_425103!A:H,8,FALSE))</f>
        <v>14379.2</v>
      </c>
      <c r="P48" s="46">
        <f t="shared" ca="1" si="1"/>
        <v>5.2864705884685219E-3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input_425103!A$2</f>
        <v>425103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IFERROR(VLOOKUP(B49,input_425103!L:R,7,FALSE),VLOOKUP(tables_425103!C49,input_425103!A:H,8,FALSE))</f>
        <v>756.8</v>
      </c>
      <c r="P49" s="46">
        <f t="shared" ca="1" si="1"/>
        <v>2.7823529412992218E-4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input_425103!A$2</f>
        <v>425103</v>
      </c>
      <c r="B50" s="6">
        <v>175</v>
      </c>
      <c r="C50" s="7" t="str">
        <f t="shared" si="0"/>
        <v>Premium3color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>color</v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IFERROR(VLOOKUP(B50,input_425103!L:R,7,FALSE),VLOOKUP(tables_425103!C50,input_425103!A:H,8,FALSE))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input_425103!A$2</f>
        <v>425103</v>
      </c>
      <c r="B51" s="6">
        <v>176</v>
      </c>
      <c r="C51" s="7" t="str">
        <f t="shared" si="0"/>
        <v>Premium4color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IFERROR(VLOOKUP(B51,input_425103!L:R,7,FALSE),VLOOKUP(tables_425103!C51,input_425103!A:H,8,FALSE))</f>
        <v>68388.276930000007</v>
      </c>
      <c r="P51" s="46">
        <f t="shared" ca="1" si="1"/>
        <v>2.5142748872432775E-2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input_425103!A$2</f>
        <v>425103</v>
      </c>
      <c r="B52" s="6">
        <v>177</v>
      </c>
      <c r="C52" s="7" t="str">
        <f t="shared" si="0"/>
        <v>Premium5color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IFERROR(VLOOKUP(B52,input_425103!L:R,7,FALSE),VLOOKUP(tables_425103!C52,input_425103!A:H,8,FALSE))</f>
        <v>1787.72307</v>
      </c>
      <c r="P52" s="46">
        <f t="shared" ca="1" si="1"/>
        <v>6.5725112870546705E-4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input_425103!A$2</f>
        <v>425103</v>
      </c>
      <c r="B53" s="6">
        <v>178</v>
      </c>
      <c r="C53" s="7" t="str">
        <f t="shared" si="0"/>
        <v>Premium3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IFERROR(VLOOKUP(B53,input_425103!L:R,7,FALSE),VLOOKUP(tables_425103!C53,input_425103!A:H,8,FALSE))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input_425103!A$2</f>
        <v>425103</v>
      </c>
      <c r="B54" s="6">
        <v>179</v>
      </c>
      <c r="C54" s="7" t="str">
        <f t="shared" si="0"/>
        <v>Premium4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IFERROR(VLOOKUP(B54,input_425103!L:R,7,FALSE),VLOOKUP(tables_425103!C54,input_425103!A:H,8,FALSE))</f>
        <v>15064.482050000001</v>
      </c>
      <c r="P54" s="46">
        <f t="shared" ca="1" si="1"/>
        <v>5.5384125186266958E-3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input_425103!A$2</f>
        <v>425103</v>
      </c>
      <c r="B55" s="6">
        <v>180</v>
      </c>
      <c r="C55" s="7" t="str">
        <f t="shared" si="0"/>
        <v>Premium5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IFERROR(VLOOKUP(B55,input_425103!L:R,7,FALSE),VLOOKUP(tables_425103!C55,input_425103!A:H,8,FALSE))</f>
        <v>183.10768999999999</v>
      </c>
      <c r="P55" s="46">
        <f t="shared" ca="1" si="1"/>
        <v>6.7319003679440552E-5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input_425103!A$2</f>
        <v>425103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IFERROR(VLOOKUP(B56,input_425103!L:R,7,FALSE),VLOOKUP(tables_425103!C56,input_425103!A:H,8,FALSE))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input_425103!A$2</f>
        <v>425103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IFERROR(VLOOKUP(B57,input_425103!L:R,7,FALSE),VLOOKUP(tables_425103!C57,input_425103!A:H,8,FALSE))</f>
        <v>15064.482050000001</v>
      </c>
      <c r="P57" s="46">
        <f t="shared" ca="1" si="1"/>
        <v>5.5384125186266958E-3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input_425103!A$2</f>
        <v>425103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IFERROR(VLOOKUP(B58,input_425103!L:R,7,FALSE),VLOOKUP(tables_425103!C58,input_425103!A:H,8,FALSE))</f>
        <v>183.10768999999999</v>
      </c>
      <c r="P58" s="46">
        <f t="shared" ca="1" si="1"/>
        <v>6.7319003679440552E-5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input_425103!A$2</f>
        <v>425103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IFERROR(VLOOKUP(B59,input_425103!L:R,7,FALSE),VLOOKUP(tables_425103!C59,input_425103!A:H,8,FALSE))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input_425103!A$2</f>
        <v>425103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IFERROR(VLOOKUP(B60,input_425103!L:R,7,FALSE),VLOOKUP(tables_425103!C60,input_425103!A:H,8,FALSE))</f>
        <v>15064.482050000001</v>
      </c>
      <c r="P60" s="46">
        <f t="shared" ca="1" si="1"/>
        <v>5.5384125186266958E-3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input_425103!A$2</f>
        <v>425103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IFERROR(VLOOKUP(B61,input_425103!L:R,7,FALSE),VLOOKUP(tables_425103!C61,input_425103!A:H,8,FALSE))</f>
        <v>183.10768999999999</v>
      </c>
      <c r="P61" s="46">
        <f t="shared" ca="1" si="1"/>
        <v>6.7319003679440552E-5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input_425103!A$2</f>
        <v>425103</v>
      </c>
      <c r="B62" s="8">
        <v>187</v>
      </c>
      <c r="C62" s="7" t="str">
        <f t="shared" si="0"/>
        <v>Premium3color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IFERROR(VLOOKUP(B62,input_425103!L:R,7,FALSE),VLOOKUP(tables_425103!C62,input_425103!A:H,8,FALSE))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input_425103!A$2</f>
        <v>425103</v>
      </c>
      <c r="B63" s="8">
        <v>188</v>
      </c>
      <c r="C63" s="7" t="str">
        <f t="shared" si="0"/>
        <v>Premium4color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IFERROR(VLOOKUP(B63,input_425103!L:R,7,FALSE),VLOOKUP(tables_425103!C63,input_425103!A:H,8,FALSE))</f>
        <v>68388.276930000007</v>
      </c>
      <c r="P63" s="46">
        <f t="shared" ca="1" si="1"/>
        <v>2.5142748872432775E-2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input_425103!A$2</f>
        <v>425103</v>
      </c>
      <c r="B64" s="8">
        <v>189</v>
      </c>
      <c r="C64" s="7" t="str">
        <f t="shared" si="0"/>
        <v>Premium5color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IFERROR(VLOOKUP(B64,input_425103!L:R,7,FALSE),VLOOKUP(tables_425103!C64,input_425103!A:H,8,FALSE))</f>
        <v>1787.72307</v>
      </c>
      <c r="P64" s="46">
        <f t="shared" ca="1" si="1"/>
        <v>6.5725112870546705E-4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input_425103!A$2</f>
        <v>425103</v>
      </c>
      <c r="B65" s="6">
        <v>190</v>
      </c>
      <c r="C65" s="7" t="str">
        <f t="shared" si="0"/>
        <v>Premium3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IFERROR(VLOOKUP(B65,input_425103!L:R,7,FALSE),VLOOKUP(tables_425103!C65,input_425103!A:H,8,FALSE))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input_425103!A$2</f>
        <v>425103</v>
      </c>
      <c r="B66" s="6">
        <v>191</v>
      </c>
      <c r="C66" s="7" t="str">
        <f t="shared" ref="C66:C129" si="4">D66&amp;J66&amp;E66&amp;F66&amp;G66</f>
        <v>Premium4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IFERROR(VLOOKUP(B66,input_425103!L:R,7,FALSE),VLOOKUP(tables_425103!C66,input_425103!A:H,8,FALSE))</f>
        <v>15064.482050000001</v>
      </c>
      <c r="P66" s="46">
        <f t="shared" ref="P66:P129" ca="1" si="5">O66/SUM(O:O)</f>
        <v>5.5384125186266958E-3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input_425103!A$2</f>
        <v>425103</v>
      </c>
      <c r="B67" s="6">
        <v>192</v>
      </c>
      <c r="C67" s="7" t="str">
        <f t="shared" si="4"/>
        <v>Premium5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IFERROR(VLOOKUP(B67,input_425103!L:R,7,FALSE),VLOOKUP(tables_425103!C67,input_425103!A:H,8,FALSE))</f>
        <v>183.10768999999999</v>
      </c>
      <c r="P67" s="46">
        <f t="shared" ca="1" si="5"/>
        <v>6.7319003679440552E-5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input_425103!A$2</f>
        <v>425103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IFERROR(VLOOKUP(B68,input_425103!L:R,7,FALSE),VLOOKUP(tables_425103!C68,input_425103!A:H,8,FALSE))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input_425103!A$2</f>
        <v>425103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IFERROR(VLOOKUP(B69,input_425103!L:R,7,FALSE),VLOOKUP(tables_425103!C69,input_425103!A:H,8,FALSE))</f>
        <v>15064.482050000001</v>
      </c>
      <c r="P69" s="46">
        <f t="shared" ca="1" si="5"/>
        <v>5.5384125186266958E-3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input_425103!A$2</f>
        <v>425103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IFERROR(VLOOKUP(B70,input_425103!L:R,7,FALSE),VLOOKUP(tables_425103!C70,input_425103!A:H,8,FALSE))</f>
        <v>183.10768999999999</v>
      </c>
      <c r="P70" s="46">
        <f t="shared" ca="1" si="5"/>
        <v>6.7319003679440552E-5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input_425103!A$2</f>
        <v>425103</v>
      </c>
      <c r="B71" s="10">
        <v>196</v>
      </c>
      <c r="C71" s="7" t="str">
        <f t="shared" si="4"/>
        <v>Premium3color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IFERROR(VLOOKUP(B71,input_425103!L:R,7,FALSE),VLOOKUP(tables_425103!C71,input_425103!A:H,8,FALSE))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input_425103!A$2</f>
        <v>425103</v>
      </c>
      <c r="B72" s="11">
        <v>197</v>
      </c>
      <c r="C72" s="7" t="str">
        <f t="shared" si="4"/>
        <v>Premium4color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IFERROR(VLOOKUP(B72,input_425103!L:R,7,FALSE),VLOOKUP(tables_425103!C72,input_425103!A:H,8,FALSE))</f>
        <v>68388.276930000007</v>
      </c>
      <c r="P72" s="46">
        <f t="shared" ca="1" si="5"/>
        <v>2.5142748872432775E-2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input_425103!A$2</f>
        <v>425103</v>
      </c>
      <c r="B73" s="6">
        <v>198</v>
      </c>
      <c r="C73" s="7" t="str">
        <f t="shared" si="4"/>
        <v>Premium5color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IFERROR(VLOOKUP(B73,input_425103!L:R,7,FALSE),VLOOKUP(tables_425103!C73,input_425103!A:H,8,FALSE))</f>
        <v>1787.72307</v>
      </c>
      <c r="P73" s="46">
        <f t="shared" ca="1" si="5"/>
        <v>6.5725112870546705E-4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input_425103!A$2</f>
        <v>425103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IFERROR(VLOOKUP(B74,input_425103!L:R,7,FALSE),VLOOKUP(tables_425103!C74,input_425103!A:H,8,FALSE))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input_425103!A$2</f>
        <v>425103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IFERROR(VLOOKUP(B75,input_425103!L:R,7,FALSE),VLOOKUP(tables_425103!C75,input_425103!A:H,8,FALSE))</f>
        <v>15064.482050000001</v>
      </c>
      <c r="P75" s="46">
        <f t="shared" ca="1" si="5"/>
        <v>5.5384125186266958E-3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input_425103!A$2</f>
        <v>425103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IFERROR(VLOOKUP(B76,input_425103!L:R,7,FALSE),VLOOKUP(tables_425103!C76,input_425103!A:H,8,FALSE))</f>
        <v>183.10768999999999</v>
      </c>
      <c r="P76" s="46">
        <f t="shared" ca="1" si="5"/>
        <v>6.7319003679440552E-5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input_425103!A$2</f>
        <v>425103</v>
      </c>
      <c r="B77" s="5">
        <v>202</v>
      </c>
      <c r="C77" s="7" t="str">
        <f t="shared" si="4"/>
        <v>Premium3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IFERROR(VLOOKUP(B77,input_425103!L:R,7,FALSE),VLOOKUP(tables_425103!C77,input_425103!A:H,8,FALSE))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input_425103!A$2</f>
        <v>425103</v>
      </c>
      <c r="B78" s="5">
        <v>203</v>
      </c>
      <c r="C78" s="7" t="str">
        <f t="shared" si="4"/>
        <v>Premium4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IFERROR(VLOOKUP(B78,input_425103!L:R,7,FALSE),VLOOKUP(tables_425103!C78,input_425103!A:H,8,FALSE))</f>
        <v>15064.482050000001</v>
      </c>
      <c r="P78" s="46">
        <f t="shared" ca="1" si="5"/>
        <v>5.5384125186266958E-3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input_425103!A$2</f>
        <v>425103</v>
      </c>
      <c r="B79" s="5">
        <v>204</v>
      </c>
      <c r="C79" s="7" t="str">
        <f t="shared" si="4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IFERROR(VLOOKUP(B79,input_425103!L:R,7,FALSE),VLOOKUP(tables_425103!C79,input_425103!A:H,8,FALSE))</f>
        <v>183.10768999999999</v>
      </c>
      <c r="P79" s="46">
        <f t="shared" ca="1" si="5"/>
        <v>6.7319003679440552E-5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input_425103!A$2</f>
        <v>425103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IFERROR(VLOOKUP(B80,input_425103!L:R,7,FALSE),VLOOKUP(tables_425103!C80,input_425103!A:H,8,FALSE))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input_425103!A$2</f>
        <v>425103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IFERROR(VLOOKUP(B81,input_425103!L:R,7,FALSE),VLOOKUP(tables_425103!C81,input_425103!A:H,8,FALSE))</f>
        <v>15064.482050000001</v>
      </c>
      <c r="P81" s="46">
        <f t="shared" ca="1" si="5"/>
        <v>5.5384125186266958E-3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input_425103!A$2</f>
        <v>425103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IFERROR(VLOOKUP(B82,input_425103!L:R,7,FALSE),VLOOKUP(tables_425103!C82,input_425103!A:H,8,FALSE))</f>
        <v>183.10768999999999</v>
      </c>
      <c r="P82" s="46">
        <f t="shared" ca="1" si="5"/>
        <v>6.7319003679440552E-5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input_425103!A$2</f>
        <v>425103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IFERROR(VLOOKUP(B83,input_425103!L:R,7,FALSE),VLOOKUP(tables_425103!C83,input_425103!A:H,8,FALSE))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input_425103!A$2</f>
        <v>425103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IFERROR(VLOOKUP(B84,input_425103!L:R,7,FALSE),VLOOKUP(tables_425103!C84,input_425103!A:H,8,FALSE))</f>
        <v>15064.482050000001</v>
      </c>
      <c r="P84" s="46">
        <f t="shared" ca="1" si="5"/>
        <v>5.5384125186266958E-3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input_425103!A$2</f>
        <v>425103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IFERROR(VLOOKUP(B85,input_425103!L:R,7,FALSE),VLOOKUP(tables_425103!C85,input_425103!A:H,8,FALSE))</f>
        <v>183.10768999999999</v>
      </c>
      <c r="P85" s="46">
        <f t="shared" ca="1" si="5"/>
        <v>6.7319003679440552E-5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input_425103!A$2</f>
        <v>425103</v>
      </c>
      <c r="B86" s="5">
        <v>211</v>
      </c>
      <c r="C86" s="7" t="str">
        <f t="shared" si="4"/>
        <v>Premium3color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IFERROR(VLOOKUP(B86,input_425103!L:R,7,FALSE),VLOOKUP(tables_425103!C86,input_425103!A:H,8,FALSE))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input_425103!A$2</f>
        <v>425103</v>
      </c>
      <c r="B87" s="5">
        <v>212</v>
      </c>
      <c r="C87" s="7" t="str">
        <f t="shared" si="4"/>
        <v>Premium4color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IFERROR(VLOOKUP(B87,input_425103!L:R,7,FALSE),VLOOKUP(tables_425103!C87,input_425103!A:H,8,FALSE))</f>
        <v>68388.276930000007</v>
      </c>
      <c r="P87" s="46">
        <f t="shared" ca="1" si="5"/>
        <v>2.5142748872432775E-2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input_425103!A$2</f>
        <v>425103</v>
      </c>
      <c r="B88" s="5">
        <v>213</v>
      </c>
      <c r="C88" s="7" t="str">
        <f t="shared" si="4"/>
        <v>Premium5color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IFERROR(VLOOKUP(B88,input_425103!L:R,7,FALSE),VLOOKUP(tables_425103!C88,input_425103!A:H,8,FALSE))</f>
        <v>1787.72307</v>
      </c>
      <c r="P88" s="46">
        <f t="shared" ca="1" si="5"/>
        <v>6.5725112870546705E-4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input_425103!A$2</f>
        <v>425103</v>
      </c>
      <c r="B89" s="5">
        <v>214</v>
      </c>
      <c r="C89" s="7" t="str">
        <f t="shared" si="4"/>
        <v>Premium3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IFERROR(VLOOKUP(B89,input_425103!L:R,7,FALSE),VLOOKUP(tables_425103!C89,input_425103!A:H,8,FALSE))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input_425103!A$2</f>
        <v>425103</v>
      </c>
      <c r="B90" s="5">
        <v>215</v>
      </c>
      <c r="C90" s="7" t="str">
        <f t="shared" si="4"/>
        <v>Premium4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IFERROR(VLOOKUP(B90,input_425103!L:R,7,FALSE),VLOOKUP(tables_425103!C90,input_425103!A:H,8,FALSE))</f>
        <v>15064.482050000001</v>
      </c>
      <c r="P90" s="46">
        <f t="shared" ca="1" si="5"/>
        <v>5.5384125186266958E-3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input_425103!A$2</f>
        <v>425103</v>
      </c>
      <c r="B91" s="5">
        <v>216</v>
      </c>
      <c r="C91" s="7" t="str">
        <f t="shared" si="4"/>
        <v>Premium5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IFERROR(VLOOKUP(B91,input_425103!L:R,7,FALSE),VLOOKUP(tables_425103!C91,input_425103!A:H,8,FALSE))</f>
        <v>183.10768999999999</v>
      </c>
      <c r="P91" s="46">
        <f t="shared" ca="1" si="5"/>
        <v>6.7319003679440552E-5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input_425103!A$2</f>
        <v>425103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IFERROR(VLOOKUP(B92,input_425103!L:R,7,FALSE),VLOOKUP(tables_425103!C92,input_425103!A:H,8,FALSE))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input_425103!A$2</f>
        <v>425103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IFERROR(VLOOKUP(B93,input_425103!L:R,7,FALSE),VLOOKUP(tables_425103!C93,input_425103!A:H,8,FALSE))</f>
        <v>15064.482050000001</v>
      </c>
      <c r="P93" s="46">
        <f t="shared" ca="1" si="5"/>
        <v>5.5384125186266958E-3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input_425103!A$2</f>
        <v>425103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IFERROR(VLOOKUP(B94,input_425103!L:R,7,FALSE),VLOOKUP(tables_425103!C94,input_425103!A:H,8,FALSE))</f>
        <v>183.10768999999999</v>
      </c>
      <c r="P94" s="46">
        <f t="shared" ca="1" si="5"/>
        <v>6.7319003679440552E-5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input_425103!A$2</f>
        <v>425103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IFERROR(VLOOKUP(B95,input_425103!L:R,7,FALSE),VLOOKUP(tables_425103!C95,input_425103!A:H,8,FALSE))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input_425103!A$2</f>
        <v>425103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IFERROR(VLOOKUP(B96,input_425103!L:R,7,FALSE),VLOOKUP(tables_425103!C96,input_425103!A:H,8,FALSE))</f>
        <v>15064.482050000001</v>
      </c>
      <c r="P96" s="46">
        <f t="shared" ca="1" si="5"/>
        <v>5.5384125186266958E-3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input_425103!A$2</f>
        <v>425103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IFERROR(VLOOKUP(B97,input_425103!L:R,7,FALSE),VLOOKUP(tables_425103!C97,input_425103!A:H,8,FALSE))</f>
        <v>183.10768999999999</v>
      </c>
      <c r="P97" s="46">
        <f t="shared" ca="1" si="5"/>
        <v>6.7319003679440552E-5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input_425103!A$2</f>
        <v>425103</v>
      </c>
      <c r="B98" s="5">
        <v>223</v>
      </c>
      <c r="C98" s="7" t="str">
        <f t="shared" si="4"/>
        <v>Premium3color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IFERROR(VLOOKUP(B98,input_425103!L:R,7,FALSE),VLOOKUP(tables_425103!C98,input_425103!A:H,8,FALSE))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input_425103!A$2</f>
        <v>425103</v>
      </c>
      <c r="B99" s="5">
        <v>224</v>
      </c>
      <c r="C99" s="7" t="str">
        <f t="shared" si="4"/>
        <v>Premium4color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IFERROR(VLOOKUP(B99,input_425103!L:R,7,FALSE),VLOOKUP(tables_425103!C99,input_425103!A:H,8,FALSE))</f>
        <v>68388.276930000007</v>
      </c>
      <c r="P99" s="46">
        <f t="shared" ca="1" si="5"/>
        <v>2.5142748872432775E-2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input_425103!A$2</f>
        <v>425103</v>
      </c>
      <c r="B100" s="5">
        <v>225</v>
      </c>
      <c r="C100" s="7" t="str">
        <f t="shared" si="4"/>
        <v>Premium5color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IFERROR(VLOOKUP(B100,input_425103!L:R,7,FALSE),VLOOKUP(tables_425103!C100,input_425103!A:H,8,FALSE))</f>
        <v>1787.72307</v>
      </c>
      <c r="P100" s="46">
        <f t="shared" ca="1" si="5"/>
        <v>6.5725112870546705E-4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input_425103!A$2</f>
        <v>425103</v>
      </c>
      <c r="B101" s="5">
        <v>226</v>
      </c>
      <c r="C101" s="7" t="str">
        <f t="shared" si="4"/>
        <v>Premium3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IFERROR(VLOOKUP(B101,input_425103!L:R,7,FALSE),VLOOKUP(tables_425103!C101,input_425103!A:H,8,FALSE))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input_425103!A$2</f>
        <v>425103</v>
      </c>
      <c r="B102" s="5">
        <v>227</v>
      </c>
      <c r="C102" s="7" t="str">
        <f t="shared" si="4"/>
        <v>Premium4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IFERROR(VLOOKUP(B102,input_425103!L:R,7,FALSE),VLOOKUP(tables_425103!C102,input_425103!A:H,8,FALSE))</f>
        <v>15064.482050000001</v>
      </c>
      <c r="P102" s="46">
        <f t="shared" ca="1" si="5"/>
        <v>5.5384125186266958E-3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input_425103!A$2</f>
        <v>425103</v>
      </c>
      <c r="B103" s="5">
        <v>228</v>
      </c>
      <c r="C103" s="7" t="str">
        <f t="shared" si="4"/>
        <v>Premium5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IFERROR(VLOOKUP(B103,input_425103!L:R,7,FALSE),VLOOKUP(tables_425103!C103,input_425103!A:H,8,FALSE))</f>
        <v>183.10768999999999</v>
      </c>
      <c r="P103" s="46">
        <f t="shared" ca="1" si="5"/>
        <v>6.7319003679440552E-5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input_425103!A$2</f>
        <v>425103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IFERROR(VLOOKUP(B104,input_425103!L:R,7,FALSE),VLOOKUP(tables_425103!C104,input_425103!A:H,8,FALSE))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input_425103!A$2</f>
        <v>425103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IFERROR(VLOOKUP(B105,input_425103!L:R,7,FALSE),VLOOKUP(tables_425103!C105,input_425103!A:H,8,FALSE))</f>
        <v>15064.482050000001</v>
      </c>
      <c r="P105" s="46">
        <f t="shared" ca="1" si="5"/>
        <v>5.5384125186266958E-3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input_425103!A$2</f>
        <v>425103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IFERROR(VLOOKUP(B106,input_425103!L:R,7,FALSE),VLOOKUP(tables_425103!C106,input_425103!A:H,8,FALSE))</f>
        <v>183.10768999999999</v>
      </c>
      <c r="P106" s="46">
        <f t="shared" ca="1" si="5"/>
        <v>6.7319003679440552E-5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input_425103!A$2</f>
        <v>425103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IFERROR(VLOOKUP(B107,input_425103!L:R,7,FALSE),VLOOKUP(tables_425103!C107,input_425103!A:H,8,FALSE))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input_425103!A$2</f>
        <v>425103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IFERROR(VLOOKUP(B108,input_425103!L:R,7,FALSE),VLOOKUP(tables_425103!C108,input_425103!A:H,8,FALSE))</f>
        <v>15064.482050000001</v>
      </c>
      <c r="P108" s="46">
        <f t="shared" ca="1" si="5"/>
        <v>5.5384125186266958E-3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input_425103!A$2</f>
        <v>425103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IFERROR(VLOOKUP(B109,input_425103!L:R,7,FALSE),VLOOKUP(tables_425103!C109,input_425103!A:H,8,FALSE))</f>
        <v>183.10768999999999</v>
      </c>
      <c r="P109" s="46">
        <f t="shared" ca="1" si="5"/>
        <v>6.7319003679440552E-5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input_425103!A$2</f>
        <v>425103</v>
      </c>
      <c r="B110" s="5">
        <v>235</v>
      </c>
      <c r="C110" s="7" t="str">
        <f t="shared" si="4"/>
        <v>Premium3R6releasecolor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>color</v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IFERROR(VLOOKUP(B110,input_425103!L:R,7,FALSE),VLOOKUP(tables_425103!C110,input_425103!A:H,8,FALSE))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input_425103!A$2</f>
        <v>425103</v>
      </c>
      <c r="B111" s="5">
        <v>236</v>
      </c>
      <c r="C111" s="7" t="str">
        <f t="shared" si="4"/>
        <v>Premium4R6releasecolor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IFERROR(VLOOKUP(B111,input_425103!L:R,7,FALSE),VLOOKUP(tables_425103!C111,input_425103!A:H,8,FALSE))</f>
        <v>66667.199999999997</v>
      </c>
      <c r="P111" s="46">
        <f t="shared" ca="1" si="5"/>
        <v>2.4510000001081327E-2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input_425103!A$2</f>
        <v>425103</v>
      </c>
      <c r="B112" s="5">
        <v>237</v>
      </c>
      <c r="C112" s="7" t="str">
        <f t="shared" si="4"/>
        <v>Premium5R6releasecolor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IFERROR(VLOOKUP(B112,input_425103!L:R,7,FALSE),VLOOKUP(tables_425103!C112,input_425103!A:H,8,FALSE))</f>
        <v>3508.8</v>
      </c>
      <c r="P112" s="46">
        <f t="shared" ca="1" si="5"/>
        <v>1.2900000000569121E-3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input_425103!A$2</f>
        <v>425103</v>
      </c>
      <c r="B113" s="5">
        <v>238</v>
      </c>
      <c r="C113" s="7" t="str">
        <f t="shared" si="4"/>
        <v>Premium3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/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IFERROR(VLOOKUP(B113,input_425103!L:R,7,FALSE),VLOOKUP(tables_425103!C113,input_425103!A:H,8,FALSE))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input_425103!A$2</f>
        <v>425103</v>
      </c>
      <c r="B114" s="5">
        <v>239</v>
      </c>
      <c r="C114" s="7" t="str">
        <f t="shared" si="4"/>
        <v>Premium4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IFERROR(VLOOKUP(B114,input_425103!L:R,7,FALSE),VLOOKUP(tables_425103!C114,input_425103!A:H,8,FALSE))</f>
        <v>15064.482050000001</v>
      </c>
      <c r="P114" s="46">
        <f t="shared" ca="1" si="5"/>
        <v>5.5384125186266958E-3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input_425103!A$2</f>
        <v>425103</v>
      </c>
      <c r="B115" s="5">
        <v>240</v>
      </c>
      <c r="C115" s="7" t="str">
        <f t="shared" si="4"/>
        <v>Premium5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IFERROR(VLOOKUP(B115,input_425103!L:R,7,FALSE),VLOOKUP(tables_425103!C115,input_425103!A:H,8,FALSE))</f>
        <v>183.10768999999999</v>
      </c>
      <c r="P115" s="46">
        <f t="shared" ca="1" si="5"/>
        <v>6.7319003679440552E-5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input_425103!A$2</f>
        <v>425103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IFERROR(VLOOKUP(B116,input_425103!L:R,7,FALSE),VLOOKUP(tables_425103!C116,input_425103!A:H,8,FALSE))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input_425103!A$2</f>
        <v>425103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IFERROR(VLOOKUP(B117,input_425103!L:R,7,FALSE),VLOOKUP(tables_425103!C117,input_425103!A:H,8,FALSE))</f>
        <v>15064.482050000001</v>
      </c>
      <c r="P117" s="46">
        <f t="shared" ca="1" si="5"/>
        <v>5.5384125186266958E-3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input_425103!A$2</f>
        <v>425103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IFERROR(VLOOKUP(B118,input_425103!L:R,7,FALSE),VLOOKUP(tables_425103!C118,input_425103!A:H,8,FALSE))</f>
        <v>183.10768999999999</v>
      </c>
      <c r="P118" s="46">
        <f t="shared" ca="1" si="5"/>
        <v>6.7319003679440552E-5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input_425103!A$2</f>
        <v>425103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IFERROR(VLOOKUP(B119,input_425103!L:R,7,FALSE),VLOOKUP(tables_425103!C119,input_425103!A:H,8,FALSE))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input_425103!A$2</f>
        <v>425103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IFERROR(VLOOKUP(B120,input_425103!L:R,7,FALSE),VLOOKUP(tables_425103!C120,input_425103!A:H,8,FALSE))</f>
        <v>15064.482050000001</v>
      </c>
      <c r="P120" s="46">
        <f t="shared" ca="1" si="5"/>
        <v>5.5384125186266958E-3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input_425103!A$2</f>
        <v>425103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IFERROR(VLOOKUP(B121,input_425103!L:R,7,FALSE),VLOOKUP(tables_425103!C121,input_425103!A:H,8,FALSE))</f>
        <v>183.10768999999999</v>
      </c>
      <c r="P121" s="46">
        <f t="shared" ca="1" si="5"/>
        <v>6.7319003679440552E-5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input_425103!A$2</f>
        <v>425103</v>
      </c>
      <c r="B122" s="5">
        <v>247</v>
      </c>
      <c r="C122" s="7" t="str">
        <f t="shared" si="4"/>
        <v>Premium3color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IFERROR(VLOOKUP(B122,input_425103!L:R,7,FALSE),VLOOKUP(tables_425103!C122,input_425103!A:H,8,FALSE))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input_425103!A$2</f>
        <v>425103</v>
      </c>
      <c r="B123" s="5">
        <v>248</v>
      </c>
      <c r="C123" s="7" t="str">
        <f t="shared" si="4"/>
        <v>Premium4color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IFERROR(VLOOKUP(B123,input_425103!L:R,7,FALSE),VLOOKUP(tables_425103!C123,input_425103!A:H,8,FALSE))</f>
        <v>68388.276930000007</v>
      </c>
      <c r="P123" s="46">
        <f t="shared" ca="1" si="5"/>
        <v>2.5142748872432775E-2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input_425103!A$2</f>
        <v>425103</v>
      </c>
      <c r="B124" s="6">
        <v>249</v>
      </c>
      <c r="C124" s="7" t="str">
        <f t="shared" si="4"/>
        <v>Premium5color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IFERROR(VLOOKUP(B124,input_425103!L:R,7,FALSE),VLOOKUP(tables_425103!C124,input_425103!A:H,8,FALSE))</f>
        <v>1787.72307</v>
      </c>
      <c r="P124" s="46">
        <f t="shared" ca="1" si="5"/>
        <v>6.5725112870546705E-4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input_425103!A$2</f>
        <v>425103</v>
      </c>
      <c r="B125" s="6">
        <v>250</v>
      </c>
      <c r="C125" s="7" t="str">
        <f t="shared" si="4"/>
        <v>Premium3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IFERROR(VLOOKUP(B125,input_425103!L:R,7,FALSE),VLOOKUP(tables_425103!C125,input_425103!A:H,8,FALSE))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input_425103!A$2</f>
        <v>425103</v>
      </c>
      <c r="B126" s="6">
        <v>251</v>
      </c>
      <c r="C126" s="7" t="str">
        <f t="shared" si="4"/>
        <v>Premium4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IFERROR(VLOOKUP(B126,input_425103!L:R,7,FALSE),VLOOKUP(tables_425103!C126,input_425103!A:H,8,FALSE))</f>
        <v>15064.482050000001</v>
      </c>
      <c r="P126" s="46">
        <f t="shared" ca="1" si="5"/>
        <v>5.5384125186266958E-3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input_425103!A$2</f>
        <v>425103</v>
      </c>
      <c r="B127" s="6">
        <v>252</v>
      </c>
      <c r="C127" s="7" t="str">
        <f t="shared" si="4"/>
        <v>Premium5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IFERROR(VLOOKUP(B127,input_425103!L:R,7,FALSE),VLOOKUP(tables_425103!C127,input_425103!A:H,8,FALSE))</f>
        <v>183.10768999999999</v>
      </c>
      <c r="P127" s="46">
        <f t="shared" ca="1" si="5"/>
        <v>6.7319003679440552E-5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input_425103!A$2</f>
        <v>425103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IFERROR(VLOOKUP(B128,input_425103!L:R,7,FALSE),VLOOKUP(tables_425103!C128,input_425103!A:H,8,FALSE))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input_425103!A$2</f>
        <v>425103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IFERROR(VLOOKUP(B129,input_425103!L:R,7,FALSE),VLOOKUP(tables_425103!C129,input_425103!A:H,8,FALSE))</f>
        <v>15064.482050000001</v>
      </c>
      <c r="P129" s="46">
        <f t="shared" ca="1" si="5"/>
        <v>5.5384125186266958E-3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input_425103!A$2</f>
        <v>425103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IFERROR(VLOOKUP(B130,input_425103!L:R,7,FALSE),VLOOKUP(tables_425103!C130,input_425103!A:H,8,FALSE))</f>
        <v>183.10768999999999</v>
      </c>
      <c r="P130" s="46">
        <f t="shared" ref="P130:P193" ca="1" si="9">O130/SUM(O:O)</f>
        <v>6.7319003679440552E-5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input_425103!A$2</f>
        <v>425103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IFERROR(VLOOKUP(B131,input_425103!L:R,7,FALSE),VLOOKUP(tables_425103!C131,input_425103!A:H,8,FALSE))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input_425103!A$2</f>
        <v>425103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IFERROR(VLOOKUP(B132,input_425103!L:R,7,FALSE),VLOOKUP(tables_425103!C132,input_425103!A:H,8,FALSE))</f>
        <v>15064.482050000001</v>
      </c>
      <c r="P132" s="46">
        <f t="shared" ca="1" si="9"/>
        <v>5.5384125186266958E-3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input_425103!A$2</f>
        <v>425103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IFERROR(VLOOKUP(B133,input_425103!L:R,7,FALSE),VLOOKUP(tables_425103!C133,input_425103!A:H,8,FALSE))</f>
        <v>183.10768999999999</v>
      </c>
      <c r="P133" s="46">
        <f t="shared" ca="1" si="9"/>
        <v>6.7319003679440552E-5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input_425103!A$2</f>
        <v>425103</v>
      </c>
      <c r="B134" s="6">
        <v>259</v>
      </c>
      <c r="C134" s="7" t="str">
        <f t="shared" si="8"/>
        <v>Premium3color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IFERROR(VLOOKUP(B134,input_425103!L:R,7,FALSE),VLOOKUP(tables_425103!C134,input_425103!A:H,8,FALSE))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input_425103!A$2</f>
        <v>425103</v>
      </c>
      <c r="B135" s="8">
        <v>260</v>
      </c>
      <c r="C135" s="7" t="str">
        <f t="shared" si="8"/>
        <v>Premium4color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IFERROR(VLOOKUP(B135,input_425103!L:R,7,FALSE),VLOOKUP(tables_425103!C135,input_425103!A:H,8,FALSE))</f>
        <v>68388.276930000007</v>
      </c>
      <c r="P135" s="46">
        <f t="shared" ca="1" si="9"/>
        <v>2.5142748872432775E-2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input_425103!A$2</f>
        <v>425103</v>
      </c>
      <c r="B136" s="8">
        <v>261</v>
      </c>
      <c r="C136" s="7" t="str">
        <f t="shared" si="8"/>
        <v>Premium5color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IFERROR(VLOOKUP(B136,input_425103!L:R,7,FALSE),VLOOKUP(tables_425103!C136,input_425103!A:H,8,FALSE))</f>
        <v>1787.72307</v>
      </c>
      <c r="P136" s="46">
        <f t="shared" ca="1" si="9"/>
        <v>6.5725112870546705E-4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input_425103!A$2</f>
        <v>425103</v>
      </c>
      <c r="B137" s="6">
        <v>320</v>
      </c>
      <c r="C137" s="7" t="str">
        <f t="shared" si="8"/>
        <v>PremiumSS4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IFERROR(VLOOKUP(B137,input_425103!L:R,7,FALSE),VLOOKUP(tables_425103!C137,input_425103!A:H,8,FALSE))</f>
        <v>1292</v>
      </c>
      <c r="P137" s="46">
        <f t="shared" ca="1" si="9"/>
        <v>4.7500000002095595E-4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input_425103!A$2</f>
        <v>425103</v>
      </c>
      <c r="B138" s="6">
        <v>321</v>
      </c>
      <c r="C138" s="7" t="str">
        <f t="shared" si="8"/>
        <v>PremiumSS5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IFERROR(VLOOKUP(B138,input_425103!L:R,7,FALSE),VLOOKUP(tables_425103!C138,input_425103!A:H,8,FALSE))</f>
        <v>68</v>
      </c>
      <c r="P138" s="46">
        <f t="shared" ca="1" si="9"/>
        <v>2.5000000001102947E-5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input_425103!A$2</f>
        <v>425103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IFERROR(VLOOKUP(B139,input_425103!L:R,7,FALSE),VLOOKUP(tables_425103!C139,input_425103!A:H,8,FALSE))</f>
        <v>1292</v>
      </c>
      <c r="P139" s="46">
        <f t="shared" ca="1" si="9"/>
        <v>4.7500000002095595E-4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input_425103!A$2</f>
        <v>425103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IFERROR(VLOOKUP(B140,input_425103!L:R,7,FALSE),VLOOKUP(tables_425103!C140,input_425103!A:H,8,FALSE))</f>
        <v>68</v>
      </c>
      <c r="P140" s="46">
        <f t="shared" ca="1" si="9"/>
        <v>2.5000000001102947E-5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input_425103!A$2</f>
        <v>425103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IFERROR(VLOOKUP(B141,input_425103!L:R,7,FALSE),VLOOKUP(tables_425103!C141,input_425103!A:H,8,FALSE))</f>
        <v>1292</v>
      </c>
      <c r="P141" s="46">
        <f t="shared" ca="1" si="9"/>
        <v>4.7500000002095595E-4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input_425103!A$2</f>
        <v>425103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IFERROR(VLOOKUP(B142,input_425103!L:R,7,FALSE),VLOOKUP(tables_425103!C142,input_425103!A:H,8,FALSE))</f>
        <v>68</v>
      </c>
      <c r="P142" s="46">
        <f t="shared" ca="1" si="9"/>
        <v>2.5000000001102947E-5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input_425103!A$2</f>
        <v>425103</v>
      </c>
      <c r="B143" s="6">
        <v>326</v>
      </c>
      <c r="C143" s="7" t="str">
        <f t="shared" si="8"/>
        <v>PremiumSS4color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IFERROR(VLOOKUP(B143,input_425103!L:R,7,FALSE),VLOOKUP(tables_425103!C143,input_425103!A:H,8,FALSE))</f>
        <v>5537.1428599999999</v>
      </c>
      <c r="P143" s="46">
        <f t="shared" ca="1" si="9"/>
        <v>2.0357142868545172E-3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input_425103!A$2</f>
        <v>425103</v>
      </c>
      <c r="B144" s="6">
        <v>327</v>
      </c>
      <c r="C144" s="7" t="str">
        <f t="shared" si="8"/>
        <v>PremiumSS5color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IFERROR(VLOOKUP(B144,input_425103!L:R,7,FALSE),VLOOKUP(tables_425103!C144,input_425103!A:H,8,FALSE))</f>
        <v>291.42856999999998</v>
      </c>
      <c r="P144" s="46">
        <f t="shared" ca="1" si="9"/>
        <v>1.0714285662237396E-4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input_425103!A$2</f>
        <v>425103</v>
      </c>
      <c r="B145" s="6">
        <v>380</v>
      </c>
      <c r="C145" s="7" t="str">
        <f t="shared" si="8"/>
        <v>Premium3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IFERROR(VLOOKUP(B145,input_425103!L:R,7,FALSE),VLOOKUP(tables_425103!C145,input_425103!A:H,8,FALSE))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input_425103!A$2</f>
        <v>425103</v>
      </c>
      <c r="B146" s="6">
        <v>381</v>
      </c>
      <c r="C146" s="7" t="str">
        <f t="shared" si="8"/>
        <v>Premium4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IFERROR(VLOOKUP(B146,input_425103!L:R,7,FALSE),VLOOKUP(tables_425103!C146,input_425103!A:H,8,FALSE))</f>
        <v>15064.482050000001</v>
      </c>
      <c r="P146" s="46">
        <f t="shared" ca="1" si="9"/>
        <v>5.5384125186266958E-3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input_425103!A$2</f>
        <v>425103</v>
      </c>
      <c r="B147" s="6">
        <v>382</v>
      </c>
      <c r="C147" s="7" t="str">
        <f t="shared" si="8"/>
        <v>Premium5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IFERROR(VLOOKUP(B147,input_425103!L:R,7,FALSE),VLOOKUP(tables_425103!C147,input_425103!A:H,8,FALSE))</f>
        <v>183.10768999999999</v>
      </c>
      <c r="P147" s="46">
        <f t="shared" ca="1" si="9"/>
        <v>6.7319003679440552E-5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input_425103!A$2</f>
        <v>425103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IFERROR(VLOOKUP(B148,input_425103!L:R,7,FALSE),VLOOKUP(tables_425103!C148,input_425103!A:H,8,FALSE))</f>
        <v>1292</v>
      </c>
      <c r="P148" s="46">
        <f t="shared" ca="1" si="9"/>
        <v>4.7500000002095595E-4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input_425103!A$2</f>
        <v>425103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IFERROR(VLOOKUP(B149,input_425103!L:R,7,FALSE),VLOOKUP(tables_425103!C149,input_425103!A:H,8,FALSE))</f>
        <v>68</v>
      </c>
      <c r="P149" s="46">
        <f t="shared" ca="1" si="9"/>
        <v>2.5000000001102947E-5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input_425103!A$2</f>
        <v>425103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IFERROR(VLOOKUP(B150,input_425103!L:R,7,FALSE),VLOOKUP(tables_425103!C150,input_425103!A:H,8,FALSE))</f>
        <v>1292</v>
      </c>
      <c r="P150" s="46">
        <f t="shared" ca="1" si="9"/>
        <v>4.7500000002095595E-4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input_425103!A$2</f>
        <v>425103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IFERROR(VLOOKUP(B151,input_425103!L:R,7,FALSE),VLOOKUP(tables_425103!C151,input_425103!A:H,8,FALSE))</f>
        <v>68</v>
      </c>
      <c r="P151" s="46">
        <f t="shared" ca="1" si="9"/>
        <v>2.5000000001102947E-5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input_425103!A$2</f>
        <v>425103</v>
      </c>
      <c r="B152" s="6">
        <v>387</v>
      </c>
      <c r="C152" s="7" t="str">
        <f t="shared" si="8"/>
        <v>Premium3color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IFERROR(VLOOKUP(B152,input_425103!L:R,7,FALSE),VLOOKUP(tables_425103!C152,input_425103!A:H,8,FALSE))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input_425103!A$2</f>
        <v>425103</v>
      </c>
      <c r="B153" s="6">
        <v>388</v>
      </c>
      <c r="C153" s="7" t="str">
        <f t="shared" si="8"/>
        <v>Premium4color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IFERROR(VLOOKUP(B153,input_425103!L:R,7,FALSE),VLOOKUP(tables_425103!C153,input_425103!A:H,8,FALSE))</f>
        <v>68388.276930000007</v>
      </c>
      <c r="P153" s="46">
        <f t="shared" ca="1" si="9"/>
        <v>2.5142748872432775E-2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input_425103!A$2</f>
        <v>425103</v>
      </c>
      <c r="B154" s="6">
        <v>389</v>
      </c>
      <c r="C154" s="7" t="str">
        <f t="shared" si="8"/>
        <v>Premium5color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IFERROR(VLOOKUP(B154,input_425103!L:R,7,FALSE),VLOOKUP(tables_425103!C154,input_425103!A:H,8,FALSE))</f>
        <v>1787.72307</v>
      </c>
      <c r="P154" s="46">
        <f t="shared" ca="1" si="9"/>
        <v>6.5725112870546705E-4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input_425103!A$2</f>
        <v>425103</v>
      </c>
      <c r="B155" s="6">
        <v>390</v>
      </c>
      <c r="C155" s="7" t="str">
        <f t="shared" si="8"/>
        <v>PremiumSS4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IFERROR(VLOOKUP(B155,input_425103!L:R,7,FALSE),VLOOKUP(tables_425103!C155,input_425103!A:H,8,FALSE))</f>
        <v>1292</v>
      </c>
      <c r="P155" s="46">
        <f t="shared" ca="1" si="9"/>
        <v>4.7500000002095595E-4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input_425103!A$2</f>
        <v>425103</v>
      </c>
      <c r="B156" s="6">
        <v>391</v>
      </c>
      <c r="C156" s="7" t="str">
        <f t="shared" si="8"/>
        <v>PremiumSS5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IFERROR(VLOOKUP(B156,input_425103!L:R,7,FALSE),VLOOKUP(tables_425103!C156,input_425103!A:H,8,FALSE))</f>
        <v>68</v>
      </c>
      <c r="P156" s="46">
        <f t="shared" ca="1" si="9"/>
        <v>2.5000000001102947E-5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input_425103!A$2</f>
        <v>425103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IFERROR(VLOOKUP(B157,input_425103!L:R,7,FALSE),VLOOKUP(tables_425103!C157,input_425103!A:H,8,FALSE))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input_425103!A$2</f>
        <v>425103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IFERROR(VLOOKUP(B158,input_425103!L:R,7,FALSE),VLOOKUP(tables_425103!C158,input_425103!A:H,8,FALSE))</f>
        <v>15064.482050000001</v>
      </c>
      <c r="P158" s="46">
        <f t="shared" ca="1" si="9"/>
        <v>5.5384125186266958E-3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input_425103!A$2</f>
        <v>425103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IFERROR(VLOOKUP(B159,input_425103!L:R,7,FALSE),VLOOKUP(tables_425103!C159,input_425103!A:H,8,FALSE))</f>
        <v>183.10768999999999</v>
      </c>
      <c r="P159" s="46">
        <f t="shared" ca="1" si="9"/>
        <v>6.7319003679440552E-5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input_425103!A$2</f>
        <v>425103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IFERROR(VLOOKUP(B160,input_425103!L:R,7,FALSE),VLOOKUP(tables_425103!C160,input_425103!A:H,8,FALSE))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input_425103!A$2</f>
        <v>425103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IFERROR(VLOOKUP(B161,input_425103!L:R,7,FALSE),VLOOKUP(tables_425103!C161,input_425103!A:H,8,FALSE))</f>
        <v>15064.482050000001</v>
      </c>
      <c r="P161" s="46">
        <f t="shared" ca="1" si="9"/>
        <v>5.5384125186266958E-3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input_425103!A$2</f>
        <v>425103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IFERROR(VLOOKUP(B162,input_425103!L:R,7,FALSE),VLOOKUP(tables_425103!C162,input_425103!A:H,8,FALSE))</f>
        <v>183.10768999999999</v>
      </c>
      <c r="P162" s="46">
        <f t="shared" ca="1" si="9"/>
        <v>6.7319003679440552E-5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input_425103!A$2</f>
        <v>425103</v>
      </c>
      <c r="B163" s="6">
        <v>398</v>
      </c>
      <c r="C163" s="7" t="str">
        <f t="shared" si="8"/>
        <v>PremiumSS4color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IFERROR(VLOOKUP(B163,input_425103!L:R,7,FALSE),VLOOKUP(tables_425103!C163,input_425103!A:H,8,FALSE))</f>
        <v>5537.1428599999999</v>
      </c>
      <c r="P163" s="46">
        <f t="shared" ca="1" si="9"/>
        <v>2.0357142868545172E-3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input_425103!A$2</f>
        <v>425103</v>
      </c>
      <c r="B164" s="6">
        <v>399</v>
      </c>
      <c r="C164" s="7" t="str">
        <f t="shared" si="8"/>
        <v>PremiumSS5color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IFERROR(VLOOKUP(B164,input_425103!L:R,7,FALSE),VLOOKUP(tables_425103!C164,input_425103!A:H,8,FALSE))</f>
        <v>291.42856999999998</v>
      </c>
      <c r="P164" s="46">
        <f t="shared" ca="1" si="9"/>
        <v>1.0714285662237396E-4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input_425103!A$2</f>
        <v>425103</v>
      </c>
      <c r="B165" s="6">
        <v>400</v>
      </c>
      <c r="C165" s="7" t="str">
        <f t="shared" si="8"/>
        <v>Premium3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IFERROR(VLOOKUP(B165,input_425103!L:R,7,FALSE),VLOOKUP(tables_425103!C165,input_425103!A:H,8,FALSE))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input_425103!A$2</f>
        <v>425103</v>
      </c>
      <c r="B166" s="6">
        <v>401</v>
      </c>
      <c r="C166" s="7" t="str">
        <f t="shared" si="8"/>
        <v>Premium4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IFERROR(VLOOKUP(B166,input_425103!L:R,7,FALSE),VLOOKUP(tables_425103!C166,input_425103!A:H,8,FALSE))</f>
        <v>15064.482050000001</v>
      </c>
      <c r="P166" s="46">
        <f t="shared" ca="1" si="9"/>
        <v>5.5384125186266958E-3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input_425103!A$2</f>
        <v>425103</v>
      </c>
      <c r="B167" s="6">
        <v>402</v>
      </c>
      <c r="C167" s="7" t="str">
        <f t="shared" si="8"/>
        <v>Premium5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IFERROR(VLOOKUP(B167,input_425103!L:R,7,FALSE),VLOOKUP(tables_425103!C167,input_425103!A:H,8,FALSE))</f>
        <v>183.10768999999999</v>
      </c>
      <c r="P167" s="46">
        <f t="shared" ca="1" si="9"/>
        <v>6.7319003679440552E-5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input_425103!A$2</f>
        <v>425103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IFERROR(VLOOKUP(B168,input_425103!L:R,7,FALSE),VLOOKUP(tables_425103!C168,input_425103!A:H,8,FALSE))</f>
        <v>1292</v>
      </c>
      <c r="P168" s="46">
        <f t="shared" ca="1" si="9"/>
        <v>4.7500000002095595E-4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input_425103!A$2</f>
        <v>425103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IFERROR(VLOOKUP(B169,input_425103!L:R,7,FALSE),VLOOKUP(tables_425103!C169,input_425103!A:H,8,FALSE))</f>
        <v>68</v>
      </c>
      <c r="P169" s="46">
        <f t="shared" ca="1" si="9"/>
        <v>2.5000000001102947E-5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input_425103!A$2</f>
        <v>425103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IFERROR(VLOOKUP(B170,input_425103!L:R,7,FALSE),VLOOKUP(tables_425103!C170,input_425103!A:H,8,FALSE))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input_425103!A$2</f>
        <v>425103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IFERROR(VLOOKUP(B171,input_425103!L:R,7,FALSE),VLOOKUP(tables_425103!C171,input_425103!A:H,8,FALSE))</f>
        <v>15064.482050000001</v>
      </c>
      <c r="P171" s="46">
        <f t="shared" ca="1" si="9"/>
        <v>5.5384125186266958E-3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input_425103!A$2</f>
        <v>425103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IFERROR(VLOOKUP(B172,input_425103!L:R,7,FALSE),VLOOKUP(tables_425103!C172,input_425103!A:H,8,FALSE))</f>
        <v>183.10768999999999</v>
      </c>
      <c r="P172" s="46">
        <f t="shared" ca="1" si="9"/>
        <v>6.7319003679440552E-5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input_425103!A$2</f>
        <v>425103</v>
      </c>
      <c r="B173" s="6">
        <v>408</v>
      </c>
      <c r="C173" s="7" t="str">
        <f t="shared" si="8"/>
        <v>PremiumSS4color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IFERROR(VLOOKUP(B173,input_425103!L:R,7,FALSE),VLOOKUP(tables_425103!C173,input_425103!A:H,8,FALSE))</f>
        <v>5537.1428599999999</v>
      </c>
      <c r="P173" s="46">
        <f t="shared" ca="1" si="9"/>
        <v>2.0357142868545172E-3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input_425103!A$2</f>
        <v>425103</v>
      </c>
      <c r="B174" s="6">
        <v>409</v>
      </c>
      <c r="C174" s="7" t="str">
        <f t="shared" si="8"/>
        <v>PremiumSS5color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IFERROR(VLOOKUP(B174,input_425103!L:R,7,FALSE),VLOOKUP(tables_425103!C174,input_425103!A:H,8,FALSE))</f>
        <v>291.42856999999998</v>
      </c>
      <c r="P174" s="46">
        <f t="shared" ca="1" si="9"/>
        <v>1.0714285662237396E-4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input_425103!A$2</f>
        <v>425103</v>
      </c>
      <c r="B175" s="6">
        <v>434</v>
      </c>
      <c r="C175" s="7" t="str">
        <f t="shared" si="8"/>
        <v>PremiumSS4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IFERROR(VLOOKUP(B175,input_425103!L:R,7,FALSE),VLOOKUP(tables_425103!C175,input_425103!A:H,8,FALSE))</f>
        <v>1292</v>
      </c>
      <c r="P175" s="46">
        <f t="shared" ca="1" si="9"/>
        <v>4.7500000002095595E-4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input_425103!A$2</f>
        <v>425103</v>
      </c>
      <c r="B176" s="6">
        <v>435</v>
      </c>
      <c r="C176" s="7" t="str">
        <f t="shared" si="8"/>
        <v>PremiumSS5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IFERROR(VLOOKUP(B176,input_425103!L:R,7,FALSE),VLOOKUP(tables_425103!C176,input_425103!A:H,8,FALSE))</f>
        <v>68</v>
      </c>
      <c r="P176" s="46">
        <f t="shared" ca="1" si="9"/>
        <v>2.5000000001102947E-5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input_425103!A$2</f>
        <v>425103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IFERROR(VLOOKUP(B177,input_425103!L:R,7,FALSE),VLOOKUP(tables_425103!C177,input_425103!A:H,8,FALSE))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input_425103!A$2</f>
        <v>425103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IFERROR(VLOOKUP(B178,input_425103!L:R,7,FALSE),VLOOKUP(tables_425103!C178,input_425103!A:H,8,FALSE))</f>
        <v>15064.482050000001</v>
      </c>
      <c r="P178" s="46">
        <f t="shared" ca="1" si="9"/>
        <v>5.5384125186266958E-3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input_425103!A$2</f>
        <v>425103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IFERROR(VLOOKUP(B179,input_425103!L:R,7,FALSE),VLOOKUP(tables_425103!C179,input_425103!A:H,8,FALSE))</f>
        <v>183.10768999999999</v>
      </c>
      <c r="P179" s="46">
        <f t="shared" ca="1" si="9"/>
        <v>6.7319003679440552E-5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input_425103!A$2</f>
        <v>425103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IFERROR(VLOOKUP(B180,input_425103!L:R,7,FALSE),VLOOKUP(tables_425103!C180,input_425103!A:H,8,FALSE))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input_425103!A$2</f>
        <v>425103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IFERROR(VLOOKUP(B181,input_425103!L:R,7,FALSE),VLOOKUP(tables_425103!C181,input_425103!A:H,8,FALSE))</f>
        <v>15064.482050000001</v>
      </c>
      <c r="P181" s="46">
        <f t="shared" ca="1" si="9"/>
        <v>5.5384125186266958E-3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input_425103!A$2</f>
        <v>425103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IFERROR(VLOOKUP(B182,input_425103!L:R,7,FALSE),VLOOKUP(tables_425103!C182,input_425103!A:H,8,FALSE))</f>
        <v>183.10768999999999</v>
      </c>
      <c r="P182" s="46">
        <f t="shared" ca="1" si="9"/>
        <v>6.7319003679440552E-5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input_425103!A$2</f>
        <v>425103</v>
      </c>
      <c r="B183" s="6">
        <v>442</v>
      </c>
      <c r="C183" s="7" t="str">
        <f t="shared" si="8"/>
        <v>PremiumSS4color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IFERROR(VLOOKUP(B183,input_425103!L:R,7,FALSE),VLOOKUP(tables_425103!C183,input_425103!A:H,8,FALSE))</f>
        <v>5537.1428599999999</v>
      </c>
      <c r="P183" s="46">
        <f t="shared" ca="1" si="9"/>
        <v>2.0357142868545172E-3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input_425103!A$2</f>
        <v>425103</v>
      </c>
      <c r="B184" s="6">
        <v>443</v>
      </c>
      <c r="C184" s="7" t="str">
        <f t="shared" si="8"/>
        <v>PremiumSS5color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IFERROR(VLOOKUP(B184,input_425103!L:R,7,FALSE),VLOOKUP(tables_425103!C184,input_425103!A:H,8,FALSE))</f>
        <v>291.42856999999998</v>
      </c>
      <c r="P184" s="46">
        <f t="shared" ca="1" si="9"/>
        <v>1.0714285662237396E-4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input_425103!A$2</f>
        <v>425103</v>
      </c>
      <c r="B185" s="8">
        <v>462</v>
      </c>
      <c r="C185" s="7" t="str">
        <f t="shared" si="8"/>
        <v>Premium3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IFERROR(VLOOKUP(B185,input_425103!L:R,7,FALSE),VLOOKUP(tables_425103!C185,input_425103!A:H,8,FALSE))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input_425103!A$2</f>
        <v>425103</v>
      </c>
      <c r="B186" s="8">
        <v>463</v>
      </c>
      <c r="C186" s="7" t="str">
        <f t="shared" si="8"/>
        <v>Premium4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IFERROR(VLOOKUP(B186,input_425103!L:R,7,FALSE),VLOOKUP(tables_425103!C186,input_425103!A:H,8,FALSE))</f>
        <v>15064.482050000001</v>
      </c>
      <c r="P186" s="46">
        <f t="shared" ca="1" si="9"/>
        <v>5.5384125186266958E-3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input_425103!A$2</f>
        <v>425103</v>
      </c>
      <c r="B187" s="8">
        <v>464</v>
      </c>
      <c r="C187" s="7" t="str">
        <f t="shared" si="8"/>
        <v>Premium5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IFERROR(VLOOKUP(B187,input_425103!L:R,7,FALSE),VLOOKUP(tables_425103!C187,input_425103!A:H,8,FALSE))</f>
        <v>183.10768999999999</v>
      </c>
      <c r="P187" s="46">
        <f t="shared" ca="1" si="9"/>
        <v>6.7319003679440552E-5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input_425103!A$2</f>
        <v>425103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IFERROR(VLOOKUP(B188,input_425103!L:R,7,FALSE),VLOOKUP(tables_425103!C188,input_425103!A:H,8,FALSE))</f>
        <v>1292</v>
      </c>
      <c r="P188" s="46">
        <f t="shared" ca="1" si="9"/>
        <v>4.7500000002095595E-4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input_425103!A$2</f>
        <v>425103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IFERROR(VLOOKUP(B189,input_425103!L:R,7,FALSE),VLOOKUP(tables_425103!C189,input_425103!A:H,8,FALSE))</f>
        <v>68</v>
      </c>
      <c r="P189" s="46">
        <f t="shared" ca="1" si="9"/>
        <v>2.5000000001102947E-5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input_425103!A$2</f>
        <v>425103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IFERROR(VLOOKUP(B190,input_425103!L:R,7,FALSE),VLOOKUP(tables_425103!C190,input_425103!A:H,8,FALSE))</f>
        <v>1292</v>
      </c>
      <c r="P190" s="46">
        <f t="shared" ca="1" si="9"/>
        <v>4.7500000002095595E-4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input_425103!A$2</f>
        <v>425103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IFERROR(VLOOKUP(B191,input_425103!L:R,7,FALSE),VLOOKUP(tables_425103!C191,input_425103!A:H,8,FALSE))</f>
        <v>68</v>
      </c>
      <c r="P191" s="46">
        <f t="shared" ca="1" si="9"/>
        <v>2.5000000001102947E-5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input_425103!A$2</f>
        <v>425103</v>
      </c>
      <c r="B192" s="6">
        <v>469</v>
      </c>
      <c r="C192" s="7" t="str">
        <f t="shared" si="8"/>
        <v>Premium3color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IFERROR(VLOOKUP(B192,input_425103!L:R,7,FALSE),VLOOKUP(tables_425103!C192,input_425103!A:H,8,FALSE))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input_425103!A$2</f>
        <v>425103</v>
      </c>
      <c r="B193" s="6">
        <v>470</v>
      </c>
      <c r="C193" s="7" t="str">
        <f t="shared" si="8"/>
        <v>Premium4color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IFERROR(VLOOKUP(B193,input_425103!L:R,7,FALSE),VLOOKUP(tables_425103!C193,input_425103!A:H,8,FALSE))</f>
        <v>68388.276930000007</v>
      </c>
      <c r="P193" s="46">
        <f t="shared" ca="1" si="9"/>
        <v>2.5142748872432775E-2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input_425103!A$2</f>
        <v>425103</v>
      </c>
      <c r="B194" s="6">
        <v>471</v>
      </c>
      <c r="C194" s="7" t="str">
        <f t="shared" ref="C194:C257" si="12">D194&amp;J194&amp;E194&amp;F194&amp;G194</f>
        <v>Premium5color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IFERROR(VLOOKUP(B194,input_425103!L:R,7,FALSE),VLOOKUP(tables_425103!C194,input_425103!A:H,8,FALSE))</f>
        <v>1787.72307</v>
      </c>
      <c r="P194" s="46">
        <f t="shared" ref="P194:P257" ca="1" si="13">O194/SUM(O:O)</f>
        <v>6.5725112870546705E-4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input_425103!A$2</f>
        <v>425103</v>
      </c>
      <c r="B195" s="6">
        <v>474</v>
      </c>
      <c r="C195" s="7" t="str">
        <f t="shared" si="12"/>
        <v>PremiumSS4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/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IFERROR(VLOOKUP(B195,input_425103!L:R,7,FALSE),VLOOKUP(tables_425103!C195,input_425103!A:H,8,FALSE))</f>
        <v>1292</v>
      </c>
      <c r="P195" s="46">
        <f t="shared" ca="1" si="13"/>
        <v>4.7500000002095595E-4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input_425103!A$2</f>
        <v>425103</v>
      </c>
      <c r="B196" s="6">
        <v>475</v>
      </c>
      <c r="C196" s="7" t="str">
        <f t="shared" si="12"/>
        <v>PremiumSS5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IFERROR(VLOOKUP(B196,input_425103!L:R,7,FALSE),VLOOKUP(tables_425103!C196,input_425103!A:H,8,FALSE))</f>
        <v>68</v>
      </c>
      <c r="P196" s="46">
        <f t="shared" ca="1" si="13"/>
        <v>2.5000000001102947E-5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input_425103!A$2</f>
        <v>425103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IFERROR(VLOOKUP(B197,input_425103!L:R,7,FALSE),VLOOKUP(tables_425103!C197,input_425103!A:H,8,FALSE))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input_425103!A$2</f>
        <v>425103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IFERROR(VLOOKUP(B198,input_425103!L:R,7,FALSE),VLOOKUP(tables_425103!C198,input_425103!A:H,8,FALSE))</f>
        <v>15064.482050000001</v>
      </c>
      <c r="P198" s="46">
        <f t="shared" ca="1" si="13"/>
        <v>5.5384125186266958E-3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input_425103!A$2</f>
        <v>425103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IFERROR(VLOOKUP(B199,input_425103!L:R,7,FALSE),VLOOKUP(tables_425103!C199,input_425103!A:H,8,FALSE))</f>
        <v>183.10768999999999</v>
      </c>
      <c r="P199" s="46">
        <f t="shared" ca="1" si="13"/>
        <v>6.7319003679440552E-5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input_425103!A$2</f>
        <v>425103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IFERROR(VLOOKUP(B200,input_425103!L:R,7,FALSE),VLOOKUP(tables_425103!C200,input_425103!A:H,8,FALSE))</f>
        <v>1292</v>
      </c>
      <c r="P200" s="46">
        <f t="shared" ca="1" si="13"/>
        <v>4.7500000002095595E-4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input_425103!A$2</f>
        <v>425103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IFERROR(VLOOKUP(B201,input_425103!L:R,7,FALSE),VLOOKUP(tables_425103!C201,input_425103!A:H,8,FALSE))</f>
        <v>68</v>
      </c>
      <c r="P201" s="46">
        <f t="shared" ca="1" si="13"/>
        <v>2.5000000001102947E-5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input_425103!A$2</f>
        <v>425103</v>
      </c>
      <c r="B202" s="6">
        <v>481</v>
      </c>
      <c r="C202" s="7" t="str">
        <f t="shared" si="12"/>
        <v>Premium3color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IFERROR(VLOOKUP(B202,input_425103!L:R,7,FALSE),VLOOKUP(tables_425103!C202,input_425103!A:H,8,FALSE))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input_425103!A$2</f>
        <v>425103</v>
      </c>
      <c r="B203" s="6">
        <v>482</v>
      </c>
      <c r="C203" s="7" t="str">
        <f t="shared" si="12"/>
        <v>Premium4color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IFERROR(VLOOKUP(B203,input_425103!L:R,7,FALSE),VLOOKUP(tables_425103!C203,input_425103!A:H,8,FALSE))</f>
        <v>68388.276930000007</v>
      </c>
      <c r="P203" s="46">
        <f t="shared" ca="1" si="13"/>
        <v>2.5142748872432775E-2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input_425103!A$2</f>
        <v>425103</v>
      </c>
      <c r="B204" s="6">
        <v>483</v>
      </c>
      <c r="C204" s="7" t="str">
        <f t="shared" si="12"/>
        <v>Premium5color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IFERROR(VLOOKUP(B204,input_425103!L:R,7,FALSE),VLOOKUP(tables_425103!C204,input_425103!A:H,8,FALSE))</f>
        <v>1787.72307</v>
      </c>
      <c r="P204" s="46">
        <f t="shared" ca="1" si="13"/>
        <v>6.5725112870546705E-4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input_425103!A$2</f>
        <v>425103</v>
      </c>
      <c r="B205" s="6">
        <v>492</v>
      </c>
      <c r="C205" s="7" t="str">
        <f t="shared" si="12"/>
        <v>PremiumSS4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IFERROR(VLOOKUP(B205,input_425103!L:R,7,FALSE),VLOOKUP(tables_425103!C205,input_425103!A:H,8,FALSE))</f>
        <v>1292</v>
      </c>
      <c r="P205" s="46">
        <f t="shared" ca="1" si="13"/>
        <v>4.7500000002095595E-4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input_425103!A$2</f>
        <v>425103</v>
      </c>
      <c r="B206" s="6">
        <v>493</v>
      </c>
      <c r="C206" s="7" t="str">
        <f t="shared" si="12"/>
        <v>PremiumSS5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IFERROR(VLOOKUP(B206,input_425103!L:R,7,FALSE),VLOOKUP(tables_425103!C206,input_425103!A:H,8,FALSE))</f>
        <v>68</v>
      </c>
      <c r="P206" s="46">
        <f t="shared" ca="1" si="13"/>
        <v>2.5000000001102947E-5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input_425103!A$2</f>
        <v>425103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IFERROR(VLOOKUP(B207,input_425103!L:R,7,FALSE),VLOOKUP(tables_425103!C207,input_425103!A:H,8,FALSE))</f>
        <v>1292</v>
      </c>
      <c r="P207" s="46">
        <f t="shared" ca="1" si="13"/>
        <v>4.7500000002095595E-4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input_425103!A$2</f>
        <v>425103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IFERROR(VLOOKUP(B208,input_425103!L:R,7,FALSE),VLOOKUP(tables_425103!C208,input_425103!A:H,8,FALSE))</f>
        <v>68</v>
      </c>
      <c r="P208" s="46">
        <f t="shared" ca="1" si="13"/>
        <v>2.5000000001102947E-5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input_425103!A$2</f>
        <v>425103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IFERROR(VLOOKUP(B209,input_425103!L:R,7,FALSE),VLOOKUP(tables_425103!C209,input_425103!A:H,8,FALSE))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input_425103!A$2</f>
        <v>425103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IFERROR(VLOOKUP(B210,input_425103!L:R,7,FALSE),VLOOKUP(tables_425103!C210,input_425103!A:H,8,FALSE))</f>
        <v>15064.482050000001</v>
      </c>
      <c r="P210" s="46">
        <f t="shared" ca="1" si="13"/>
        <v>5.5384125186266958E-3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input_425103!A$2</f>
        <v>425103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IFERROR(VLOOKUP(B211,input_425103!L:R,7,FALSE),VLOOKUP(tables_425103!C211,input_425103!A:H,8,FALSE))</f>
        <v>183.10768999999999</v>
      </c>
      <c r="P211" s="46">
        <f t="shared" ca="1" si="13"/>
        <v>6.7319003679440552E-5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input_425103!A$2</f>
        <v>425103</v>
      </c>
      <c r="B212" s="6">
        <v>499</v>
      </c>
      <c r="C212" s="7" t="str">
        <f t="shared" si="12"/>
        <v>PremiumSS4color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IFERROR(VLOOKUP(B212,input_425103!L:R,7,FALSE),VLOOKUP(tables_425103!C212,input_425103!A:H,8,FALSE))</f>
        <v>5537.1428599999999</v>
      </c>
      <c r="P212" s="46">
        <f t="shared" ca="1" si="13"/>
        <v>2.0357142868545172E-3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input_425103!A$2</f>
        <v>425103</v>
      </c>
      <c r="B213" s="6">
        <v>500</v>
      </c>
      <c r="C213" s="7" t="str">
        <f t="shared" si="12"/>
        <v>PremiumSS5color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IFERROR(VLOOKUP(B213,input_425103!L:R,7,FALSE),VLOOKUP(tables_425103!C213,input_425103!A:H,8,FALSE))</f>
        <v>291.42856999999998</v>
      </c>
      <c r="P213" s="46">
        <f t="shared" ca="1" si="13"/>
        <v>1.0714285662237396E-4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input_425103!A$2</f>
        <v>425103</v>
      </c>
      <c r="B214" s="6">
        <v>586</v>
      </c>
      <c r="C214" s="7" t="str">
        <f t="shared" si="12"/>
        <v>PremiumSS4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IFERROR(VLOOKUP(B214,input_425103!L:R,7,FALSE),VLOOKUP(tables_425103!C214,input_425103!A:H,8,FALSE))</f>
        <v>1292</v>
      </c>
      <c r="P214" s="46">
        <f t="shared" ca="1" si="13"/>
        <v>4.7500000002095595E-4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input_425103!A$2</f>
        <v>425103</v>
      </c>
      <c r="B215" s="6">
        <v>587</v>
      </c>
      <c r="C215" s="7" t="str">
        <f t="shared" si="12"/>
        <v>PremiumSS5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IFERROR(VLOOKUP(B215,input_425103!L:R,7,FALSE),VLOOKUP(tables_425103!C215,input_425103!A:H,8,FALSE))</f>
        <v>68</v>
      </c>
      <c r="P215" s="46">
        <f t="shared" ca="1" si="13"/>
        <v>2.5000000001102947E-5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input_425103!A$2</f>
        <v>425103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IFERROR(VLOOKUP(B216,input_425103!L:R,7,FALSE),VLOOKUP(tables_425103!C216,input_425103!A:H,8,FALSE))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input_425103!A$2</f>
        <v>425103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IFERROR(VLOOKUP(B217,input_425103!L:R,7,FALSE),VLOOKUP(tables_425103!C217,input_425103!A:H,8,FALSE))</f>
        <v>15064.482050000001</v>
      </c>
      <c r="P217" s="46">
        <f t="shared" ca="1" si="13"/>
        <v>5.5384125186266958E-3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input_425103!A$2</f>
        <v>425103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IFERROR(VLOOKUP(B218,input_425103!L:R,7,FALSE),VLOOKUP(tables_425103!C218,input_425103!A:H,8,FALSE))</f>
        <v>183.10768999999999</v>
      </c>
      <c r="P218" s="46">
        <f t="shared" ca="1" si="13"/>
        <v>6.7319003679440552E-5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input_425103!A$2</f>
        <v>425103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IFERROR(VLOOKUP(B219,input_425103!L:R,7,FALSE),VLOOKUP(tables_425103!C219,input_425103!A:H,8,FALSE))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input_425103!A$2</f>
        <v>425103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IFERROR(VLOOKUP(B220,input_425103!L:R,7,FALSE),VLOOKUP(tables_425103!C220,input_425103!A:H,8,FALSE))</f>
        <v>15064.482050000001</v>
      </c>
      <c r="P220" s="46">
        <f t="shared" ca="1" si="13"/>
        <v>5.5384125186266958E-3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input_425103!A$2</f>
        <v>425103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IFERROR(VLOOKUP(B221,input_425103!L:R,7,FALSE),VLOOKUP(tables_425103!C221,input_425103!A:H,8,FALSE))</f>
        <v>183.10768999999999</v>
      </c>
      <c r="P221" s="46">
        <f t="shared" ca="1" si="13"/>
        <v>6.7319003679440552E-5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input_425103!A$2</f>
        <v>425103</v>
      </c>
      <c r="B222" s="6">
        <v>594</v>
      </c>
      <c r="C222" s="7" t="str">
        <f t="shared" si="12"/>
        <v>PremiumSS4color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IFERROR(VLOOKUP(B222,input_425103!L:R,7,FALSE),VLOOKUP(tables_425103!C222,input_425103!A:H,8,FALSE))</f>
        <v>5537.1428599999999</v>
      </c>
      <c r="P222" s="46">
        <f t="shared" ca="1" si="13"/>
        <v>2.0357142868545172E-3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input_425103!A$2</f>
        <v>425103</v>
      </c>
      <c r="B223" s="6">
        <v>595</v>
      </c>
      <c r="C223" s="7" t="str">
        <f t="shared" si="12"/>
        <v>PremiumSS5color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IFERROR(VLOOKUP(B223,input_425103!L:R,7,FALSE),VLOOKUP(tables_425103!C223,input_425103!A:H,8,FALSE))</f>
        <v>291.42856999999998</v>
      </c>
      <c r="P223" s="46">
        <f t="shared" ca="1" si="13"/>
        <v>1.0714285662237396E-4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input_425103!A$2</f>
        <v>425103</v>
      </c>
      <c r="B224" s="6">
        <v>596</v>
      </c>
      <c r="C224" s="7" t="str">
        <f t="shared" si="12"/>
        <v>Premium3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IFERROR(VLOOKUP(B224,input_425103!L:R,7,FALSE),VLOOKUP(tables_425103!C224,input_425103!A:H,8,FALSE))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input_425103!A$2</f>
        <v>425103</v>
      </c>
      <c r="B225" s="6">
        <v>597</v>
      </c>
      <c r="C225" s="7" t="str">
        <f t="shared" si="12"/>
        <v>Premium4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IFERROR(VLOOKUP(B225,input_425103!L:R,7,FALSE),VLOOKUP(tables_425103!C225,input_425103!A:H,8,FALSE))</f>
        <v>15064.482050000001</v>
      </c>
      <c r="P225" s="46">
        <f t="shared" ca="1" si="13"/>
        <v>5.5384125186266958E-3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input_425103!A$2</f>
        <v>425103</v>
      </c>
      <c r="B226" s="6">
        <v>598</v>
      </c>
      <c r="C226" s="7" t="str">
        <f t="shared" si="12"/>
        <v>Premium5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IFERROR(VLOOKUP(B226,input_425103!L:R,7,FALSE),VLOOKUP(tables_425103!C226,input_425103!A:H,8,FALSE))</f>
        <v>183.10768999999999</v>
      </c>
      <c r="P226" s="46">
        <f t="shared" ca="1" si="13"/>
        <v>6.7319003679440552E-5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input_425103!A$2</f>
        <v>425103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IFERROR(VLOOKUP(B227,input_425103!L:R,7,FALSE),VLOOKUP(tables_425103!C227,input_425103!A:H,8,FALSE))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input_425103!A$2</f>
        <v>425103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IFERROR(VLOOKUP(B228,input_425103!L:R,7,FALSE),VLOOKUP(tables_425103!C228,input_425103!A:H,8,FALSE))</f>
        <v>15064.482050000001</v>
      </c>
      <c r="P228" s="46">
        <f t="shared" ca="1" si="13"/>
        <v>5.5384125186266958E-3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input_425103!A$2</f>
        <v>425103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IFERROR(VLOOKUP(B229,input_425103!L:R,7,FALSE),VLOOKUP(tables_425103!C229,input_425103!A:H,8,FALSE))</f>
        <v>183.10768999999999</v>
      </c>
      <c r="P229" s="46">
        <f t="shared" ca="1" si="13"/>
        <v>6.7319003679440552E-5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input_425103!A$2</f>
        <v>425103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IFERROR(VLOOKUP(B230,input_425103!L:R,7,FALSE),VLOOKUP(tables_425103!C230,input_425103!A:H,8,FALSE))</f>
        <v>1292</v>
      </c>
      <c r="P230" s="46">
        <f t="shared" ca="1" si="13"/>
        <v>4.7500000002095595E-4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input_425103!A$2</f>
        <v>425103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IFERROR(VLOOKUP(B231,input_425103!L:R,7,FALSE),VLOOKUP(tables_425103!C231,input_425103!A:H,8,FALSE))</f>
        <v>68</v>
      </c>
      <c r="P231" s="46">
        <f t="shared" ca="1" si="13"/>
        <v>2.5000000001102947E-5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input_425103!A$2</f>
        <v>425103</v>
      </c>
      <c r="B232" s="6">
        <v>604</v>
      </c>
      <c r="C232" s="7" t="str">
        <f t="shared" si="12"/>
        <v>Premium3color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IFERROR(VLOOKUP(B232,input_425103!L:R,7,FALSE),VLOOKUP(tables_425103!C232,input_425103!A:H,8,FALSE))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input_425103!A$2</f>
        <v>425103</v>
      </c>
      <c r="B233" s="6">
        <v>605</v>
      </c>
      <c r="C233" s="7" t="str">
        <f t="shared" si="12"/>
        <v>Premium4color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IFERROR(VLOOKUP(B233,input_425103!L:R,7,FALSE),VLOOKUP(tables_425103!C233,input_425103!A:H,8,FALSE))</f>
        <v>68388.276930000007</v>
      </c>
      <c r="P233" s="46">
        <f t="shared" ca="1" si="13"/>
        <v>2.5142748872432775E-2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input_425103!A$2</f>
        <v>425103</v>
      </c>
      <c r="B234" s="6">
        <v>606</v>
      </c>
      <c r="C234" s="7" t="str">
        <f t="shared" si="12"/>
        <v>Premium5color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IFERROR(VLOOKUP(B234,input_425103!L:R,7,FALSE),VLOOKUP(tables_425103!C234,input_425103!A:H,8,FALSE))</f>
        <v>1787.72307</v>
      </c>
      <c r="P234" s="46">
        <f t="shared" ca="1" si="13"/>
        <v>6.5725112870546705E-4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input_425103!A$2</f>
        <v>425103</v>
      </c>
      <c r="B235" s="6">
        <v>658</v>
      </c>
      <c r="C235" s="7" t="str">
        <f t="shared" si="12"/>
        <v>PremiumSS4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IFERROR(VLOOKUP(B235,input_425103!L:R,7,FALSE),VLOOKUP(tables_425103!C235,input_425103!A:H,8,FALSE))</f>
        <v>1292</v>
      </c>
      <c r="P235" s="46">
        <f t="shared" ca="1" si="13"/>
        <v>4.7500000002095595E-4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input_425103!A$2</f>
        <v>425103</v>
      </c>
      <c r="B236" s="6">
        <v>659</v>
      </c>
      <c r="C236" s="7" t="str">
        <f t="shared" si="12"/>
        <v>PremiumSS5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IFERROR(VLOOKUP(B236,input_425103!L:R,7,FALSE),VLOOKUP(tables_425103!C236,input_425103!A:H,8,FALSE))</f>
        <v>68</v>
      </c>
      <c r="P236" s="46">
        <f t="shared" ca="1" si="13"/>
        <v>2.5000000001102947E-5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input_425103!A$2</f>
        <v>425103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IFERROR(VLOOKUP(B237,input_425103!L:R,7,FALSE),VLOOKUP(tables_425103!C237,input_425103!A:H,8,FALSE))</f>
        <v>1292</v>
      </c>
      <c r="P237" s="46">
        <f t="shared" ca="1" si="13"/>
        <v>4.7500000002095595E-4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input_425103!A$2</f>
        <v>425103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IFERROR(VLOOKUP(B238,input_425103!L:R,7,FALSE),VLOOKUP(tables_425103!C238,input_425103!A:H,8,FALSE))</f>
        <v>68</v>
      </c>
      <c r="P238" s="46">
        <f t="shared" ca="1" si="13"/>
        <v>2.5000000001102947E-5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input_425103!A$2</f>
        <v>425103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IFERROR(VLOOKUP(B239,input_425103!L:R,7,FALSE),VLOOKUP(tables_425103!C239,input_425103!A:H,8,FALSE))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input_425103!A$2</f>
        <v>425103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IFERROR(VLOOKUP(B240,input_425103!L:R,7,FALSE),VLOOKUP(tables_425103!C240,input_425103!A:H,8,FALSE))</f>
        <v>15064.482050000001</v>
      </c>
      <c r="P240" s="46">
        <f t="shared" ca="1" si="13"/>
        <v>5.5384125186266958E-3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input_425103!A$2</f>
        <v>425103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IFERROR(VLOOKUP(B241,input_425103!L:R,7,FALSE),VLOOKUP(tables_425103!C241,input_425103!A:H,8,FALSE))</f>
        <v>183.10768999999999</v>
      </c>
      <c r="P241" s="46">
        <f t="shared" ca="1" si="13"/>
        <v>6.7319003679440552E-5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input_425103!A$2</f>
        <v>425103</v>
      </c>
      <c r="B242" s="6">
        <v>665</v>
      </c>
      <c r="C242" s="7" t="str">
        <f t="shared" si="12"/>
        <v>Premium3color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IFERROR(VLOOKUP(B242,input_425103!L:R,7,FALSE),VLOOKUP(tables_425103!C242,input_425103!A:H,8,FALSE))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input_425103!A$2</f>
        <v>425103</v>
      </c>
      <c r="B243" s="6">
        <v>666</v>
      </c>
      <c r="C243" s="7" t="str">
        <f t="shared" si="12"/>
        <v>Premium4color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IFERROR(VLOOKUP(B243,input_425103!L:R,7,FALSE),VLOOKUP(tables_425103!C243,input_425103!A:H,8,FALSE))</f>
        <v>68388.276930000007</v>
      </c>
      <c r="P243" s="46">
        <f t="shared" ca="1" si="13"/>
        <v>2.5142748872432775E-2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input_425103!A$2</f>
        <v>425103</v>
      </c>
      <c r="B244" s="6">
        <v>667</v>
      </c>
      <c r="C244" s="7" t="str">
        <f t="shared" si="12"/>
        <v>Premium5color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IFERROR(VLOOKUP(B244,input_425103!L:R,7,FALSE),VLOOKUP(tables_425103!C244,input_425103!A:H,8,FALSE))</f>
        <v>1787.72307</v>
      </c>
      <c r="P244" s="46">
        <f t="shared" ca="1" si="13"/>
        <v>6.5725112870546705E-4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input_425103!A$2</f>
        <v>425103</v>
      </c>
      <c r="B245" s="60">
        <v>668</v>
      </c>
      <c r="C245" s="7" t="str">
        <f t="shared" si="12"/>
        <v>Premium3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IFERROR(VLOOKUP(B245,input_425103!L:R,7,FALSE),VLOOKUP(tables_425103!C245,input_425103!A:H,8,FALSE))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input_425103!A$2</f>
        <v>425103</v>
      </c>
      <c r="B246" s="60">
        <v>669</v>
      </c>
      <c r="C246" s="7" t="str">
        <f t="shared" si="12"/>
        <v>Premium4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IFERROR(VLOOKUP(B246,input_425103!L:R,7,FALSE),VLOOKUP(tables_425103!C246,input_425103!A:H,8,FALSE))</f>
        <v>15064.482050000001</v>
      </c>
      <c r="P246" s="46">
        <f t="shared" ca="1" si="13"/>
        <v>5.5384125186266958E-3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input_425103!A$2</f>
        <v>425103</v>
      </c>
      <c r="B247" s="60">
        <v>670</v>
      </c>
      <c r="C247" s="7" t="str">
        <f t="shared" si="12"/>
        <v>Premium5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IFERROR(VLOOKUP(B247,input_425103!L:R,7,FALSE),VLOOKUP(tables_425103!C247,input_425103!A:H,8,FALSE))</f>
        <v>183.10768999999999</v>
      </c>
      <c r="P247" s="46">
        <f t="shared" ca="1" si="13"/>
        <v>6.7319003679440552E-5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input_425103!A$2</f>
        <v>425103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IFERROR(VLOOKUP(B248,input_425103!L:R,7,FALSE),VLOOKUP(tables_425103!C248,input_425103!A:H,8,FALSE))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input_425103!A$2</f>
        <v>425103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IFERROR(VLOOKUP(B249,input_425103!L:R,7,FALSE),VLOOKUP(tables_425103!C249,input_425103!A:H,8,FALSE))</f>
        <v>15064.482050000001</v>
      </c>
      <c r="P249" s="46">
        <f t="shared" ca="1" si="13"/>
        <v>5.5384125186266958E-3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input_425103!A$2</f>
        <v>425103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IFERROR(VLOOKUP(B250,input_425103!L:R,7,FALSE),VLOOKUP(tables_425103!C250,input_425103!A:H,8,FALSE))</f>
        <v>183.10768999999999</v>
      </c>
      <c r="P250" s="46">
        <f t="shared" ca="1" si="13"/>
        <v>6.7319003679440552E-5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input_425103!A$2</f>
        <v>425103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IFERROR(VLOOKUP(B251,input_425103!L:R,7,FALSE),VLOOKUP(tables_425103!C251,input_425103!A:H,8,FALSE))</f>
        <v>1292</v>
      </c>
      <c r="P251" s="46">
        <f t="shared" ca="1" si="13"/>
        <v>4.7500000002095595E-4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input_425103!A$2</f>
        <v>425103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IFERROR(VLOOKUP(B252,input_425103!L:R,7,FALSE),VLOOKUP(tables_425103!C252,input_425103!A:H,8,FALSE))</f>
        <v>68</v>
      </c>
      <c r="P252" s="46">
        <f t="shared" ca="1" si="13"/>
        <v>2.5000000001102947E-5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input_425103!A$2</f>
        <v>425103</v>
      </c>
      <c r="B253" s="60">
        <v>676</v>
      </c>
      <c r="C253" s="7" t="str">
        <f t="shared" si="12"/>
        <v>PremiumSS4color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IFERROR(VLOOKUP(B253,input_425103!L:R,7,FALSE),VLOOKUP(tables_425103!C253,input_425103!A:H,8,FALSE))</f>
        <v>5537.1428599999999</v>
      </c>
      <c r="P253" s="46">
        <f t="shared" ca="1" si="13"/>
        <v>2.0357142868545172E-3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input_425103!A$2</f>
        <v>425103</v>
      </c>
      <c r="B254" s="60">
        <v>677</v>
      </c>
      <c r="C254" s="7" t="str">
        <f t="shared" si="12"/>
        <v>PremiumSS5color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IFERROR(VLOOKUP(B254,input_425103!L:R,7,FALSE),VLOOKUP(tables_425103!C254,input_425103!A:H,8,FALSE))</f>
        <v>291.42856999999998</v>
      </c>
      <c r="P254" s="46">
        <f t="shared" ca="1" si="13"/>
        <v>1.0714285662237396E-4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input_425103!A$2</f>
        <v>425103</v>
      </c>
      <c r="B255" s="60">
        <v>728</v>
      </c>
      <c r="C255" s="7" t="str">
        <f t="shared" si="12"/>
        <v>Premium4R3less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IFERROR(VLOOKUP(B255,input_425103!L:R,7,FALSE),VLOOKUP(tables_425103!C255,input_425103!A:H,8,FALSE))</f>
        <v>14379.2</v>
      </c>
      <c r="P255" s="46">
        <f t="shared" ca="1" si="13"/>
        <v>5.2864705884685219E-3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input_425103!A$2</f>
        <v>425103</v>
      </c>
      <c r="B256" s="60">
        <v>729</v>
      </c>
      <c r="C256" s="7" t="str">
        <f t="shared" si="12"/>
        <v>Premium5R3less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IFERROR(VLOOKUP(B256,input_425103!L:R,7,FALSE),VLOOKUP(tables_425103!C256,input_425103!A:H,8,FALSE))</f>
        <v>756.8</v>
      </c>
      <c r="P256" s="46">
        <f t="shared" ca="1" si="13"/>
        <v>2.7823529412992218E-4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input_425103!A$2</f>
        <v>425103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IFERROR(VLOOKUP(B257,input_425103!L:R,7,FALSE),VLOOKUP(tables_425103!C257,input_425103!A:H,8,FALSE))</f>
        <v>14379.2</v>
      </c>
      <c r="P257" s="46">
        <f t="shared" ca="1" si="13"/>
        <v>5.2864705884685219E-3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input_425103!A$2</f>
        <v>425103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IFERROR(VLOOKUP(B258,input_425103!L:R,7,FALSE),VLOOKUP(tables_425103!C258,input_425103!A:H,8,FALSE))</f>
        <v>756.8</v>
      </c>
      <c r="P258" s="46">
        <f t="shared" ref="P258:P305" ca="1" si="17">O258/SUM(O:O)</f>
        <v>2.7823529412992218E-4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input_425103!A$2</f>
        <v>425103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9" si="19">IF(K259="yellow","color","")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IFERROR(VLOOKUP(B259,input_425103!L:R,7,FALSE),VLOOKUP(tables_425103!C259,input_425103!A:H,8,FALSE))</f>
        <v>1360</v>
      </c>
      <c r="P259" s="46">
        <f t="shared" ca="1" si="17"/>
        <v>5.0000000002205886E-4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input_425103!A$2</f>
        <v>425103</v>
      </c>
      <c r="B260" s="60">
        <v>734</v>
      </c>
      <c r="C260" s="7" t="str">
        <f t="shared" si="16"/>
        <v>PremiumSS5R5onlycolor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IFERROR(VLOOKUP(B260,input_425103!L:R,7,FALSE),VLOOKUP(tables_425103!C260,input_425103!A:H,8,FALSE))</f>
        <v>5828.57143</v>
      </c>
      <c r="P260" s="46">
        <f t="shared" ca="1" si="17"/>
        <v>2.1428571434768911E-3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input_425103!A$2</f>
        <v>425103</v>
      </c>
      <c r="B261" s="60">
        <v>770</v>
      </c>
      <c r="C261" s="7" t="str">
        <f t="shared" si="16"/>
        <v>PremiumSS4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IFERROR(VLOOKUP(B261,input_425103!L:R,7,FALSE),VLOOKUP(tables_425103!C261,input_425103!A:H,8,FALSE))</f>
        <v>1292</v>
      </c>
      <c r="P261" s="46">
        <f t="shared" ca="1" si="17"/>
        <v>4.7500000002095595E-4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input_425103!A$2</f>
        <v>425103</v>
      </c>
      <c r="B262" s="60">
        <v>771</v>
      </c>
      <c r="C262" s="7" t="str">
        <f t="shared" si="16"/>
        <v>PremiumSS5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IFERROR(VLOOKUP(B262,input_425103!L:R,7,FALSE),VLOOKUP(tables_425103!C262,input_425103!A:H,8,FALSE))</f>
        <v>68</v>
      </c>
      <c r="P262" s="46">
        <f t="shared" ca="1" si="17"/>
        <v>2.5000000001102947E-5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input_425103!A$2</f>
        <v>425103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IFERROR(VLOOKUP(B263,input_425103!L:R,7,FALSE),VLOOKUP(tables_425103!C263,input_425103!A:H,8,FALSE))</f>
        <v>1292</v>
      </c>
      <c r="P263" s="46">
        <f t="shared" ca="1" si="17"/>
        <v>4.7500000002095595E-4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input_425103!A$2</f>
        <v>425103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IFERROR(VLOOKUP(B264,input_425103!L:R,7,FALSE),VLOOKUP(tables_425103!C264,input_425103!A:H,8,FALSE))</f>
        <v>68</v>
      </c>
      <c r="P264" s="46">
        <f t="shared" ca="1" si="17"/>
        <v>2.5000000001102947E-5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input_425103!A$2</f>
        <v>425103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IFERROR(VLOOKUP(B265,input_425103!L:R,7,FALSE),VLOOKUP(tables_425103!C265,input_425103!A:H,8,FALSE))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input_425103!A$2</f>
        <v>425103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IFERROR(VLOOKUP(B266,input_425103!L:R,7,FALSE),VLOOKUP(tables_425103!C266,input_425103!A:H,8,FALSE))</f>
        <v>15064.482050000001</v>
      </c>
      <c r="P266" s="46">
        <f t="shared" ca="1" si="17"/>
        <v>5.5384125186266958E-3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input_425103!A$2</f>
        <v>425103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IFERROR(VLOOKUP(B267,input_425103!L:R,7,FALSE),VLOOKUP(tables_425103!C267,input_425103!A:H,8,FALSE))</f>
        <v>183.10768999999999</v>
      </c>
      <c r="P267" s="46">
        <f t="shared" ca="1" si="17"/>
        <v>6.7319003679440552E-5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input_425103!A$2</f>
        <v>425103</v>
      </c>
      <c r="B268" s="60">
        <v>777</v>
      </c>
      <c r="C268" s="7" t="str">
        <f t="shared" si="16"/>
        <v>Premium3color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IFERROR(VLOOKUP(B268,input_425103!L:R,7,FALSE),VLOOKUP(tables_425103!C268,input_425103!A:H,8,FALSE))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input_425103!A$2</f>
        <v>425103</v>
      </c>
      <c r="B269" s="60">
        <v>778</v>
      </c>
      <c r="C269" s="7" t="str">
        <f t="shared" si="16"/>
        <v>Premium4color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IFERROR(VLOOKUP(B269,input_425103!L:R,7,FALSE),VLOOKUP(tables_425103!C269,input_425103!A:H,8,FALSE))</f>
        <v>68388.276930000007</v>
      </c>
      <c r="P269" s="46">
        <f t="shared" ca="1" si="17"/>
        <v>2.5142748872432775E-2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input_425103!A$2</f>
        <v>425103</v>
      </c>
      <c r="B270" s="60">
        <v>779</v>
      </c>
      <c r="C270" s="7" t="str">
        <f t="shared" si="16"/>
        <v>Premium5color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IFERROR(VLOOKUP(B270,input_425103!L:R,7,FALSE),VLOOKUP(tables_425103!C270,input_425103!A:H,8,FALSE))</f>
        <v>1787.72307</v>
      </c>
      <c r="P270" s="46">
        <f t="shared" ca="1" si="17"/>
        <v>6.5725112870546705E-4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input_425103!A$2</f>
        <v>425103</v>
      </c>
      <c r="B271" s="82">
        <v>848</v>
      </c>
      <c r="C271" s="7" t="str">
        <f t="shared" si="16"/>
        <v>PremiumSS5R5only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IFERROR(VLOOKUP(B271,input_425103!L:R,7,FALSE),VLOOKUP(tables_425103!C271,input_425103!A:H,8,FALSE))</f>
        <v>1360</v>
      </c>
      <c r="P271" s="46">
        <f t="shared" ca="1" si="17"/>
        <v>5.0000000002205886E-4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input_425103!A$2</f>
        <v>425103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IFERROR(VLOOKUP(B272,input_425103!L:R,7,FALSE),VLOOKUP(tables_425103!C272,input_425103!A:H,8,FALSE))</f>
        <v>1360</v>
      </c>
      <c r="P272" s="46">
        <f t="shared" ca="1" si="17"/>
        <v>5.0000000002205886E-4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input_425103!A$2</f>
        <v>425103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IFERROR(VLOOKUP(B273,input_425103!L:R,7,FALSE),VLOOKUP(tables_425103!C273,input_425103!A:H,8,FALSE))</f>
        <v>14379.2</v>
      </c>
      <c r="P273" s="46">
        <f t="shared" ca="1" si="17"/>
        <v>5.2864705884685219E-3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input_425103!A$2</f>
        <v>425103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IFERROR(VLOOKUP(B274,input_425103!L:R,7,FALSE),VLOOKUP(tables_425103!C274,input_425103!A:H,8,FALSE))</f>
        <v>756.8</v>
      </c>
      <c r="P274" s="46">
        <f t="shared" ca="1" si="17"/>
        <v>2.7823529412992218E-4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input_425103!A$2</f>
        <v>425103</v>
      </c>
      <c r="B275" s="82">
        <v>854</v>
      </c>
      <c r="C275" s="7" t="str">
        <f t="shared" si="16"/>
        <v>Premium4R3lesscolor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IFERROR(VLOOKUP(B275,input_425103!L:R,7,FALSE),VLOOKUP(tables_425103!C275,input_425103!A:H,8,FALSE))</f>
        <v>66667.199999999997</v>
      </c>
      <c r="P275" s="46">
        <f t="shared" ca="1" si="17"/>
        <v>2.4510000001081327E-2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input_425103!A$2</f>
        <v>425103</v>
      </c>
      <c r="B276" s="82">
        <v>855</v>
      </c>
      <c r="C276" s="7" t="str">
        <f t="shared" si="16"/>
        <v>Premium5R3lesscolor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IFERROR(VLOOKUP(B276,input_425103!L:R,7,FALSE),VLOOKUP(tables_425103!C276,input_425103!A:H,8,FALSE))</f>
        <v>3508.8</v>
      </c>
      <c r="P276" s="46">
        <f t="shared" ca="1" si="17"/>
        <v>1.2900000000569121E-3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input_425103!A$2</f>
        <v>425103</v>
      </c>
      <c r="B277" s="82">
        <v>862</v>
      </c>
      <c r="C277" s="7" t="str">
        <f t="shared" si="16"/>
        <v>Premium4R3less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IFERROR(VLOOKUP(B277,input_425103!L:R,7,FALSE),VLOOKUP(tables_425103!C277,input_425103!A:H,8,FALSE))</f>
        <v>14379.2</v>
      </c>
      <c r="P277" s="46">
        <f t="shared" ca="1" si="17"/>
        <v>5.2864705884685219E-3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input_425103!A$2</f>
        <v>425103</v>
      </c>
      <c r="B278" s="82">
        <v>863</v>
      </c>
      <c r="C278" s="7" t="str">
        <f t="shared" si="16"/>
        <v>Premium5R3less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IFERROR(VLOOKUP(B278,input_425103!L:R,7,FALSE),VLOOKUP(tables_425103!C278,input_425103!A:H,8,FALSE))</f>
        <v>756.8</v>
      </c>
      <c r="P278" s="46">
        <f t="shared" ca="1" si="17"/>
        <v>2.7823529412992218E-4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input_425103!A$2</f>
        <v>425103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IFERROR(VLOOKUP(B279,input_425103!L:R,7,FALSE),VLOOKUP(tables_425103!C279,input_425103!A:H,8,FALSE))</f>
        <v>14379.2</v>
      </c>
      <c r="P279" s="46">
        <f t="shared" ca="1" si="17"/>
        <v>5.2864705884685219E-3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input_425103!A$2</f>
        <v>425103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IFERROR(VLOOKUP(B280,input_425103!L:R,7,FALSE),VLOOKUP(tables_425103!C280,input_425103!A:H,8,FALSE))</f>
        <v>756.8</v>
      </c>
      <c r="P280" s="46">
        <f t="shared" ca="1" si="17"/>
        <v>2.7823529412992218E-4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input_425103!A$2</f>
        <v>425103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IFERROR(VLOOKUP(B281,input_425103!L:R,7,FALSE),VLOOKUP(tables_425103!C281,input_425103!A:H,8,FALSE))</f>
        <v>1360</v>
      </c>
      <c r="P281" s="46">
        <f t="shared" ca="1" si="17"/>
        <v>5.0000000002205886E-4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input_425103!A$2</f>
        <v>425103</v>
      </c>
      <c r="B282" s="82">
        <v>868</v>
      </c>
      <c r="C282" s="7" t="str">
        <f t="shared" si="16"/>
        <v>PremiumSS5R5onlycolor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IFERROR(VLOOKUP(B282,input_425103!L:R,7,FALSE),VLOOKUP(tables_425103!C282,input_425103!A:H,8,FALSE))</f>
        <v>5828.57143</v>
      </c>
      <c r="P282" s="46">
        <f t="shared" ca="1" si="17"/>
        <v>2.1428571434768911E-3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input_425103!A$2</f>
        <v>425103</v>
      </c>
      <c r="B283" s="5">
        <v>742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IFERROR(VLOOKUP(B283,input_425103!L:R,7,FALSE),VLOOKUP(tables_425103!C283,input_425103!A:H,8,FALSE))</f>
        <v>1360</v>
      </c>
      <c r="P283" s="46">
        <f t="shared" ca="1" si="17"/>
        <v>5.0000000002205886E-4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input_425103!A$2</f>
        <v>425103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IFERROR(VLOOKUP(B284,input_425103!L:R,7,FALSE),VLOOKUP(tables_425103!C284,input_425103!A:H,8,FALSE))</f>
        <v>1360</v>
      </c>
      <c r="P284" s="46">
        <f t="shared" ca="1" si="17"/>
        <v>5.0000000002205886E-4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input_425103!A$2</f>
        <v>425103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IFERROR(VLOOKUP(B285,input_425103!L:R,7,FALSE),VLOOKUP(tables_425103!C285,input_425103!A:H,8,FALSE))</f>
        <v>14379.2</v>
      </c>
      <c r="P285" s="46">
        <f t="shared" ca="1" si="17"/>
        <v>5.2864705884685219E-3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input_425103!A$2</f>
        <v>425103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IFERROR(VLOOKUP(B286,input_425103!L:R,7,FALSE),VLOOKUP(tables_425103!C286,input_425103!A:H,8,FALSE))</f>
        <v>756.8</v>
      </c>
      <c r="P286" s="46">
        <f t="shared" ca="1" si="17"/>
        <v>2.7823529412992218E-4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input_425103!A$2</f>
        <v>425103</v>
      </c>
      <c r="B287" s="5">
        <v>748</v>
      </c>
      <c r="C287" s="7" t="str">
        <f t="shared" si="20"/>
        <v>Premium4R3lesscolor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IFERROR(VLOOKUP(B287,input_425103!L:R,7,FALSE),VLOOKUP(tables_425103!C287,input_425103!A:H,8,FALSE))</f>
        <v>66667.199999999997</v>
      </c>
      <c r="P287" s="46">
        <f t="shared" ca="1" si="17"/>
        <v>2.4510000001081327E-2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input_425103!A$2</f>
        <v>425103</v>
      </c>
      <c r="B288" s="5">
        <v>749</v>
      </c>
      <c r="C288" s="7" t="str">
        <f t="shared" si="20"/>
        <v>Premium5R3lesscolor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IFERROR(VLOOKUP(B288,input_425103!L:R,7,FALSE),VLOOKUP(tables_425103!C288,input_425103!A:H,8,FALSE))</f>
        <v>3508.8</v>
      </c>
      <c r="P288" s="46">
        <f t="shared" ca="1" si="17"/>
        <v>1.2900000000569121E-3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input_425103!A$2</f>
        <v>425103</v>
      </c>
      <c r="B289" s="5">
        <v>937</v>
      </c>
      <c r="C289" s="7" t="str">
        <f t="shared" si="20"/>
        <v>PremiumSS5R5only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IFERROR(VLOOKUP(B289,input_425103!L:R,7,FALSE),VLOOKUP(tables_425103!C289,input_425103!A:H,8,FALSE))</f>
        <v>1360</v>
      </c>
      <c r="P289" s="46">
        <f t="shared" ca="1" si="17"/>
        <v>5.0000000002205886E-4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input_425103!A$2</f>
        <v>425103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IFERROR(VLOOKUP(B290,input_425103!L:R,7,FALSE),VLOOKUP(tables_425103!C290,input_425103!A:H,8,FALSE))</f>
        <v>14379.2</v>
      </c>
      <c r="P290" s="46">
        <f t="shared" ca="1" si="17"/>
        <v>5.2864705884685219E-3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input_425103!A$2</f>
        <v>425103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IFERROR(VLOOKUP(B291,input_425103!L:R,7,FALSE),VLOOKUP(tables_425103!C291,input_425103!A:H,8,FALSE))</f>
        <v>756.8</v>
      </c>
      <c r="P291" s="46">
        <f t="shared" ca="1" si="17"/>
        <v>2.7823529412992218E-4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input_425103!A$2</f>
        <v>425103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IFERROR(VLOOKUP(B292,input_425103!L:R,7,FALSE),VLOOKUP(tables_425103!C292,input_425103!A:H,8,FALSE))</f>
        <v>1360</v>
      </c>
      <c r="P292" s="46">
        <f t="shared" ca="1" si="17"/>
        <v>5.0000000002205886E-4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input_425103!A$2</f>
        <v>425103</v>
      </c>
      <c r="B293" s="5">
        <v>943</v>
      </c>
      <c r="C293" s="7" t="str">
        <f t="shared" si="21"/>
        <v>PremiumSS5R5onlycolor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IFERROR(VLOOKUP(B293,input_425103!L:R,7,FALSE),VLOOKUP(tables_425103!C293,input_425103!A:H,8,FALSE))</f>
        <v>5828.57143</v>
      </c>
      <c r="P293" s="46">
        <f t="shared" ca="1" si="17"/>
        <v>2.1428571434768911E-3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input_425103!A$2</f>
        <v>425103</v>
      </c>
      <c r="B294" s="5">
        <v>1012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IFERROR(VLOOKUP(B294,input_425103!L:R,7,FALSE),VLOOKUP(tables_425103!C294,input_425103!A:H,8,FALSE))</f>
        <v>1360</v>
      </c>
      <c r="P294" s="46">
        <f t="shared" ca="1" si="17"/>
        <v>5.0000000002205886E-4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input_425103!A$2</f>
        <v>425103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IFERROR(VLOOKUP(B295,input_425103!L:R,7,FALSE),VLOOKUP(tables_425103!C295,input_425103!A:H,8,FALSE))</f>
        <v>1360</v>
      </c>
      <c r="P295" s="46">
        <f t="shared" ca="1" si="17"/>
        <v>5.0000000002205886E-4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input_425103!A$2</f>
        <v>425103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IFERROR(VLOOKUP(B296,input_425103!L:R,7,FALSE),VLOOKUP(tables_425103!C296,input_425103!A:H,8,FALSE))</f>
        <v>14379.2</v>
      </c>
      <c r="P296" s="46">
        <f t="shared" ca="1" si="17"/>
        <v>5.2864705884685219E-3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input_425103!A$2</f>
        <v>425103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IFERROR(VLOOKUP(B297,input_425103!L:R,7,FALSE),VLOOKUP(tables_425103!C297,input_425103!A:H,8,FALSE))</f>
        <v>756.8</v>
      </c>
      <c r="P297" s="46">
        <f t="shared" ca="1" si="17"/>
        <v>2.7823529412992218E-4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input_425103!A$2</f>
        <v>425103</v>
      </c>
      <c r="B298" s="5">
        <v>1018</v>
      </c>
      <c r="C298" s="7" t="str">
        <f t="shared" si="21"/>
        <v>PremiumSS5R5onlycolor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IFERROR(VLOOKUP(B298,input_425103!L:R,7,FALSE),VLOOKUP(tables_425103!C298,input_425103!A:H,8,FALSE))</f>
        <v>5828.57143</v>
      </c>
      <c r="P298" s="46">
        <f t="shared" ca="1" si="17"/>
        <v>2.1428571434768911E-3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input_425103!A$2</f>
        <v>425103</v>
      </c>
      <c r="B299" s="5">
        <v>1026</v>
      </c>
      <c r="C299" s="7" t="str">
        <f t="shared" si="21"/>
        <v>Premium4R3less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IFERROR(VLOOKUP(B299,input_425103!L:R,7,FALSE),VLOOKUP(tables_425103!C299,input_425103!A:H,8,FALSE))</f>
        <v>14379.2</v>
      </c>
      <c r="P299" s="46">
        <f t="shared" ca="1" si="17"/>
        <v>5.2864705884685219E-3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input_425103!A$2</f>
        <v>425103</v>
      </c>
      <c r="B300" s="5">
        <v>1027</v>
      </c>
      <c r="C300" s="7" t="str">
        <f t="shared" si="21"/>
        <v>Premium5R3less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IFERROR(VLOOKUP(B300,input_425103!L:R,7,FALSE),VLOOKUP(tables_425103!C300,input_425103!A:H,8,FALSE))</f>
        <v>756.8</v>
      </c>
      <c r="P300" s="46">
        <f t="shared" ca="1" si="17"/>
        <v>2.7823529412992218E-4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input_425103!A$2</f>
        <v>425103</v>
      </c>
      <c r="B301" s="5">
        <v>1028</v>
      </c>
      <c r="C301" s="7" t="str">
        <f t="shared" ref="C301:C304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IFERROR(VLOOKUP(B301,input_425103!L:R,7,FALSE),VLOOKUP(tables_425103!C301,input_425103!A:H,8,FALSE))</f>
        <v>1360</v>
      </c>
      <c r="P301" s="46">
        <f t="shared" ca="1" si="17"/>
        <v>5.0000000002205886E-4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input_425103!A$2</f>
        <v>425103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IFERROR(VLOOKUP(B302,input_425103!L:R,7,FALSE),VLOOKUP(tables_425103!C302,input_425103!A:H,8,FALSE))</f>
        <v>1360</v>
      </c>
      <c r="P302" s="46">
        <f t="shared" ca="1" si="17"/>
        <v>5.0000000002205886E-4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input_425103!A$2</f>
        <v>425103</v>
      </c>
      <c r="B303" s="5">
        <v>1033</v>
      </c>
      <c r="C303" s="7" t="str">
        <f t="shared" si="22"/>
        <v>PremiumSS5R5onlycolor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IFERROR(VLOOKUP(B303,input_425103!L:R,7,FALSE),VLOOKUP(tables_425103!C303,input_425103!A:H,8,FALSE))</f>
        <v>5828.57143</v>
      </c>
      <c r="P303" s="46">
        <f t="shared" ca="1" si="17"/>
        <v>2.1428571434768911E-3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input_425103!A$2</f>
        <v>425103</v>
      </c>
      <c r="B304" s="5">
        <v>1067</v>
      </c>
      <c r="C304" s="7" t="str">
        <f t="shared" si="22"/>
        <v>Premium4R3less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IFERROR(VLOOKUP(B304,input_425103!L:R,7,FALSE),VLOOKUP(tables_425103!C304,input_425103!A:H,8,FALSE))</f>
        <v>14379.2</v>
      </c>
      <c r="P304" s="46">
        <f t="shared" ca="1" si="17"/>
        <v>5.2864705884685219E-3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input_425103!A$2</f>
        <v>425103</v>
      </c>
      <c r="B305" s="5">
        <v>1068</v>
      </c>
      <c r="C305" s="7" t="str">
        <f t="shared" ref="C305" si="23">D305&amp;J305&amp;E305&amp;F305&amp;G305</f>
        <v>Premium5R3less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IFERROR(VLOOKUP(B305,input_425103!L:R,7,FALSE),VLOOKUP(tables_425103!C305,input_425103!A:H,8,FALSE))</f>
        <v>756.8</v>
      </c>
      <c r="P305" s="46">
        <f t="shared" ca="1" si="17"/>
        <v>2.7823529412992218E-4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input_425103!A$2</f>
        <v>425103</v>
      </c>
      <c r="B306" s="5">
        <v>1069</v>
      </c>
      <c r="C306" s="7" t="str">
        <f t="shared" ref="C306:C310" si="24">D306&amp;J306&amp;E306&amp;F306&amp;G306</f>
        <v>PremiumSS5R5only</v>
      </c>
      <c r="D306" s="7" t="str">
        <f t="shared" ref="D306:D310" si="25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IFERROR(VLOOKUP(B306,input_425103!L:R,7,FALSE),VLOOKUP(tables_425103!C306,input_425103!A:H,8,FALSE))</f>
        <v>1360</v>
      </c>
      <c r="P306" s="46">
        <f t="shared" ref="P306:P310" ca="1" si="26">O306/SUM(O:O)</f>
        <v>5.0000000002205886E-4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input_425103!A$2</f>
        <v>425103</v>
      </c>
      <c r="B307" s="5">
        <v>1072</v>
      </c>
      <c r="C307" s="7" t="str">
        <f t="shared" si="24"/>
        <v>PremiumSS5R5only</v>
      </c>
      <c r="D307" s="7" t="str">
        <f t="shared" si="25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IFERROR(VLOOKUP(B307,input_425103!L:R,7,FALSE),VLOOKUP(tables_425103!C307,input_425103!A:H,8,FALSE))</f>
        <v>1360</v>
      </c>
      <c r="P307" s="46">
        <f t="shared" ca="1" si="26"/>
        <v>5.0000000002205886E-4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input_425103!A$2</f>
        <v>425103</v>
      </c>
      <c r="B308" s="5">
        <v>1074</v>
      </c>
      <c r="C308" s="7" t="str">
        <f t="shared" si="24"/>
        <v>PremiumSS5R5onlycolor</v>
      </c>
      <c r="D308" s="7" t="str">
        <f t="shared" si="2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IFERROR(VLOOKUP(B308,input_425103!L:R,7,FALSE),VLOOKUP(tables_425103!C308,input_425103!A:H,8,FALSE))</f>
        <v>5828.57143</v>
      </c>
      <c r="P308" s="46">
        <f t="shared" ca="1" si="26"/>
        <v>2.1428571434768911E-3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input_425103!A$2</f>
        <v>425103</v>
      </c>
      <c r="B309" s="5">
        <v>1104</v>
      </c>
      <c r="C309" s="7" t="str">
        <f t="shared" si="24"/>
        <v>Premium4R3less</v>
      </c>
      <c r="D309" s="7" t="str">
        <f t="shared" si="25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IFERROR(VLOOKUP(B309,input_425103!L:R,7,FALSE),VLOOKUP(tables_425103!C309,input_425103!A:H,8,FALSE))</f>
        <v>14379.2</v>
      </c>
      <c r="P309" s="46">
        <f t="shared" ca="1" si="26"/>
        <v>5.2864705884685219E-3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input_425103!A$2</f>
        <v>425103</v>
      </c>
      <c r="B310" s="5">
        <v>1105</v>
      </c>
      <c r="C310" s="7" t="str">
        <f t="shared" si="24"/>
        <v>Premium5R3less</v>
      </c>
      <c r="D310" s="7" t="str">
        <f t="shared" si="25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IFERROR(VLOOKUP(B310,input_425103!L:R,7,FALSE),VLOOKUP(tables_425103!C310,input_425103!A:H,8,FALSE))</f>
        <v>756.8</v>
      </c>
      <c r="P310" s="46">
        <f t="shared" ca="1" si="26"/>
        <v>2.7823529412992218E-4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input_425103!A$2</f>
        <v>425103</v>
      </c>
      <c r="B311" s="5">
        <v>1106</v>
      </c>
      <c r="C311" s="7" t="str">
        <f t="shared" ref="C311:C319" si="27">D311&amp;J311&amp;E311&amp;F311&amp;G311</f>
        <v>PremiumSS5R5onlycolor</v>
      </c>
      <c r="D311" s="7" t="str">
        <f t="shared" ref="D311:D319" si="28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IFERROR(VLOOKUP(B311,input_425103!L:R,7,FALSE),VLOOKUP(tables_425103!C311,input_425103!A:H,8,FALSE))</f>
        <v>5828.57143</v>
      </c>
      <c r="P311" s="46">
        <f t="shared" ref="P311:P319" ca="1" si="29">O311/SUM(O:O)</f>
        <v>2.1428571434768911E-3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input_425103!A$2</f>
        <v>425103</v>
      </c>
      <c r="B312" s="5">
        <v>1102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IFERROR(VLOOKUP(B312,input_425103!L:R,7,FALSE),VLOOKUP(tables_425103!C312,input_425103!A:H,8,FALSE))</f>
        <v>1360</v>
      </c>
      <c r="P312" s="46">
        <f t="shared" ca="1" si="29"/>
        <v>5.0000000002205886E-4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input_425103!A$2</f>
        <v>425103</v>
      </c>
      <c r="B313" s="5">
        <v>1100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IFERROR(VLOOKUP(B313,input_425103!L:R,7,FALSE),VLOOKUP(tables_425103!C313,input_425103!A:H,8,FALSE))</f>
        <v>1360</v>
      </c>
      <c r="P313" s="46">
        <f t="shared" ca="1" si="29"/>
        <v>5.0000000002205886E-4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input_425103!A$2</f>
        <v>425103</v>
      </c>
      <c r="B314" s="5">
        <v>1137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IFERROR(VLOOKUP(B314,input_425103!L:R,7,FALSE),VLOOKUP(tables_425103!C314,input_425103!A:H,8,FALSE))</f>
        <v>1360</v>
      </c>
      <c r="P314" s="46">
        <f t="shared" ca="1" si="29"/>
        <v>5.0000000002205886E-4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input_425103!A$2</f>
        <v>425103</v>
      </c>
      <c r="B315" s="5">
        <v>1139</v>
      </c>
      <c r="C315" s="7" t="str">
        <f t="shared" si="27"/>
        <v>PremiumSS5R5only</v>
      </c>
      <c r="D315" s="7" t="str">
        <f t="shared" si="2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IFERROR(VLOOKUP(B315,input_425103!L:R,7,FALSE),VLOOKUP(tables_425103!C315,input_425103!A:H,8,FALSE))</f>
        <v>1360</v>
      </c>
      <c r="P315" s="46">
        <f t="shared" ca="1" si="29"/>
        <v>5.0000000002205886E-4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input_425103!A$2</f>
        <v>425103</v>
      </c>
      <c r="B316" s="5">
        <v>1141</v>
      </c>
      <c r="C316" s="7" t="str">
        <f t="shared" si="27"/>
        <v>PremiumSS5R5only</v>
      </c>
      <c r="D316" s="7" t="str">
        <f t="shared" si="2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IFERROR(VLOOKUP(B316,input_425103!L:R,7,FALSE),VLOOKUP(tables_425103!C316,input_425103!A:H,8,FALSE))</f>
        <v>1360</v>
      </c>
      <c r="P316" s="46">
        <f t="shared" ca="1" si="29"/>
        <v>5.0000000002205886E-4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input_425103!A$2</f>
        <v>425103</v>
      </c>
      <c r="B317" s="5">
        <v>1143</v>
      </c>
      <c r="C317" s="7" t="str">
        <f t="shared" si="27"/>
        <v>Premium4R3lesscolor</v>
      </c>
      <c r="D317" s="7" t="str">
        <f t="shared" si="28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IFERROR(VLOOKUP(B317,input_425103!L:R,7,FALSE),VLOOKUP(tables_425103!C317,input_425103!A:H,8,FALSE))</f>
        <v>66667.199999999997</v>
      </c>
      <c r="P317" s="46">
        <f t="shared" ca="1" si="29"/>
        <v>2.4510000001081327E-2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input_425103!A$2</f>
        <v>425103</v>
      </c>
      <c r="B318" s="5">
        <v>1144</v>
      </c>
      <c r="C318" s="7" t="str">
        <f t="shared" si="27"/>
        <v>Premium5R3lesscolor</v>
      </c>
      <c r="D318" s="7" t="str">
        <f t="shared" si="2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IFERROR(VLOOKUP(B318,input_425103!L:R,7,FALSE),VLOOKUP(tables_425103!C318,input_425103!A:H,8,FALSE))</f>
        <v>3508.8</v>
      </c>
      <c r="P318" s="46">
        <f t="shared" ca="1" si="29"/>
        <v>1.2900000000569121E-3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input_425103!A$2</f>
        <v>425103</v>
      </c>
      <c r="B319" s="1">
        <v>874</v>
      </c>
      <c r="C319" s="7" t="str">
        <f t="shared" si="27"/>
        <v>PremiumSSS5R3lesscolor</v>
      </c>
      <c r="D319" s="7" t="str">
        <f t="shared" si="28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フレネル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attack</v>
      </c>
      <c r="M319" s="7" t="str">
        <f>VLOOKUP(B319,[1]characters!$A:$M,13,FALSE)</f>
        <v>academia</v>
      </c>
      <c r="N319" s="7" t="str">
        <f>VLOOKUP(B319,[1]characters!$A:$G,7,FALSE)</f>
        <v>男性</v>
      </c>
      <c r="O319" s="45">
        <f ca="1">IFERROR(VLOOKUP(B319,input_425103!L:R,7,FALSE),VLOOKUP(tables_425103!C319,input_425103!A:H,8,FALSE))</f>
        <v>10880</v>
      </c>
      <c r="P319" s="46">
        <f t="shared" ca="1" si="29"/>
        <v>4.0000000001764709E-3</v>
      </c>
      <c r="Q319" s="88"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W14" sqref="W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102">
        <v>425103</v>
      </c>
      <c r="B2" s="104">
        <v>177</v>
      </c>
      <c r="C2" s="103" t="str">
        <f t="shared" ref="C2:C29" si="0">D2&amp;J2&amp;E2&amp;F2&amp;G2</f>
        <v>Premium5color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>color</v>
      </c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v>6622</v>
      </c>
      <c r="P2" s="46">
        <f>O2/SUM(O:O)</f>
        <v>5.5647058823529411E-2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102">
        <v>425103</v>
      </c>
      <c r="B3" s="104">
        <v>189</v>
      </c>
      <c r="C3" s="103" t="str">
        <f t="shared" si="0"/>
        <v>Premium5color</v>
      </c>
      <c r="D3" s="7" t="str">
        <f t="shared" ref="D3:D29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31" si="2">IF(K3="yellow","color","")</f>
        <v>color</v>
      </c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v>6622</v>
      </c>
      <c r="P3" s="46">
        <f t="shared" ref="P3:P33" si="3">O3/SUM(O:O)</f>
        <v>5.5647058823529411E-2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102">
        <v>425103</v>
      </c>
      <c r="B4" s="104">
        <v>198</v>
      </c>
      <c r="C4" s="103" t="str">
        <f t="shared" si="0"/>
        <v>Premium5color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2"/>
        <v>color</v>
      </c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6622</v>
      </c>
      <c r="P4" s="46">
        <f t="shared" si="3"/>
        <v>5.5647058823529411E-2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102">
        <v>425103</v>
      </c>
      <c r="B5" s="104">
        <v>213</v>
      </c>
      <c r="C5" s="103" t="str">
        <f t="shared" si="0"/>
        <v>Premium5color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2"/>
        <v>color</v>
      </c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6622</v>
      </c>
      <c r="P5" s="46">
        <f t="shared" si="3"/>
        <v>5.5647058823529411E-2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102">
        <v>425103</v>
      </c>
      <c r="B6" s="104">
        <v>225</v>
      </c>
      <c r="C6" s="103" t="str">
        <f t="shared" si="0"/>
        <v>Premium5color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6622</v>
      </c>
      <c r="P6" s="46">
        <f t="shared" si="3"/>
        <v>5.5647058823529411E-2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102">
        <v>425103</v>
      </c>
      <c r="B7" s="104">
        <v>237</v>
      </c>
      <c r="C7" s="103" t="str">
        <f t="shared" si="0"/>
        <v>Premium5R6releasecolor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 t="str">
        <f t="shared" si="2"/>
        <v>color</v>
      </c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v>6622</v>
      </c>
      <c r="P7" s="46">
        <f t="shared" si="3"/>
        <v>5.5647058823529411E-2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102">
        <v>425103</v>
      </c>
      <c r="B8" s="104">
        <v>249</v>
      </c>
      <c r="C8" s="103" t="str">
        <f t="shared" si="0"/>
        <v>Premium5color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2"/>
        <v>color</v>
      </c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v>6622</v>
      </c>
      <c r="P8" s="46">
        <f t="shared" si="3"/>
        <v>5.5647058823529411E-2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102">
        <v>425103</v>
      </c>
      <c r="B9" s="104">
        <v>261</v>
      </c>
      <c r="C9" s="103" t="str">
        <f t="shared" si="0"/>
        <v>Premium5color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2"/>
        <v>color</v>
      </c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v>6622</v>
      </c>
      <c r="P9" s="46">
        <f t="shared" si="3"/>
        <v>5.5647058823529411E-2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102">
        <v>425103</v>
      </c>
      <c r="B10" s="104">
        <v>327</v>
      </c>
      <c r="C10" s="103" t="str">
        <f t="shared" si="0"/>
        <v>PremiumSS5color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425</v>
      </c>
      <c r="P10" s="46">
        <f t="shared" si="3"/>
        <v>3.5714285714285713E-3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102">
        <v>425103</v>
      </c>
      <c r="B11" s="104">
        <v>389</v>
      </c>
      <c r="C11" s="103" t="str">
        <f t="shared" si="0"/>
        <v>Premium5color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45">
        <v>6622</v>
      </c>
      <c r="P11" s="46">
        <f t="shared" si="3"/>
        <v>5.5647058823529411E-2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102">
        <v>425103</v>
      </c>
      <c r="B12" s="104">
        <v>399</v>
      </c>
      <c r="C12" s="103" t="str">
        <f t="shared" si="0"/>
        <v>PremiumSS5color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2"/>
        <v>color</v>
      </c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425</v>
      </c>
      <c r="P12" s="46">
        <f t="shared" si="3"/>
        <v>3.5714285714285713E-3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102">
        <v>425103</v>
      </c>
      <c r="B13" s="104">
        <v>409</v>
      </c>
      <c r="C13" s="103" t="str">
        <f t="shared" si="0"/>
        <v>PremiumSS5color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2"/>
        <v>color</v>
      </c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v>425</v>
      </c>
      <c r="P13" s="46">
        <f t="shared" si="3"/>
        <v>3.5714285714285713E-3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102">
        <v>425103</v>
      </c>
      <c r="B14" s="104">
        <v>443</v>
      </c>
      <c r="C14" s="103" t="str">
        <f t="shared" si="0"/>
        <v>PremiumSS5color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45">
        <v>425</v>
      </c>
      <c r="P14" s="46">
        <f t="shared" si="3"/>
        <v>3.5714285714285713E-3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102">
        <v>425103</v>
      </c>
      <c r="B15" s="104">
        <v>471</v>
      </c>
      <c r="C15" s="103" t="str">
        <f t="shared" si="0"/>
        <v>Premium5color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6622</v>
      </c>
      <c r="P15" s="46">
        <f t="shared" si="3"/>
        <v>5.5647058823529411E-2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102">
        <v>425103</v>
      </c>
      <c r="B16" s="104">
        <v>483</v>
      </c>
      <c r="C16" s="103" t="str">
        <f t="shared" si="0"/>
        <v>Premium5color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2"/>
        <v>color</v>
      </c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v>6622</v>
      </c>
      <c r="P16" s="46">
        <f t="shared" si="3"/>
        <v>5.5647058823529411E-2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102">
        <v>425103</v>
      </c>
      <c r="B17" s="104">
        <v>500</v>
      </c>
      <c r="C17" s="103" t="str">
        <f t="shared" si="0"/>
        <v>PremiumSS5color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2"/>
        <v>color</v>
      </c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425</v>
      </c>
      <c r="P17" s="46">
        <f t="shared" si="3"/>
        <v>3.5714285714285713E-3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102">
        <v>425103</v>
      </c>
      <c r="B18" s="104">
        <v>595</v>
      </c>
      <c r="C18" s="103" t="str">
        <f t="shared" si="0"/>
        <v>PremiumSS5color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光華なる神域 アルフヘイム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dragon</v>
      </c>
      <c r="N18" s="7" t="str">
        <f>VLOOKUP(B18,[1]characters!$A:$G,7,FALSE)</f>
        <v>不明</v>
      </c>
      <c r="O18" s="45">
        <v>425</v>
      </c>
      <c r="P18" s="46">
        <f t="shared" si="3"/>
        <v>3.5714285714285713E-3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102">
        <v>425103</v>
      </c>
      <c r="B19" s="104">
        <v>606</v>
      </c>
      <c r="C19" s="103" t="str">
        <f t="shared" si="0"/>
        <v>Premium5color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冀望の光芒 バルドル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heal</v>
      </c>
      <c r="M19" s="7" t="str">
        <f>VLOOKUP(B19,[1]characters!$A:$M,13,FALSE)</f>
        <v>god</v>
      </c>
      <c r="N19" s="7" t="str">
        <f>VLOOKUP(B19,[1]characters!$A:$G,7,FALSE)</f>
        <v>男性</v>
      </c>
      <c r="O19" s="45">
        <v>6622</v>
      </c>
      <c r="P19" s="46">
        <f t="shared" si="3"/>
        <v>5.5647058823529411E-2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102">
        <v>425103</v>
      </c>
      <c r="B20" s="104">
        <v>667</v>
      </c>
      <c r="C20" s="103" t="str">
        <f t="shared" si="0"/>
        <v>Premium5color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2"/>
        <v>color</v>
      </c>
      <c r="H20" s="7" t="str">
        <f>VLOOKUP(B20,[1]characters!$A:$C,3,FALSE)</f>
        <v>最幸運の妖童 テマリ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unknown</v>
      </c>
      <c r="N20" s="7" t="str">
        <f>VLOOKUP(B20,[1]characters!$A:$G,7,FALSE)</f>
        <v>女性</v>
      </c>
      <c r="O20" s="45">
        <v>6622</v>
      </c>
      <c r="P20" s="46">
        <f t="shared" si="3"/>
        <v>5.5647058823529411E-2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102">
        <v>425103</v>
      </c>
      <c r="B21" s="104">
        <v>677</v>
      </c>
      <c r="C21" s="103" t="str">
        <f t="shared" si="0"/>
        <v>PremiumSS5color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2"/>
        <v>color</v>
      </c>
      <c r="H21" s="7" t="str">
        <f>VLOOKUP(B21,[1]characters!$A:$C,3,FALSE)</f>
        <v>武遊闊歩 ヴィシュヌ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attack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v>425</v>
      </c>
      <c r="P21" s="46">
        <f t="shared" si="3"/>
        <v>3.5714285714285713E-3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102">
        <v>425103</v>
      </c>
      <c r="B22" s="104">
        <v>734</v>
      </c>
      <c r="C22" s="103" t="str">
        <f t="shared" si="0"/>
        <v>PremiumSS5R5onlycolor</v>
      </c>
      <c r="D22" s="7" t="str">
        <f t="shared" si="1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伊達政宗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男性</v>
      </c>
      <c r="O22" s="45">
        <v>425</v>
      </c>
      <c r="P22" s="46">
        <f t="shared" si="3"/>
        <v>3.5714285714285713E-3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102">
        <v>425103</v>
      </c>
      <c r="B23" s="104">
        <v>779</v>
      </c>
      <c r="C23" s="103" t="str">
        <f t="shared" si="0"/>
        <v>Premium5color</v>
      </c>
      <c r="D23" s="7" t="str">
        <f t="shared" si="1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頑堅咬亀 ガメック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hp</v>
      </c>
      <c r="M23" s="7" t="str">
        <f>VLOOKUP(B23,[1]characters!$A:$M,13,FALSE)</f>
        <v>animal</v>
      </c>
      <c r="N23" s="7" t="str">
        <f>VLOOKUP(B23,[1]characters!$A:$G,7,FALSE)</f>
        <v>不明</v>
      </c>
      <c r="O23" s="45">
        <v>6622</v>
      </c>
      <c r="P23" s="46">
        <f t="shared" si="3"/>
        <v>5.5647058823529411E-2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102">
        <v>425103</v>
      </c>
      <c r="B24" s="104">
        <v>855</v>
      </c>
      <c r="C24" s="103" t="str">
        <f t="shared" si="0"/>
        <v>Premium5R3lesscolor</v>
      </c>
      <c r="D24" s="7" t="str">
        <f t="shared" si="1"/>
        <v>Premium</v>
      </c>
      <c r="E24" s="7" t="str">
        <f>IF(COUNTIF('R6追加前'!A:A,B24)=0,IF(OR(I24="PremiumSS",I24="PremiumSSw"),"R5only","R3less"),"")</f>
        <v>R3less</v>
      </c>
      <c r="F24" s="7" t="str">
        <f>IF(COUNTIF('R6開放'!A:A,B24)&gt;0,"R6release","")</f>
        <v/>
      </c>
      <c r="G24" s="7" t="str">
        <f t="shared" si="2"/>
        <v>color</v>
      </c>
      <c r="H24" s="7" t="str">
        <f>VLOOKUP(B24,[1]characters!$A:$C,3,FALSE)</f>
        <v>豹魔の侠客 フラウロス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男性</v>
      </c>
      <c r="O24" s="45">
        <v>6622</v>
      </c>
      <c r="P24" s="46">
        <f t="shared" si="3"/>
        <v>5.5647058823529411E-2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102">
        <v>425103</v>
      </c>
      <c r="B25" s="104">
        <v>868</v>
      </c>
      <c r="C25" s="103" t="str">
        <f t="shared" si="0"/>
        <v>PremiumSS5R5onlycolor</v>
      </c>
      <c r="D25" s="7" t="str">
        <f t="shared" si="1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 t="str">
        <f t="shared" si="2"/>
        <v>color</v>
      </c>
      <c r="H25" s="7" t="str">
        <f>VLOOKUP(B25,[1]characters!$A:$C,3,FALSE)</f>
        <v>アラジンと殲滅機兵LAMP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v>425</v>
      </c>
      <c r="P25" s="46">
        <f t="shared" si="3"/>
        <v>3.5714285714285713E-3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102">
        <v>425103</v>
      </c>
      <c r="B26" s="104">
        <v>749</v>
      </c>
      <c r="C26" s="103" t="str">
        <f t="shared" si="0"/>
        <v>Premium5R3lesscolor</v>
      </c>
      <c r="D26" s="7" t="str">
        <f t="shared" si="1"/>
        <v>Premium</v>
      </c>
      <c r="E26" s="7" t="str">
        <f>IF(COUNTIF('R6追加前'!A:A,B26)=0,IF(OR(I26="PremiumSS",I26="PremiumSSw"),"R5only","R3less"),"")</f>
        <v>R3less</v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光喜の牧童 パーン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heal</v>
      </c>
      <c r="M26" s="7" t="str">
        <f>VLOOKUP(B26,[1]characters!$A:$M,13,FALSE)</f>
        <v>animal</v>
      </c>
      <c r="N26" s="7" t="str">
        <f>VLOOKUP(B26,[1]characters!$A:$G,7,FALSE)</f>
        <v>男性</v>
      </c>
      <c r="O26" s="45">
        <v>6622</v>
      </c>
      <c r="P26" s="46">
        <f t="shared" si="3"/>
        <v>5.5647058823529411E-2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102">
        <v>425103</v>
      </c>
      <c r="B27" s="104">
        <v>943</v>
      </c>
      <c r="C27" s="103" t="str">
        <f t="shared" si="0"/>
        <v>PremiumSS5R5onlycolor</v>
      </c>
      <c r="D27" s="7" t="str">
        <f t="shared" si="1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サンソン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425</v>
      </c>
      <c r="P27" s="46">
        <f t="shared" si="3"/>
        <v>3.5714285714285713E-3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102">
        <v>425103</v>
      </c>
      <c r="B28" s="104">
        <v>1018</v>
      </c>
      <c r="C28" s="103" t="str">
        <f t="shared" si="0"/>
        <v>PremiumSS5R5onlycolor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 t="str">
        <f t="shared" si="2"/>
        <v>color</v>
      </c>
      <c r="H28" s="7" t="str">
        <f>VLOOKUP(B28,[1]characters!$A:$C,3,FALSE)</f>
        <v>バステト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god</v>
      </c>
      <c r="N28" s="7" t="str">
        <f>VLOOKUP(B28,[1]characters!$A:$G,7,FALSE)</f>
        <v>男性</v>
      </c>
      <c r="O28" s="45">
        <v>425</v>
      </c>
      <c r="P28" s="46">
        <f t="shared" si="3"/>
        <v>3.5714285714285713E-3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102">
        <v>425103</v>
      </c>
      <c r="B29" s="104">
        <v>1033</v>
      </c>
      <c r="C29" s="103" t="str">
        <f t="shared" si="0"/>
        <v>PremiumSS5R5onlycolor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 t="str">
        <f t="shared" si="2"/>
        <v>color</v>
      </c>
      <c r="H29" s="7" t="str">
        <f>VLOOKUP(B29,[1]characters!$A:$C,3,FALSE)</f>
        <v>清少納言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425</v>
      </c>
      <c r="P29" s="46">
        <f t="shared" si="3"/>
        <v>3.5714285714285713E-3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102">
        <v>425103</v>
      </c>
      <c r="B30" s="104">
        <v>1074</v>
      </c>
      <c r="C30" s="103" t="str">
        <f t="shared" ref="C30:C31" si="4">D30&amp;J30&amp;E30&amp;F30&amp;G30</f>
        <v>PremiumSS5R5onlycolor</v>
      </c>
      <c r="D30" s="7" t="str">
        <f t="shared" ref="D30:D31" si="5">IF(OR(I30="PremiumSS",I30="PremiumSSw"),"PremiumSS",IF(I30="PremiumSSS",I30,IF(I30="PremiumW",I30,"Premium")))</f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マルドゥク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technical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425</v>
      </c>
      <c r="P30" s="46">
        <f t="shared" si="3"/>
        <v>3.5714285714285713E-3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102">
        <v>425103</v>
      </c>
      <c r="B31" s="104">
        <v>1106</v>
      </c>
      <c r="C31" s="103" t="str">
        <f t="shared" si="4"/>
        <v>PremiumSS5R5onlycolor</v>
      </c>
      <c r="D31" s="7" t="str">
        <f t="shared" si="5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ラファエロ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human</v>
      </c>
      <c r="N31" s="7" t="str">
        <f>VLOOKUP(B31,[1]characters!$A:$G,7,FALSE)</f>
        <v>不明</v>
      </c>
      <c r="O31" s="45">
        <v>425</v>
      </c>
      <c r="P31" s="46">
        <f t="shared" si="3"/>
        <v>3.5714285714285713E-3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102">
        <v>425103</v>
      </c>
      <c r="B32" s="104">
        <v>1144</v>
      </c>
      <c r="C32" s="103" t="str">
        <f t="shared" ref="C32:C33" si="6">D32&amp;J32&amp;E32&amp;F32&amp;G32</f>
        <v>Premium5R3lesscolor</v>
      </c>
      <c r="D32" s="7" t="str">
        <f t="shared" ref="D32:D33" si="7">IF(OR(I32="PremiumSS",I32="PremiumSSw"),"PremiumSS",IF(I32="PremiumSSS",I32,IF(I32="PremiumW",I32,"Premium")))</f>
        <v>Premium</v>
      </c>
      <c r="E32" s="7" t="str">
        <f>IF(COUNTIF('R6追加前'!A:A,B32)=0,IF(OR(I32="PremiumSS",I32="PremiumSSw"),"R5only","R3less"),"")</f>
        <v>R3less</v>
      </c>
      <c r="F32" s="7" t="str">
        <f>IF(COUNTIF('R6開放'!A:A,B32)&gt;0,"R6release","")</f>
        <v/>
      </c>
      <c r="G32" s="7" t="str">
        <f t="shared" ref="G32:G33" si="8">IF(K32="yellow","color","")</f>
        <v>color</v>
      </c>
      <c r="H32" s="7" t="str">
        <f>VLOOKUP(B32,[1]characters!$A:$C,3,FALSE)</f>
        <v>白星を射る老将 黄忠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samurai</v>
      </c>
      <c r="N32" s="7" t="str">
        <f>VLOOKUP(B32,[1]characters!$A:$G,7,FALSE)</f>
        <v>不明</v>
      </c>
      <c r="O32" s="45">
        <v>6622</v>
      </c>
      <c r="P32" s="46">
        <f t="shared" si="3"/>
        <v>5.5647058823529411E-2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102">
        <v>425103</v>
      </c>
      <c r="B33" s="104">
        <v>874</v>
      </c>
      <c r="C33" s="103" t="str">
        <f t="shared" si="6"/>
        <v>PremiumSSS5R3lesscolor</v>
      </c>
      <c r="D33" s="7" t="str">
        <f t="shared" si="7"/>
        <v>PremiumSSS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 t="str">
        <f t="shared" si="8"/>
        <v>color</v>
      </c>
      <c r="H33" s="7" t="str">
        <f>VLOOKUP(B33,[1]characters!$A:$C,3,FALSE)</f>
        <v>フレネル</v>
      </c>
      <c r="I33" s="7" t="str">
        <f>VLOOKUP(B33,[1]characters!$A:$J,10,FALSE)</f>
        <v>PremiumSSS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academia</v>
      </c>
      <c r="N33" s="7" t="str">
        <f>VLOOKUP(B33,[1]characters!$A:$G,7,FALSE)</f>
        <v>男性</v>
      </c>
      <c r="O33" s="45">
        <v>476</v>
      </c>
      <c r="P33" s="46">
        <f t="shared" si="3"/>
        <v>4.0000000000000001E-3</v>
      </c>
      <c r="Q33" s="88">
        <v>80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</sheetData>
  <autoFilter ref="A1:V33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3" workbookViewId="0">
      <selection activeCell="E49" sqref="E49:E50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425104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VLOOKUP(L3,tables_425104!B:C,2,FALSE)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VLOOKUP(L4,tables_425104!B:C,2,FALSE)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5.0000000000000012E-4</v>
      </c>
      <c r="F5">
        <f>(COUNTIF(tables_425104!C:C,input_425104!A28)+COUNTIF(tables_425104!C:C,input_425104!A29))</f>
        <v>40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VLOOKUP(L5,tables_425104!B:C,2,FALSE)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(COUNTIF(tables_425104!C:C,input_425104!A43)+COUNTIF(tables_425104!C:C,input_425104!A44))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VLOOKUP(L6,tables_425104!B:C,2,FALSE)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5.541176470588236E-3</v>
      </c>
      <c r="F7">
        <f>(COUNTIF(tables_425104!C:C,input_425104!A26)+COUNTIF(tables_425104!C:C,input_425104!A18)+COUNTIF(tables_425104!C:C,input_425104!A20)+COUNTIF(tables_425104!C:C,input_425104!A22))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VLOOKUP(L7,tables_425104!B:C,2,FALSE)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2.5690909090909087E-2</v>
      </c>
      <c r="F8">
        <f>(COUNTIF(tables_425104!C:C,input_425104!A40)+COUNTIF(tables_425104!C:C,input_425104!A33)+COUNTIF(tables_425104!C:C,input_425104!A35)+COUNTIF(tables_425104!C:C,input_425104!A37))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VLOOKUP(L8,tables_425104!B:C,2,FALSE)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VLOOKUP(L9,tables_425104!B:C,2,FALSE)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VLOOKUP(L10,tables_425104!B:C,2,FALSE)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VLOOKUP(L11,tables_425104!B:C,2,FALSE)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VLOOKUP(L12,tables_425104!B:C,2,FALSE)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VLOOKUP(L13,tables_425104!B:C,2,FALSE)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VLOOKUP(L14,tables_425104!B:C,2,FALSE)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VLOOKUP(L15,tables_425104!B:C,2,FALSE)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VLOOKUP(L16,tables_425104!B:C,2,FALSE)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COUNTIF(tables_425104!C:C,input_425104!A17)-COUNTIF(Q:Q,A17)</f>
        <v>14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VLOOKUP(L17,tables_425104!B:C,2,FALSE)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8.3117647058823546E-2</v>
      </c>
      <c r="C18" s="86">
        <f t="shared" si="2"/>
        <v>0</v>
      </c>
      <c r="D18" s="75">
        <f t="shared" si="3"/>
        <v>8.3117647058823546E-2</v>
      </c>
      <c r="E18">
        <f>COUNTIF(tables_425104!C:C,input_425104!A18)-COUNTIF(Q:Q,A18)</f>
        <v>15</v>
      </c>
      <c r="F18" s="43">
        <f>IFERROR(B18/E18,0)</f>
        <v>5.541176470588236E-3</v>
      </c>
      <c r="G18">
        <f t="shared" si="4"/>
        <v>226080.00000000006</v>
      </c>
      <c r="H18">
        <f t="shared" si="5"/>
        <v>15072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VLOOKUP(L18,tables_425104!B:C,2,FALSE)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COUNTIF(tables_425104!C:C,input_425104!A19)-COUNTIF(Q:Q,A19)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VLOOKUP(L19,tables_425104!B:C,2,FALSE)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E$7*E20*B$6+0.0016+E50</f>
        <v>0.21704878344485234</v>
      </c>
      <c r="C20" s="86">
        <f t="shared" si="2"/>
        <v>0</v>
      </c>
      <c r="D20" s="75">
        <f t="shared" si="3"/>
        <v>0.21704878344485234</v>
      </c>
      <c r="E20">
        <f>COUNTIF(tables_425104!C:C,input_425104!A20)-COUNTIF(Q:Q,A20)</f>
        <v>39</v>
      </c>
      <c r="F20" s="43">
        <f t="shared" si="8"/>
        <v>5.5653534216628803E-3</v>
      </c>
      <c r="G20">
        <f t="shared" si="4"/>
        <v>590372.69096999837</v>
      </c>
      <c r="H20">
        <f t="shared" si="5"/>
        <v>15137.76131</v>
      </c>
      <c r="I20">
        <f t="shared" si="6"/>
        <v>0.7613099999998667</v>
      </c>
      <c r="J20">
        <f t="shared" si="7"/>
        <v>1.3135253707427659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VLOOKUP(L20,tables_425104!B:C,2,FALSE)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E$7*E21*B$7-E50</f>
        <v>6.5709890808882988E-4</v>
      </c>
      <c r="C21" s="86">
        <f t="shared" si="2"/>
        <v>0</v>
      </c>
      <c r="D21" s="75">
        <f t="shared" si="3"/>
        <v>6.5709890808882988E-4</v>
      </c>
      <c r="E21">
        <f>COUNTIF(tables_425104!C:C,input_425104!A21)-COUNTIF(Q:Q,A21)</f>
        <v>39</v>
      </c>
      <c r="F21" s="43">
        <f t="shared" si="8"/>
        <v>1.6848689950995637E-5</v>
      </c>
      <c r="G21">
        <f t="shared" si="4"/>
        <v>1787.3090300016172</v>
      </c>
      <c r="H21">
        <f t="shared" si="5"/>
        <v>45.828440000000001</v>
      </c>
      <c r="I21">
        <f t="shared" si="6"/>
        <v>0.82844000000000051</v>
      </c>
      <c r="J21">
        <f t="shared" si="7"/>
        <v>1.2070880208584802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5.7905294117647069E-2</v>
      </c>
      <c r="C22" s="86">
        <f t="shared" si="2"/>
        <v>0</v>
      </c>
      <c r="D22" s="75">
        <f t="shared" si="3"/>
        <v>5.7905294117647069E-2</v>
      </c>
      <c r="E22">
        <f>COUNTIF(tables_425104!C:C,input_425104!A22)-COUNTIF(Q:Q,A22)</f>
        <v>11</v>
      </c>
      <c r="F22" s="43">
        <f t="shared" si="8"/>
        <v>5.2641176470588245E-3</v>
      </c>
      <c r="G22">
        <f t="shared" si="4"/>
        <v>157502.40000000002</v>
      </c>
      <c r="H22">
        <f t="shared" si="5"/>
        <v>14318.4</v>
      </c>
      <c r="I22">
        <f t="shared" si="6"/>
        <v>0.3999999999996362</v>
      </c>
      <c r="J22">
        <f t="shared" si="7"/>
        <v>2.5000000000022737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3.0476470588235299E-3</v>
      </c>
      <c r="C23" s="86">
        <f t="shared" si="2"/>
        <v>0</v>
      </c>
      <c r="D23" s="75">
        <f t="shared" si="3"/>
        <v>3.0476470588235299E-3</v>
      </c>
      <c r="E23">
        <f>COUNTIF(tables_425104!C:C,input_425104!A23)-COUNTIF(Q:Q,A23)</f>
        <v>11</v>
      </c>
      <c r="F23" s="43">
        <f t="shared" si="8"/>
        <v>2.7705882352941182E-4</v>
      </c>
      <c r="G23">
        <f t="shared" si="4"/>
        <v>8289.6000000000022</v>
      </c>
      <c r="H23">
        <f t="shared" si="5"/>
        <v>753.6</v>
      </c>
      <c r="I23">
        <f t="shared" si="6"/>
        <v>0.60000000000002274</v>
      </c>
      <c r="J23">
        <f t="shared" si="7"/>
        <v>1.6666666666666035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COUNTIF(tables_425104!C:C,input_425104!A24)-COUNTIF(Q:Q,A24)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1.5792352941176473E-2</v>
      </c>
      <c r="C25" s="86">
        <f t="shared" si="2"/>
        <v>0</v>
      </c>
      <c r="D25" s="75">
        <f t="shared" si="3"/>
        <v>1.5792352941176473E-2</v>
      </c>
      <c r="E25">
        <f>COUNTIF(tables_425104!C:C,input_425104!A25)-COUNTIF(Q:Q,A25)</f>
        <v>3</v>
      </c>
      <c r="F25" s="43">
        <f t="shared" si="8"/>
        <v>5.2641176470588245E-3</v>
      </c>
      <c r="G25">
        <f t="shared" si="4"/>
        <v>42955.200000000004</v>
      </c>
      <c r="H25">
        <f t="shared" si="5"/>
        <v>14318.4</v>
      </c>
      <c r="I25">
        <f t="shared" si="6"/>
        <v>0.3999999999996362</v>
      </c>
      <c r="J25">
        <f t="shared" si="7"/>
        <v>2.5000000000022737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8.3117647058823547E-4</v>
      </c>
      <c r="C26" s="86">
        <f t="shared" si="2"/>
        <v>0</v>
      </c>
      <c r="D26" s="75">
        <f t="shared" si="3"/>
        <v>8.3117647058823547E-4</v>
      </c>
      <c r="E26">
        <f>COUNTIF(tables_425104!C:C,input_425104!A26)-COUNTIF(Q:Q,A26)</f>
        <v>3</v>
      </c>
      <c r="F26" s="43">
        <f t="shared" si="8"/>
        <v>2.7705882352941182E-4</v>
      </c>
      <c r="G26">
        <f t="shared" si="4"/>
        <v>2260.8000000000006</v>
      </c>
      <c r="H26">
        <f t="shared" si="5"/>
        <v>753.6</v>
      </c>
      <c r="I26">
        <f t="shared" si="6"/>
        <v>0.60000000000002274</v>
      </c>
      <c r="J26">
        <f t="shared" si="7"/>
        <v>1.6666666666666035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9.9750000000000012E-3</v>
      </c>
      <c r="C27" s="86">
        <f t="shared" si="2"/>
        <v>0</v>
      </c>
      <c r="D27" s="75">
        <f t="shared" si="3"/>
        <v>9.9750000000000012E-3</v>
      </c>
      <c r="E27">
        <f>COUNTIF(tables_425104!C:C,input_425104!A27)-COUNTIF(Q:Q,A27)</f>
        <v>21</v>
      </c>
      <c r="F27" s="43">
        <f>IFERROR(B27/E27,0)</f>
        <v>4.7500000000000005E-4</v>
      </c>
      <c r="G27">
        <f t="shared" si="4"/>
        <v>27132.000000000004</v>
      </c>
      <c r="H27">
        <f t="shared" si="5"/>
        <v>1292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5.2500000000000018E-4</v>
      </c>
      <c r="C28" s="86">
        <f t="shared" si="2"/>
        <v>0</v>
      </c>
      <c r="D28" s="75">
        <f t="shared" si="3"/>
        <v>5.2500000000000018E-4</v>
      </c>
      <c r="E28">
        <f>COUNTIF(tables_425104!C:C,input_425104!A28)-COUNTIF(Q:Q,A28)</f>
        <v>21</v>
      </c>
      <c r="F28" s="43">
        <f t="shared" si="8"/>
        <v>2.5000000000000008E-5</v>
      </c>
      <c r="G28">
        <f t="shared" si="4"/>
        <v>1428.0000000000005</v>
      </c>
      <c r="H28">
        <f t="shared" si="5"/>
        <v>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9.5000000000000015E-3</v>
      </c>
      <c r="C29" s="86">
        <f t="shared" si="2"/>
        <v>0</v>
      </c>
      <c r="D29" s="75">
        <f t="shared" si="3"/>
        <v>9.5000000000000015E-3</v>
      </c>
      <c r="E29">
        <f>COUNTIF(tables_425104!C:C,input_425104!A29)-COUNTIF(Q:Q,A29)</f>
        <v>19</v>
      </c>
      <c r="F29" s="43">
        <f t="shared" si="8"/>
        <v>5.0000000000000012E-4</v>
      </c>
      <c r="G29">
        <f t="shared" si="4"/>
        <v>25840.000000000004</v>
      </c>
      <c r="H29">
        <f t="shared" si="5"/>
        <v>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COUNTIF(tables_425104!C:C,input_425104!A30)-COUNTIF(Q:Q,A30)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COUNTIF(tables_425104!C:C,input_425104!A31)-COUNTIF(Q:Q,A31)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COUNTIF(tables_425104!C:C,input_425104!A32)-COUNTIF(Q:Q,A32)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E$8*E33-B32-0.0016</f>
        <v>0.12685454545454544</v>
      </c>
      <c r="C33" s="86">
        <f t="shared" si="2"/>
        <v>0</v>
      </c>
      <c r="D33" s="75">
        <f t="shared" si="3"/>
        <v>0.12685454545454544</v>
      </c>
      <c r="E33">
        <f>COUNTIF(tables_425104!C:C,input_425104!A33)-COUNTIF(Q:Q,A33)</f>
        <v>5</v>
      </c>
      <c r="F33" s="43">
        <f>IFERROR(B33/E33,0)</f>
        <v>2.537090909090909E-2</v>
      </c>
      <c r="G33">
        <f t="shared" si="4"/>
        <v>345044.36363636359</v>
      </c>
      <c r="H33">
        <f t="shared" si="5"/>
        <v>69008.872730000003</v>
      </c>
      <c r="I33">
        <f t="shared" si="6"/>
        <v>0.87273000000277534</v>
      </c>
      <c r="J33">
        <f t="shared" si="7"/>
        <v>1.1458297526117125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COUNTIF(tables_425104!C:C,input_425104!A34)-COUNTIF(Q:Q,A34)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E$8*E35*B$6+E50</f>
        <v>0.32743092248228545</v>
      </c>
      <c r="C35" s="86">
        <f t="shared" si="2"/>
        <v>0</v>
      </c>
      <c r="D35" s="75">
        <f t="shared" si="3"/>
        <v>0.32743092248228545</v>
      </c>
      <c r="E35">
        <f>COUNTIF(tables_425104!C:C,input_425104!A35)-COUNTIF(Q:Q,A35)</f>
        <v>13</v>
      </c>
      <c r="F35" s="43">
        <f t="shared" si="9"/>
        <v>2.518699403709888E-2</v>
      </c>
      <c r="G35">
        <f t="shared" si="4"/>
        <v>890612.10915181646</v>
      </c>
      <c r="H35">
        <f t="shared" si="5"/>
        <v>68508.623779999994</v>
      </c>
      <c r="I35">
        <f t="shared" si="6"/>
        <v>0.62377999999444</v>
      </c>
      <c r="J35">
        <f t="shared" si="7"/>
        <v>1.6031293084243057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E$8*E36*B$7-E50</f>
        <v>6.5508956995326793E-3</v>
      </c>
      <c r="C36" s="86">
        <f t="shared" si="2"/>
        <v>0</v>
      </c>
      <c r="D36" s="75">
        <f t="shared" si="3"/>
        <v>6.5508956995326793E-3</v>
      </c>
      <c r="E36">
        <f>COUNTIF(tables_425104!C:C,input_425104!A36)-COUNTIF(Q:Q,A36)</f>
        <v>13</v>
      </c>
      <c r="F36" s="43">
        <f t="shared" si="9"/>
        <v>5.0391505381020614E-4</v>
      </c>
      <c r="G36">
        <f t="shared" si="4"/>
        <v>17818.436302728889</v>
      </c>
      <c r="H36">
        <f t="shared" si="5"/>
        <v>1370.64895</v>
      </c>
      <c r="I36">
        <f t="shared" si="6"/>
        <v>0.64895000000001346</v>
      </c>
      <c r="J36">
        <f t="shared" si="7"/>
        <v>1.5409507666229745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7.32190909090909E-2</v>
      </c>
      <c r="C37" s="86">
        <f t="shared" si="2"/>
        <v>0</v>
      </c>
      <c r="D37" s="75">
        <f t="shared" si="3"/>
        <v>7.32190909090909E-2</v>
      </c>
      <c r="E37">
        <f>COUNTIF(tables_425104!C:C,input_425104!A37)-COUNTIF(Q:Q,A37)</f>
        <v>3</v>
      </c>
      <c r="F37" s="43">
        <f t="shared" si="9"/>
        <v>2.4406363636363632E-2</v>
      </c>
      <c r="G37">
        <f t="shared" si="4"/>
        <v>199155.92727272725</v>
      </c>
      <c r="H37">
        <f t="shared" si="5"/>
        <v>66385.309089999995</v>
      </c>
      <c r="I37">
        <f t="shared" si="6"/>
        <v>0.30908999999519438</v>
      </c>
      <c r="J37">
        <f t="shared" si="7"/>
        <v>3.2353036332962817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3.8536363636363633E-3</v>
      </c>
      <c r="C38" s="86">
        <f t="shared" si="2"/>
        <v>0</v>
      </c>
      <c r="D38" s="75">
        <f t="shared" si="3"/>
        <v>3.8536363636363633E-3</v>
      </c>
      <c r="E38">
        <f>COUNTIF(tables_425104!C:C,input_425104!A38)-COUNTIF(Q:Q,A38)</f>
        <v>3</v>
      </c>
      <c r="F38" s="43">
        <f t="shared" si="9"/>
        <v>1.2845454545454544E-3</v>
      </c>
      <c r="G38">
        <f t="shared" si="4"/>
        <v>10481.890909090907</v>
      </c>
      <c r="H38">
        <f t="shared" si="5"/>
        <v>3493.9636399999999</v>
      </c>
      <c r="I38">
        <f t="shared" si="6"/>
        <v>0.96363999999994121</v>
      </c>
      <c r="J38">
        <f t="shared" si="7"/>
        <v>1.0377319330871082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COUNTIF(tables_425104!C:C,input_425104!A39)-COUNTIF(Q:Q,A39)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2.4406363636363632E-2</v>
      </c>
      <c r="C40" s="86">
        <f t="shared" si="2"/>
        <v>0</v>
      </c>
      <c r="D40" s="75">
        <f t="shared" si="3"/>
        <v>2.4406363636363632E-2</v>
      </c>
      <c r="E40">
        <f>COUNTIF(tables_425104!C:C,input_425104!A40)-COUNTIF(Q:Q,A40)</f>
        <v>1</v>
      </c>
      <c r="F40" s="43">
        <f t="shared" si="9"/>
        <v>2.4406363636363632E-2</v>
      </c>
      <c r="G40">
        <f t="shared" si="4"/>
        <v>66385.309090909082</v>
      </c>
      <c r="H40">
        <f t="shared" si="5"/>
        <v>66385.309089999995</v>
      </c>
      <c r="I40">
        <f t="shared" si="6"/>
        <v>0.30908999999519438</v>
      </c>
      <c r="J40">
        <f t="shared" si="7"/>
        <v>3.2353036332962817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1.2845454545454544E-3</v>
      </c>
      <c r="C41" s="86">
        <f t="shared" si="2"/>
        <v>0</v>
      </c>
      <c r="D41" s="75">
        <f t="shared" si="3"/>
        <v>1.2845454545454544E-3</v>
      </c>
      <c r="E41">
        <f>COUNTIF(tables_425104!C:C,input_425104!A41)-COUNTIF(Q:Q,A41)</f>
        <v>1</v>
      </c>
      <c r="F41" s="43">
        <f t="shared" si="9"/>
        <v>1.2845454545454544E-3</v>
      </c>
      <c r="G41">
        <f t="shared" si="4"/>
        <v>3493.9636363636359</v>
      </c>
      <c r="H41">
        <f t="shared" si="5"/>
        <v>3493.9636399999999</v>
      </c>
      <c r="I41">
        <f t="shared" si="6"/>
        <v>0.96363999999994121</v>
      </c>
      <c r="J41">
        <f t="shared" si="7"/>
        <v>1.0377319330871082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1.4250000000000001E-2</v>
      </c>
      <c r="C42" s="86">
        <f t="shared" si="2"/>
        <v>0</v>
      </c>
      <c r="D42" s="75">
        <f t="shared" si="3"/>
        <v>1.4250000000000001E-2</v>
      </c>
      <c r="E42">
        <f>COUNTIF(tables_425104!C:C,input_425104!A42)-COUNTIF(Q:Q,A42)</f>
        <v>7</v>
      </c>
      <c r="F42" s="43">
        <f>IFERROR(B42/E42,0)</f>
        <v>2.0357142857142857E-3</v>
      </c>
      <c r="G42">
        <f t="shared" si="4"/>
        <v>38760</v>
      </c>
      <c r="H42">
        <f t="shared" si="5"/>
        <v>5537.1428599999999</v>
      </c>
      <c r="I42">
        <f t="shared" si="6"/>
        <v>0.14285999999992782</v>
      </c>
      <c r="J42">
        <f t="shared" si="7"/>
        <v>6.999860002803481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7.5000000000000012E-4</v>
      </c>
      <c r="C43" s="86">
        <f t="shared" si="2"/>
        <v>0</v>
      </c>
      <c r="D43" s="75">
        <f t="shared" si="3"/>
        <v>7.5000000000000012E-4</v>
      </c>
      <c r="E43">
        <f>COUNTIF(tables_425104!C:C,input_425104!A43)-COUNTIF(Q:Q,A43)</f>
        <v>7</v>
      </c>
      <c r="F43" s="43">
        <f t="shared" ref="F43:F46" si="10">IFERROR(B43/E43,0)</f>
        <v>1.0714285714285716E-4</v>
      </c>
      <c r="G43">
        <f t="shared" si="4"/>
        <v>2040.0000000000002</v>
      </c>
      <c r="H43">
        <f t="shared" si="5"/>
        <v>291.42856999999998</v>
      </c>
      <c r="I43">
        <f t="shared" si="6"/>
        <v>0.42856999999997925</v>
      </c>
      <c r="J43">
        <f t="shared" si="7"/>
        <v>2.33334111113715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1.5000000000000001E-2</v>
      </c>
      <c r="C44" s="86">
        <f t="shared" si="2"/>
        <v>0</v>
      </c>
      <c r="D44" s="75">
        <f t="shared" si="3"/>
        <v>1.5000000000000001E-2</v>
      </c>
      <c r="E44">
        <f>COUNTIF(tables_425104!C:C,input_425104!A44)-COUNTIF(Q:Q,A44)</f>
        <v>7</v>
      </c>
      <c r="F44" s="43">
        <f t="shared" si="10"/>
        <v>2.142857142857143E-3</v>
      </c>
      <c r="G44">
        <f t="shared" si="4"/>
        <v>40800</v>
      </c>
      <c r="H44">
        <f t="shared" si="5"/>
        <v>5828.57143</v>
      </c>
      <c r="I44">
        <f t="shared" si="6"/>
        <v>0.57142999999996391</v>
      </c>
      <c r="J44">
        <f t="shared" si="7"/>
        <v>1.749995625011048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COUNTIF(tables_425104!C:C,input_425104!A45)-COUNTIF(Q:Q,A45)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6">
        <f t="shared" si="2"/>
        <v>0</v>
      </c>
      <c r="D46" s="75">
        <f t="shared" si="3"/>
        <v>8.0000000000000002E-3</v>
      </c>
      <c r="E46">
        <f>COUNTIF(tables_425104!C:C,input_425104!A46)-COUNTIF(Q:Q,A46)</f>
        <v>1</v>
      </c>
      <c r="F46" s="43">
        <f t="shared" si="10"/>
        <v>8.0000000000000002E-3</v>
      </c>
      <c r="G46">
        <f t="shared" si="4"/>
        <v>21760</v>
      </c>
      <c r="H46">
        <f t="shared" si="5"/>
        <v>21760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E49">
        <v>2.0296390419116461E-2</v>
      </c>
    </row>
    <row r="50" spans="1:8" x14ac:dyDescent="0.15">
      <c r="A50" t="s">
        <v>74</v>
      </c>
      <c r="E50">
        <f>E49/2</f>
        <v>1.0148195209558231E-2</v>
      </c>
    </row>
    <row r="51" spans="1:8" x14ac:dyDescent="0.15">
      <c r="A51" s="31">
        <f>LCM(F5-I5,F7-I6)*1000*2*2</f>
        <v>2720000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8" x14ac:dyDescent="0.15">
      <c r="A55" s="33" t="s">
        <v>106</v>
      </c>
      <c r="B55">
        <f ca="1">SUMIF(tables_425104!C:C,input_425104!A55,tables_425104!O:O)</f>
        <v>0</v>
      </c>
      <c r="C55" s="54">
        <f t="shared" ref="C55:C61" ca="1" si="11">B55/B$62</f>
        <v>0</v>
      </c>
      <c r="E55">
        <v>3</v>
      </c>
      <c r="F55">
        <f ca="1">SUMIF(tables_425104!J:J,input_425104!E55,tables_425104!O:O)</f>
        <v>0</v>
      </c>
      <c r="G55">
        <f ca="1">F55/A51</f>
        <v>0</v>
      </c>
    </row>
    <row r="56" spans="1:8" x14ac:dyDescent="0.15">
      <c r="A56" s="33" t="s">
        <v>107</v>
      </c>
      <c r="B56">
        <f ca="1">SUMIF(tables_425104!C:C,input_425104!A56,tables_425104!O:O)</f>
        <v>590372.6910899994</v>
      </c>
      <c r="C56" s="54">
        <f t="shared" ca="1" si="11"/>
        <v>0.9511095032417558</v>
      </c>
      <c r="E56">
        <v>4</v>
      </c>
      <c r="F56">
        <f ca="1">SUMIF(tables_425104!J:J,input_425104!E56,tables_425104!O:O)</f>
        <v>2584000.0002599987</v>
      </c>
      <c r="G56">
        <f ca="1">F56/A51</f>
        <v>0.95000000009558772</v>
      </c>
    </row>
    <row r="57" spans="1:8" x14ac:dyDescent="0.15">
      <c r="A57" s="33" t="s">
        <v>109</v>
      </c>
      <c r="B57">
        <f ca="1">SUMIF(tables_425104!C:C,input_425104!A57,tables_425104!O:O)</f>
        <v>27132</v>
      </c>
      <c r="C57" s="54">
        <f t="shared" ca="1" si="11"/>
        <v>4.3710529689831801E-2</v>
      </c>
      <c r="E57">
        <v>5</v>
      </c>
      <c r="F57">
        <f ca="1">SUMIF(tables_425104!J:J,input_425104!E57,tables_425104!O:O)</f>
        <v>136000.00007000001</v>
      </c>
      <c r="G57">
        <f ca="1">F57/A51</f>
        <v>5.0000000025735299E-2</v>
      </c>
    </row>
    <row r="58" spans="1:8" x14ac:dyDescent="0.15">
      <c r="A58" s="33" t="s">
        <v>113</v>
      </c>
      <c r="B58">
        <f>SUMIF(tables_425104!C:C,input_425104!A58,tables_425104!O:O)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SUMIF(tables_425104!C:C,input_425104!A59,tables_425104!O:O)</f>
        <v>1787.30916</v>
      </c>
      <c r="C59" s="54">
        <f t="shared" ca="1" si="11"/>
        <v>2.8794128742108335E-3</v>
      </c>
      <c r="E59" t="s">
        <v>55</v>
      </c>
      <c r="F59" s="55"/>
    </row>
    <row r="60" spans="1:8" x14ac:dyDescent="0.15">
      <c r="A60" s="33" t="s">
        <v>110</v>
      </c>
      <c r="B60">
        <f ca="1">SUMIF(tables_425104!C:C,input_425104!A60,tables_425104!O:O)</f>
        <v>1428</v>
      </c>
      <c r="C60" s="54">
        <f t="shared" ca="1" si="11"/>
        <v>2.3005541942016736E-3</v>
      </c>
      <c r="E60" t="s">
        <v>210</v>
      </c>
      <c r="F60" s="55">
        <f ca="1">SUMIF(tables_425104!I:I,input_425104!E60,tables_425104!P:P)</f>
        <v>0.20997219249290763</v>
      </c>
    </row>
    <row r="61" spans="1:8" x14ac:dyDescent="0.15">
      <c r="A61" s="33" t="s">
        <v>111</v>
      </c>
      <c r="B61">
        <f>SUMIF(tables_425104!C:C,input_425104!A61,tables_425104!O:O)</f>
        <v>0</v>
      </c>
      <c r="C61" s="54">
        <f t="shared" ca="1" si="11"/>
        <v>0</v>
      </c>
      <c r="E61" t="s">
        <v>211</v>
      </c>
      <c r="F61" s="55">
        <f ca="1">SUMIF(tables_425104!I:I,input_425104!E61,tables_425104!P:P)</f>
        <v>0.21206450021324219</v>
      </c>
    </row>
    <row r="62" spans="1:8" x14ac:dyDescent="0.15">
      <c r="A62" s="39" t="s">
        <v>60</v>
      </c>
      <c r="B62">
        <f ca="1">SUM(B55:B61)</f>
        <v>620720.00024999934</v>
      </c>
      <c r="C62" s="55">
        <f ca="1">SUM(C55:C61)</f>
        <v>1</v>
      </c>
      <c r="E62" t="s">
        <v>212</v>
      </c>
      <c r="F62" s="55">
        <f ca="1">SUMIF(tables_425104!I:I,input_425104!E62,tables_425104!P:P)</f>
        <v>0.51996330729353368</v>
      </c>
    </row>
    <row r="63" spans="1:8" x14ac:dyDescent="0.15">
      <c r="E63" t="s">
        <v>213</v>
      </c>
      <c r="F63" s="55">
        <f ca="1">SUMIF(tables_425104!I:I,input_425104!E63,tables_425104!P:P)</f>
        <v>4.8500000001468771E-2</v>
      </c>
    </row>
    <row r="64" spans="1:8" x14ac:dyDescent="0.15">
      <c r="E64" t="s">
        <v>295</v>
      </c>
      <c r="F64" s="55">
        <f ca="1">SUMIF(tables_425104!I:I,input_425104!E64,tables_425104!P:P)</f>
        <v>1.4999999998180141E-3</v>
      </c>
    </row>
    <row r="65" spans="5:6" x14ac:dyDescent="0.15">
      <c r="E65" t="s">
        <v>293</v>
      </c>
      <c r="F65" s="55">
        <f ca="1">SUMIF(tables_425104!I:I,input_425104!E65,tables_425104!P:P)</f>
        <v>7.9999999990294085E-3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" activePane="bottomLeft" state="frozen"/>
      <selection activeCell="H44" sqref="H44"/>
      <selection pane="bottomLeft" activeCell="B319" sqref="B2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input_425104!A$2</f>
        <v>425104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IFERROR(VLOOKUP(B2,input_425104!L:R,7,FALSE),VLOOKUP(tables_425104!C2,input_425104!A:H,8,FALSE))</f>
        <v>15072</v>
      </c>
      <c r="P2" s="46">
        <f t="shared" ref="P2:P65" ca="1" si="1">O2/SUM(O:O)</f>
        <v>5.5411764699159578E-3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input_425104!A$2</f>
        <v>425104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IFERROR(VLOOKUP(B3,input_425104!L:R,7,FALSE),VLOOKUP(tables_425104!C3,input_425104!A:H,8,FALSE))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input_425104!A$2</f>
        <v>425104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IFERROR(VLOOKUP(B4,input_425104!L:R,7,FALSE),VLOOKUP(tables_425104!C4,input_425104!A:H,8,FALSE))</f>
        <v>15072</v>
      </c>
      <c r="P4" s="46">
        <f t="shared" ca="1" si="1"/>
        <v>5.5411764699159578E-3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input_425104!A$2</f>
        <v>425104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IFERROR(VLOOKUP(B5,input_425104!L:R,7,FALSE),VLOOKUP(tables_425104!C5,input_425104!A:H,8,FALSE))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input_425104!A$2</f>
        <v>425104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IFERROR(VLOOKUP(B6,input_425104!L:R,7,FALSE),VLOOKUP(tables_425104!C6,input_425104!A:H,8,FALSE))</f>
        <v>15072</v>
      </c>
      <c r="P6" s="46">
        <f t="shared" ca="1" si="1"/>
        <v>5.5411764699159578E-3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input_425104!A$2</f>
        <v>425104</v>
      </c>
      <c r="B7" s="6">
        <v>132</v>
      </c>
      <c r="C7" s="7" t="str">
        <f t="shared" si="0"/>
        <v>PremiumW3color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IFERROR(VLOOKUP(B7,input_425104!L:R,7,FALSE),VLOOKUP(tables_425104!C7,input_425104!A:H,8,FALSE))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input_425104!A$2</f>
        <v>425104</v>
      </c>
      <c r="B8" s="6">
        <v>133</v>
      </c>
      <c r="C8" s="7" t="str">
        <f t="shared" si="0"/>
        <v>PremiumW4color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IFERROR(VLOOKUP(B8,input_425104!L:R,7,FALSE),VLOOKUP(tables_425104!C8,input_425104!A:H,8,FALSE))</f>
        <v>69008.872730000003</v>
      </c>
      <c r="P8" s="46">
        <f t="shared" ca="1" si="1"/>
        <v>2.5370909088833667E-2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input_425104!A$2</f>
        <v>425104</v>
      </c>
      <c r="B9" s="6">
        <v>134</v>
      </c>
      <c r="C9" s="7" t="str">
        <f t="shared" si="0"/>
        <v>PremiumW3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IFERROR(VLOOKUP(B9,input_425104!L:R,7,FALSE),VLOOKUP(tables_425104!C9,input_425104!A:H,8,FALSE))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input_425104!A$2</f>
        <v>425104</v>
      </c>
      <c r="B10" s="6">
        <v>135</v>
      </c>
      <c r="C10" s="7" t="str">
        <f t="shared" si="0"/>
        <v>PremiumW4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IFERROR(VLOOKUP(B10,input_425104!L:R,7,FALSE),VLOOKUP(tables_425104!C10,input_425104!A:H,8,FALSE))</f>
        <v>15072</v>
      </c>
      <c r="P10" s="46">
        <f t="shared" ca="1" si="1"/>
        <v>5.5411764699159578E-3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input_425104!A$2</f>
        <v>425104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IFERROR(VLOOKUP(B11,input_425104!L:R,7,FALSE),VLOOKUP(tables_425104!C11,input_425104!A:H,8,FALSE))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input_425104!A$2</f>
        <v>425104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IFERROR(VLOOKUP(B12,input_425104!L:R,7,FALSE),VLOOKUP(tables_425104!C12,input_425104!A:H,8,FALSE))</f>
        <v>15072</v>
      </c>
      <c r="P12" s="46">
        <f t="shared" ca="1" si="1"/>
        <v>5.5411764699159578E-3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input_425104!A$2</f>
        <v>425104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IFERROR(VLOOKUP(B13,input_425104!L:R,7,FALSE),VLOOKUP(tables_425104!C13,input_425104!A:H,8,FALSE))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input_425104!A$2</f>
        <v>425104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IFERROR(VLOOKUP(B14,input_425104!L:R,7,FALSE),VLOOKUP(tables_425104!C14,input_425104!A:H,8,FALSE))</f>
        <v>15072</v>
      </c>
      <c r="P14" s="46">
        <f t="shared" ca="1" si="1"/>
        <v>5.5411764699159578E-3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input_425104!A$2</f>
        <v>425104</v>
      </c>
      <c r="B15" s="10">
        <v>140</v>
      </c>
      <c r="C15" s="7" t="str">
        <f t="shared" si="0"/>
        <v>PremiumW3color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IFERROR(VLOOKUP(B15,input_425104!L:R,7,FALSE),VLOOKUP(tables_425104!C15,input_425104!A:H,8,FALSE))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input_425104!A$2</f>
        <v>425104</v>
      </c>
      <c r="B16" s="11">
        <v>141</v>
      </c>
      <c r="C16" s="7" t="str">
        <f t="shared" si="0"/>
        <v>PremiumW4color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IFERROR(VLOOKUP(B16,input_425104!L:R,7,FALSE),VLOOKUP(tables_425104!C16,input_425104!A:H,8,FALSE))</f>
        <v>69008.872730000003</v>
      </c>
      <c r="P16" s="46">
        <f t="shared" ca="1" si="1"/>
        <v>2.5370909088833667E-2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input_425104!A$2</f>
        <v>425104</v>
      </c>
      <c r="B17" s="6">
        <v>142</v>
      </c>
      <c r="C17" s="7" t="str">
        <f t="shared" si="0"/>
        <v>PremiumW3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IFERROR(VLOOKUP(B17,input_425104!L:R,7,FALSE),VLOOKUP(tables_425104!C17,input_425104!A:H,8,FALSE))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input_425104!A$2</f>
        <v>425104</v>
      </c>
      <c r="B18" s="6">
        <v>143</v>
      </c>
      <c r="C18" s="7" t="str">
        <f t="shared" si="0"/>
        <v>PremiumW4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IFERROR(VLOOKUP(B18,input_425104!L:R,7,FALSE),VLOOKUP(tables_425104!C18,input_425104!A:H,8,FALSE))</f>
        <v>15072</v>
      </c>
      <c r="P18" s="46">
        <f t="shared" ca="1" si="1"/>
        <v>5.5411764699159578E-3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input_425104!A$2</f>
        <v>425104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IFERROR(VLOOKUP(B19,input_425104!L:R,7,FALSE),VLOOKUP(tables_425104!C19,input_425104!A:H,8,FALSE))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input_425104!A$2</f>
        <v>425104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IFERROR(VLOOKUP(B20,input_425104!L:R,7,FALSE),VLOOKUP(tables_425104!C20,input_425104!A:H,8,FALSE))</f>
        <v>15072</v>
      </c>
      <c r="P20" s="46">
        <f t="shared" ca="1" si="1"/>
        <v>5.5411764699159578E-3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input_425104!A$2</f>
        <v>425104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IFERROR(VLOOKUP(B21,input_425104!L:R,7,FALSE),VLOOKUP(tables_425104!C21,input_425104!A:H,8,FALSE))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input_425104!A$2</f>
        <v>425104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IFERROR(VLOOKUP(B22,input_425104!L:R,7,FALSE),VLOOKUP(tables_425104!C22,input_425104!A:H,8,FALSE))</f>
        <v>15072</v>
      </c>
      <c r="P22" s="46">
        <f t="shared" ca="1" si="1"/>
        <v>5.5411764699159578E-3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input_425104!A$2</f>
        <v>425104</v>
      </c>
      <c r="B23" s="6">
        <v>148</v>
      </c>
      <c r="C23" s="7" t="str">
        <f t="shared" si="0"/>
        <v>PremiumW3color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IFERROR(VLOOKUP(B23,input_425104!L:R,7,FALSE),VLOOKUP(tables_425104!C23,input_425104!A:H,8,FALSE))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input_425104!A$2</f>
        <v>425104</v>
      </c>
      <c r="B24" s="6">
        <v>149</v>
      </c>
      <c r="C24" s="7" t="str">
        <f t="shared" si="0"/>
        <v>PremiumW4color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IFERROR(VLOOKUP(B24,input_425104!L:R,7,FALSE),VLOOKUP(tables_425104!C24,input_425104!A:H,8,FALSE))</f>
        <v>69008.872730000003</v>
      </c>
      <c r="P24" s="46">
        <f t="shared" ca="1" si="1"/>
        <v>2.5370909088833667E-2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input_425104!A$2</f>
        <v>425104</v>
      </c>
      <c r="B25" s="6">
        <v>150</v>
      </c>
      <c r="C25" s="7" t="str">
        <f t="shared" si="0"/>
        <v>PremiumW3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IFERROR(VLOOKUP(B25,input_425104!L:R,7,FALSE),VLOOKUP(tables_425104!C25,input_425104!A:H,8,FALSE))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input_425104!A$2</f>
        <v>425104</v>
      </c>
      <c r="B26" s="6">
        <v>151</v>
      </c>
      <c r="C26" s="7" t="str">
        <f t="shared" si="0"/>
        <v>PremiumW4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IFERROR(VLOOKUP(B26,input_425104!L:R,7,FALSE),VLOOKUP(tables_425104!C26,input_425104!A:H,8,FALSE))</f>
        <v>15072</v>
      </c>
      <c r="P26" s="46">
        <f t="shared" ca="1" si="1"/>
        <v>5.5411764699159578E-3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input_425104!A$2</f>
        <v>425104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IFERROR(VLOOKUP(B27,input_425104!L:R,7,FALSE),VLOOKUP(tables_425104!C27,input_425104!A:H,8,FALSE))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input_425104!A$2</f>
        <v>425104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IFERROR(VLOOKUP(B28,input_425104!L:R,7,FALSE),VLOOKUP(tables_425104!C28,input_425104!A:H,8,FALSE))</f>
        <v>15072</v>
      </c>
      <c r="P28" s="46">
        <f t="shared" ca="1" si="1"/>
        <v>5.5411764699159578E-3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input_425104!A$2</f>
        <v>425104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IFERROR(VLOOKUP(B29,input_425104!L:R,7,FALSE),VLOOKUP(tables_425104!C29,input_425104!A:H,8,FALSE))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input_425104!A$2</f>
        <v>425104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IFERROR(VLOOKUP(B30,input_425104!L:R,7,FALSE),VLOOKUP(tables_425104!C30,input_425104!A:H,8,FALSE))</f>
        <v>15072</v>
      </c>
      <c r="P30" s="46">
        <f t="shared" ca="1" si="1"/>
        <v>5.5411764699159578E-3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input_425104!A$2</f>
        <v>425104</v>
      </c>
      <c r="B31" s="6">
        <v>156</v>
      </c>
      <c r="C31" s="7" t="str">
        <f t="shared" si="0"/>
        <v>PremiumW3color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IFERROR(VLOOKUP(B31,input_425104!L:R,7,FALSE),VLOOKUP(tables_425104!C31,input_425104!A:H,8,FALSE))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input_425104!A$2</f>
        <v>425104</v>
      </c>
      <c r="B32" s="6">
        <v>157</v>
      </c>
      <c r="C32" s="7" t="str">
        <f t="shared" si="0"/>
        <v>PremiumW4color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IFERROR(VLOOKUP(B32,input_425104!L:R,7,FALSE),VLOOKUP(tables_425104!C32,input_425104!A:H,8,FALSE))</f>
        <v>69008.872730000003</v>
      </c>
      <c r="P32" s="46">
        <f t="shared" ca="1" si="1"/>
        <v>2.5370909088833667E-2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input_425104!A$2</f>
        <v>425104</v>
      </c>
      <c r="B33" s="6">
        <v>158</v>
      </c>
      <c r="C33" s="7" t="str">
        <f t="shared" si="0"/>
        <v>PremiumW3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IFERROR(VLOOKUP(B33,input_425104!L:R,7,FALSE),VLOOKUP(tables_425104!C33,input_425104!A:H,8,FALSE))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input_425104!A$2</f>
        <v>425104</v>
      </c>
      <c r="B34" s="6">
        <v>159</v>
      </c>
      <c r="C34" s="7" t="str">
        <f t="shared" si="0"/>
        <v>PremiumW4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IFERROR(VLOOKUP(B34,input_425104!L:R,7,FALSE),VLOOKUP(tables_425104!C34,input_425104!A:H,8,FALSE))</f>
        <v>15072</v>
      </c>
      <c r="P34" s="46">
        <f t="shared" ca="1" si="1"/>
        <v>5.5411764699159578E-3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input_425104!A$2</f>
        <v>425104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IFERROR(VLOOKUP(B35,input_425104!L:R,7,FALSE),VLOOKUP(tables_425104!C35,input_425104!A:H,8,FALSE))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input_425104!A$2</f>
        <v>425104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IFERROR(VLOOKUP(B36,input_425104!L:R,7,FALSE),VLOOKUP(tables_425104!C36,input_425104!A:H,8,FALSE))</f>
        <v>15072</v>
      </c>
      <c r="P36" s="46">
        <f t="shared" ca="1" si="1"/>
        <v>5.5411764699159578E-3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input_425104!A$2</f>
        <v>425104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IFERROR(VLOOKUP(B37,input_425104!L:R,7,FALSE),VLOOKUP(tables_425104!C37,input_425104!A:H,8,FALSE))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input_425104!A$2</f>
        <v>425104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IFERROR(VLOOKUP(B38,input_425104!L:R,7,FALSE),VLOOKUP(tables_425104!C38,input_425104!A:H,8,FALSE))</f>
        <v>15072</v>
      </c>
      <c r="P38" s="46">
        <f t="shared" ca="1" si="1"/>
        <v>5.5411764699159578E-3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input_425104!A$2</f>
        <v>425104</v>
      </c>
      <c r="B39" s="6">
        <v>164</v>
      </c>
      <c r="C39" s="7" t="str">
        <f t="shared" si="0"/>
        <v>PremiumW3color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IFERROR(VLOOKUP(B39,input_425104!L:R,7,FALSE),VLOOKUP(tables_425104!C39,input_425104!A:H,8,FALSE))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input_425104!A$2</f>
        <v>425104</v>
      </c>
      <c r="B40" s="6">
        <v>165</v>
      </c>
      <c r="C40" s="7" t="str">
        <f t="shared" si="0"/>
        <v>PremiumW4color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IFERROR(VLOOKUP(B40,input_425104!L:R,7,FALSE),VLOOKUP(tables_425104!C40,input_425104!A:H,8,FALSE))</f>
        <v>69008.872730000003</v>
      </c>
      <c r="P40" s="46">
        <f t="shared" ca="1" si="1"/>
        <v>2.5370909088833667E-2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input_425104!A$2</f>
        <v>425104</v>
      </c>
      <c r="B41" s="6">
        <v>166</v>
      </c>
      <c r="C41" s="7" t="str">
        <f t="shared" si="0"/>
        <v>Premium3R6release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/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IFERROR(VLOOKUP(B41,input_425104!L:R,7,FALSE),VLOOKUP(tables_425104!C41,input_425104!A:H,8,FALSE))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input_425104!A$2</f>
        <v>425104</v>
      </c>
      <c r="B42" s="6">
        <v>167</v>
      </c>
      <c r="C42" s="7" t="str">
        <f t="shared" si="0"/>
        <v>Premium4R6release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IFERROR(VLOOKUP(B42,input_425104!L:R,7,FALSE),VLOOKUP(tables_425104!C42,input_425104!A:H,8,FALSE))</f>
        <v>14318.4</v>
      </c>
      <c r="P42" s="46">
        <f t="shared" ca="1" si="1"/>
        <v>5.26411764642016E-3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input_425104!A$2</f>
        <v>425104</v>
      </c>
      <c r="B43" s="6">
        <v>168</v>
      </c>
      <c r="C43" s="7" t="str">
        <f t="shared" si="0"/>
        <v>Premium5R6release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IFERROR(VLOOKUP(B43,input_425104!L:R,7,FALSE),VLOOKUP(tables_425104!C43,input_425104!A:H,8,FALSE))</f>
        <v>753.6</v>
      </c>
      <c r="P43" s="46">
        <f t="shared" ca="1" si="1"/>
        <v>2.7705882349579792E-4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input_425104!A$2</f>
        <v>425104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IFERROR(VLOOKUP(B44,input_425104!L:R,7,FALSE),VLOOKUP(tables_425104!C44,input_425104!A:H,8,FALSE))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input_425104!A$2</f>
        <v>425104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IFERROR(VLOOKUP(B45,input_425104!L:R,7,FALSE),VLOOKUP(tables_425104!C45,input_425104!A:H,8,FALSE))</f>
        <v>14318.4</v>
      </c>
      <c r="P45" s="46">
        <f t="shared" ca="1" si="1"/>
        <v>5.26411764642016E-3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input_425104!A$2</f>
        <v>425104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IFERROR(VLOOKUP(B46,input_425104!L:R,7,FALSE),VLOOKUP(tables_425104!C46,input_425104!A:H,8,FALSE))</f>
        <v>753.6</v>
      </c>
      <c r="P46" s="46">
        <f t="shared" ca="1" si="1"/>
        <v>2.7705882349579792E-4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input_425104!A$2</f>
        <v>425104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IFERROR(VLOOKUP(B47,input_425104!L:R,7,FALSE),VLOOKUP(tables_425104!C47,input_425104!A:H,8,FALSE))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input_425104!A$2</f>
        <v>425104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IFERROR(VLOOKUP(B48,input_425104!L:R,7,FALSE),VLOOKUP(tables_425104!C48,input_425104!A:H,8,FALSE))</f>
        <v>14318.4</v>
      </c>
      <c r="P48" s="46">
        <f t="shared" ca="1" si="1"/>
        <v>5.26411764642016E-3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input_425104!A$2</f>
        <v>425104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IFERROR(VLOOKUP(B49,input_425104!L:R,7,FALSE),VLOOKUP(tables_425104!C49,input_425104!A:H,8,FALSE))</f>
        <v>753.6</v>
      </c>
      <c r="P49" s="46">
        <f t="shared" ca="1" si="1"/>
        <v>2.7705882349579792E-4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input_425104!A$2</f>
        <v>425104</v>
      </c>
      <c r="B50" s="6">
        <v>175</v>
      </c>
      <c r="C50" s="7" t="str">
        <f t="shared" si="0"/>
        <v>Premium3color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>color</v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IFERROR(VLOOKUP(B50,input_425104!L:R,7,FALSE),VLOOKUP(tables_425104!C50,input_425104!A:H,8,FALSE))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input_425104!A$2</f>
        <v>425104</v>
      </c>
      <c r="B51" s="6">
        <v>176</v>
      </c>
      <c r="C51" s="7" t="str">
        <f t="shared" si="0"/>
        <v>Premium4color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IFERROR(VLOOKUP(B51,input_425104!L:R,7,FALSE),VLOOKUP(tables_425104!C51,input_425104!A:H,8,FALSE))</f>
        <v>68508.623779999994</v>
      </c>
      <c r="P51" s="46">
        <f t="shared" ca="1" si="1"/>
        <v>2.5186994033708918E-2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input_425104!A$2</f>
        <v>425104</v>
      </c>
      <c r="B52" s="6">
        <v>177</v>
      </c>
      <c r="C52" s="7" t="str">
        <f t="shared" si="0"/>
        <v>Premium5color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IFERROR(VLOOKUP(B52,input_425104!L:R,7,FALSE),VLOOKUP(tables_425104!C52,input_425104!A:H,8,FALSE))</f>
        <v>1370.64895</v>
      </c>
      <c r="P52" s="46">
        <f t="shared" ca="1" si="1"/>
        <v>5.039150550859219E-4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input_425104!A$2</f>
        <v>425104</v>
      </c>
      <c r="B53" s="6">
        <v>178</v>
      </c>
      <c r="C53" s="7" t="str">
        <f t="shared" si="0"/>
        <v>Premium3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IFERROR(VLOOKUP(B53,input_425104!L:R,7,FALSE),VLOOKUP(tables_425104!C53,input_425104!A:H,8,FALSE))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input_425104!A$2</f>
        <v>425104</v>
      </c>
      <c r="B54" s="6">
        <v>179</v>
      </c>
      <c r="C54" s="7" t="str">
        <f t="shared" si="0"/>
        <v>Premium4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IFERROR(VLOOKUP(B54,input_425104!L:R,7,FALSE),VLOOKUP(tables_425104!C54,input_425104!A:H,8,FALSE))</f>
        <v>15137.76131</v>
      </c>
      <c r="P54" s="46">
        <f t="shared" ca="1" si="1"/>
        <v>5.565353422118907E-3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input_425104!A$2</f>
        <v>425104</v>
      </c>
      <c r="B55" s="6">
        <v>180</v>
      </c>
      <c r="C55" s="7" t="str">
        <f t="shared" si="0"/>
        <v>Premium5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IFERROR(VLOOKUP(B55,input_425104!L:R,7,FALSE),VLOOKUP(tables_425104!C55,input_425104!A:H,8,FALSE))</f>
        <v>45.828440000000001</v>
      </c>
      <c r="P55" s="46">
        <f t="shared" ca="1" si="1"/>
        <v>1.6848691174426438E-5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input_425104!A$2</f>
        <v>425104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IFERROR(VLOOKUP(B56,input_425104!L:R,7,FALSE),VLOOKUP(tables_425104!C56,input_425104!A:H,8,FALSE))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input_425104!A$2</f>
        <v>425104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IFERROR(VLOOKUP(B57,input_425104!L:R,7,FALSE),VLOOKUP(tables_425104!C57,input_425104!A:H,8,FALSE))</f>
        <v>15137.76131</v>
      </c>
      <c r="P57" s="46">
        <f t="shared" ca="1" si="1"/>
        <v>5.565353422118907E-3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input_425104!A$2</f>
        <v>425104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IFERROR(VLOOKUP(B58,input_425104!L:R,7,FALSE),VLOOKUP(tables_425104!C58,input_425104!A:H,8,FALSE))</f>
        <v>45.828440000000001</v>
      </c>
      <c r="P58" s="46">
        <f t="shared" ca="1" si="1"/>
        <v>1.6848691174426438E-5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input_425104!A$2</f>
        <v>425104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IFERROR(VLOOKUP(B59,input_425104!L:R,7,FALSE),VLOOKUP(tables_425104!C59,input_425104!A:H,8,FALSE))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input_425104!A$2</f>
        <v>425104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IFERROR(VLOOKUP(B60,input_425104!L:R,7,FALSE),VLOOKUP(tables_425104!C60,input_425104!A:H,8,FALSE))</f>
        <v>15137.76131</v>
      </c>
      <c r="P60" s="46">
        <f t="shared" ca="1" si="1"/>
        <v>5.565353422118907E-3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input_425104!A$2</f>
        <v>425104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IFERROR(VLOOKUP(B61,input_425104!L:R,7,FALSE),VLOOKUP(tables_425104!C61,input_425104!A:H,8,FALSE))</f>
        <v>45.828440000000001</v>
      </c>
      <c r="P61" s="46">
        <f t="shared" ca="1" si="1"/>
        <v>1.6848691174426438E-5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input_425104!A$2</f>
        <v>425104</v>
      </c>
      <c r="B62" s="8">
        <v>187</v>
      </c>
      <c r="C62" s="7" t="str">
        <f t="shared" si="0"/>
        <v>Premium3color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IFERROR(VLOOKUP(B62,input_425104!L:R,7,FALSE),VLOOKUP(tables_425104!C62,input_425104!A:H,8,FALSE))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input_425104!A$2</f>
        <v>425104</v>
      </c>
      <c r="B63" s="8">
        <v>188</v>
      </c>
      <c r="C63" s="7" t="str">
        <f t="shared" si="0"/>
        <v>Premium4color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IFERROR(VLOOKUP(B63,input_425104!L:R,7,FALSE),VLOOKUP(tables_425104!C63,input_425104!A:H,8,FALSE))</f>
        <v>68508.623779999994</v>
      </c>
      <c r="P63" s="46">
        <f t="shared" ca="1" si="1"/>
        <v>2.5186994033708918E-2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input_425104!A$2</f>
        <v>425104</v>
      </c>
      <c r="B64" s="8">
        <v>189</v>
      </c>
      <c r="C64" s="7" t="str">
        <f t="shared" si="0"/>
        <v>Premium5color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IFERROR(VLOOKUP(B64,input_425104!L:R,7,FALSE),VLOOKUP(tables_425104!C64,input_425104!A:H,8,FALSE))</f>
        <v>1370.64895</v>
      </c>
      <c r="P64" s="46">
        <f t="shared" ca="1" si="1"/>
        <v>5.039150550859219E-4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input_425104!A$2</f>
        <v>425104</v>
      </c>
      <c r="B65" s="6">
        <v>190</v>
      </c>
      <c r="C65" s="7" t="str">
        <f t="shared" si="0"/>
        <v>Premium3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IFERROR(VLOOKUP(B65,input_425104!L:R,7,FALSE),VLOOKUP(tables_425104!C65,input_425104!A:H,8,FALSE))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input_425104!A$2</f>
        <v>425104</v>
      </c>
      <c r="B66" s="6">
        <v>191</v>
      </c>
      <c r="C66" s="7" t="str">
        <f t="shared" ref="C66:C129" si="4">D66&amp;J66&amp;E66&amp;F66&amp;G66</f>
        <v>Premium4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IFERROR(VLOOKUP(B66,input_425104!L:R,7,FALSE),VLOOKUP(tables_425104!C66,input_425104!A:H,8,FALSE))</f>
        <v>15137.76131</v>
      </c>
      <c r="P66" s="46">
        <f t="shared" ref="P66:P129" ca="1" si="5">O66/SUM(O:O)</f>
        <v>5.565353422118907E-3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input_425104!A$2</f>
        <v>425104</v>
      </c>
      <c r="B67" s="6">
        <v>192</v>
      </c>
      <c r="C67" s="7" t="str">
        <f t="shared" si="4"/>
        <v>Premium5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IFERROR(VLOOKUP(B67,input_425104!L:R,7,FALSE),VLOOKUP(tables_425104!C67,input_425104!A:H,8,FALSE))</f>
        <v>45.828440000000001</v>
      </c>
      <c r="P67" s="46">
        <f t="shared" ca="1" si="5"/>
        <v>1.6848691174426438E-5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input_425104!A$2</f>
        <v>425104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IFERROR(VLOOKUP(B68,input_425104!L:R,7,FALSE),VLOOKUP(tables_425104!C68,input_425104!A:H,8,FALSE))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input_425104!A$2</f>
        <v>425104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IFERROR(VLOOKUP(B69,input_425104!L:R,7,FALSE),VLOOKUP(tables_425104!C69,input_425104!A:H,8,FALSE))</f>
        <v>15137.76131</v>
      </c>
      <c r="P69" s="46">
        <f t="shared" ca="1" si="5"/>
        <v>5.565353422118907E-3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input_425104!A$2</f>
        <v>425104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IFERROR(VLOOKUP(B70,input_425104!L:R,7,FALSE),VLOOKUP(tables_425104!C70,input_425104!A:H,8,FALSE))</f>
        <v>45.828440000000001</v>
      </c>
      <c r="P70" s="46">
        <f t="shared" ca="1" si="5"/>
        <v>1.6848691174426438E-5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input_425104!A$2</f>
        <v>425104</v>
      </c>
      <c r="B71" s="10">
        <v>196</v>
      </c>
      <c r="C71" s="7" t="str">
        <f t="shared" si="4"/>
        <v>Premium3color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IFERROR(VLOOKUP(B71,input_425104!L:R,7,FALSE),VLOOKUP(tables_425104!C71,input_425104!A:H,8,FALSE))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input_425104!A$2</f>
        <v>425104</v>
      </c>
      <c r="B72" s="11">
        <v>197</v>
      </c>
      <c r="C72" s="7" t="str">
        <f t="shared" si="4"/>
        <v>Premium4color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IFERROR(VLOOKUP(B72,input_425104!L:R,7,FALSE),VLOOKUP(tables_425104!C72,input_425104!A:H,8,FALSE))</f>
        <v>68508.623779999994</v>
      </c>
      <c r="P72" s="46">
        <f t="shared" ca="1" si="5"/>
        <v>2.5186994033708918E-2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input_425104!A$2</f>
        <v>425104</v>
      </c>
      <c r="B73" s="6">
        <v>198</v>
      </c>
      <c r="C73" s="7" t="str">
        <f t="shared" si="4"/>
        <v>Premium5color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IFERROR(VLOOKUP(B73,input_425104!L:R,7,FALSE),VLOOKUP(tables_425104!C73,input_425104!A:H,8,FALSE))</f>
        <v>1370.64895</v>
      </c>
      <c r="P73" s="46">
        <f t="shared" ca="1" si="5"/>
        <v>5.039150550859219E-4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input_425104!A$2</f>
        <v>425104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IFERROR(VLOOKUP(B74,input_425104!L:R,7,FALSE),VLOOKUP(tables_425104!C74,input_425104!A:H,8,FALSE))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input_425104!A$2</f>
        <v>425104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IFERROR(VLOOKUP(B75,input_425104!L:R,7,FALSE),VLOOKUP(tables_425104!C75,input_425104!A:H,8,FALSE))</f>
        <v>15137.76131</v>
      </c>
      <c r="P75" s="46">
        <f t="shared" ca="1" si="5"/>
        <v>5.565353422118907E-3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input_425104!A$2</f>
        <v>425104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IFERROR(VLOOKUP(B76,input_425104!L:R,7,FALSE),VLOOKUP(tables_425104!C76,input_425104!A:H,8,FALSE))</f>
        <v>45.828440000000001</v>
      </c>
      <c r="P76" s="46">
        <f t="shared" ca="1" si="5"/>
        <v>1.6848691174426438E-5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input_425104!A$2</f>
        <v>425104</v>
      </c>
      <c r="B77" s="5">
        <v>202</v>
      </c>
      <c r="C77" s="7" t="str">
        <f t="shared" si="4"/>
        <v>Premium3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IFERROR(VLOOKUP(B77,input_425104!L:R,7,FALSE),VLOOKUP(tables_425104!C77,input_425104!A:H,8,FALSE))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input_425104!A$2</f>
        <v>425104</v>
      </c>
      <c r="B78" s="5">
        <v>203</v>
      </c>
      <c r="C78" s="7" t="str">
        <f t="shared" si="4"/>
        <v>Premium4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IFERROR(VLOOKUP(B78,input_425104!L:R,7,FALSE),VLOOKUP(tables_425104!C78,input_425104!A:H,8,FALSE))</f>
        <v>15137.76131</v>
      </c>
      <c r="P78" s="46">
        <f t="shared" ca="1" si="5"/>
        <v>5.565353422118907E-3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input_425104!A$2</f>
        <v>425104</v>
      </c>
      <c r="B79" s="5">
        <v>204</v>
      </c>
      <c r="C79" s="7" t="str">
        <f t="shared" si="4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IFERROR(VLOOKUP(B79,input_425104!L:R,7,FALSE),VLOOKUP(tables_425104!C79,input_425104!A:H,8,FALSE))</f>
        <v>45.828440000000001</v>
      </c>
      <c r="P79" s="46">
        <f t="shared" ca="1" si="5"/>
        <v>1.6848691174426438E-5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input_425104!A$2</f>
        <v>425104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IFERROR(VLOOKUP(B80,input_425104!L:R,7,FALSE),VLOOKUP(tables_425104!C80,input_425104!A:H,8,FALSE))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input_425104!A$2</f>
        <v>425104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IFERROR(VLOOKUP(B81,input_425104!L:R,7,FALSE),VLOOKUP(tables_425104!C81,input_425104!A:H,8,FALSE))</f>
        <v>15137.76131</v>
      </c>
      <c r="P81" s="46">
        <f t="shared" ca="1" si="5"/>
        <v>5.565353422118907E-3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input_425104!A$2</f>
        <v>425104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IFERROR(VLOOKUP(B82,input_425104!L:R,7,FALSE),VLOOKUP(tables_425104!C82,input_425104!A:H,8,FALSE))</f>
        <v>45.828440000000001</v>
      </c>
      <c r="P82" s="46">
        <f t="shared" ca="1" si="5"/>
        <v>1.6848691174426438E-5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input_425104!A$2</f>
        <v>425104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IFERROR(VLOOKUP(B83,input_425104!L:R,7,FALSE),VLOOKUP(tables_425104!C83,input_425104!A:H,8,FALSE))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input_425104!A$2</f>
        <v>425104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IFERROR(VLOOKUP(B84,input_425104!L:R,7,FALSE),VLOOKUP(tables_425104!C84,input_425104!A:H,8,FALSE))</f>
        <v>15137.76131</v>
      </c>
      <c r="P84" s="46">
        <f t="shared" ca="1" si="5"/>
        <v>5.565353422118907E-3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input_425104!A$2</f>
        <v>425104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IFERROR(VLOOKUP(B85,input_425104!L:R,7,FALSE),VLOOKUP(tables_425104!C85,input_425104!A:H,8,FALSE))</f>
        <v>45.828440000000001</v>
      </c>
      <c r="P85" s="46">
        <f t="shared" ca="1" si="5"/>
        <v>1.6848691174426438E-5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input_425104!A$2</f>
        <v>425104</v>
      </c>
      <c r="B86" s="5">
        <v>211</v>
      </c>
      <c r="C86" s="7" t="str">
        <f t="shared" si="4"/>
        <v>Premium3color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IFERROR(VLOOKUP(B86,input_425104!L:R,7,FALSE),VLOOKUP(tables_425104!C86,input_425104!A:H,8,FALSE))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input_425104!A$2</f>
        <v>425104</v>
      </c>
      <c r="B87" s="5">
        <v>212</v>
      </c>
      <c r="C87" s="7" t="str">
        <f t="shared" si="4"/>
        <v>Premium4color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IFERROR(VLOOKUP(B87,input_425104!L:R,7,FALSE),VLOOKUP(tables_425104!C87,input_425104!A:H,8,FALSE))</f>
        <v>68508.623779999994</v>
      </c>
      <c r="P87" s="46">
        <f t="shared" ca="1" si="5"/>
        <v>2.5186994033708918E-2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input_425104!A$2</f>
        <v>425104</v>
      </c>
      <c r="B88" s="5">
        <v>213</v>
      </c>
      <c r="C88" s="7" t="str">
        <f t="shared" si="4"/>
        <v>Premium5color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IFERROR(VLOOKUP(B88,input_425104!L:R,7,FALSE),VLOOKUP(tables_425104!C88,input_425104!A:H,8,FALSE))</f>
        <v>1370.64895</v>
      </c>
      <c r="P88" s="46">
        <f t="shared" ca="1" si="5"/>
        <v>5.039150550859219E-4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input_425104!A$2</f>
        <v>425104</v>
      </c>
      <c r="B89" s="5">
        <v>214</v>
      </c>
      <c r="C89" s="7" t="str">
        <f t="shared" si="4"/>
        <v>Premium3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IFERROR(VLOOKUP(B89,input_425104!L:R,7,FALSE),VLOOKUP(tables_425104!C89,input_425104!A:H,8,FALSE))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input_425104!A$2</f>
        <v>425104</v>
      </c>
      <c r="B90" s="5">
        <v>215</v>
      </c>
      <c r="C90" s="7" t="str">
        <f t="shared" si="4"/>
        <v>Premium4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IFERROR(VLOOKUP(B90,input_425104!L:R,7,FALSE),VLOOKUP(tables_425104!C90,input_425104!A:H,8,FALSE))</f>
        <v>15137.76131</v>
      </c>
      <c r="P90" s="46">
        <f t="shared" ca="1" si="5"/>
        <v>5.565353422118907E-3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input_425104!A$2</f>
        <v>425104</v>
      </c>
      <c r="B91" s="5">
        <v>216</v>
      </c>
      <c r="C91" s="7" t="str">
        <f t="shared" si="4"/>
        <v>Premium5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IFERROR(VLOOKUP(B91,input_425104!L:R,7,FALSE),VLOOKUP(tables_425104!C91,input_425104!A:H,8,FALSE))</f>
        <v>45.828440000000001</v>
      </c>
      <c r="P91" s="46">
        <f t="shared" ca="1" si="5"/>
        <v>1.6848691174426438E-5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input_425104!A$2</f>
        <v>425104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IFERROR(VLOOKUP(B92,input_425104!L:R,7,FALSE),VLOOKUP(tables_425104!C92,input_425104!A:H,8,FALSE))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input_425104!A$2</f>
        <v>425104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IFERROR(VLOOKUP(B93,input_425104!L:R,7,FALSE),VLOOKUP(tables_425104!C93,input_425104!A:H,8,FALSE))</f>
        <v>15137.76131</v>
      </c>
      <c r="P93" s="46">
        <f t="shared" ca="1" si="5"/>
        <v>5.565353422118907E-3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input_425104!A$2</f>
        <v>425104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IFERROR(VLOOKUP(B94,input_425104!L:R,7,FALSE),VLOOKUP(tables_425104!C94,input_425104!A:H,8,FALSE))</f>
        <v>45.828440000000001</v>
      </c>
      <c r="P94" s="46">
        <f t="shared" ca="1" si="5"/>
        <v>1.6848691174426438E-5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input_425104!A$2</f>
        <v>425104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IFERROR(VLOOKUP(B95,input_425104!L:R,7,FALSE),VLOOKUP(tables_425104!C95,input_425104!A:H,8,FALSE))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input_425104!A$2</f>
        <v>425104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IFERROR(VLOOKUP(B96,input_425104!L:R,7,FALSE),VLOOKUP(tables_425104!C96,input_425104!A:H,8,FALSE))</f>
        <v>15137.76131</v>
      </c>
      <c r="P96" s="46">
        <f t="shared" ca="1" si="5"/>
        <v>5.565353422118907E-3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input_425104!A$2</f>
        <v>425104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IFERROR(VLOOKUP(B97,input_425104!L:R,7,FALSE),VLOOKUP(tables_425104!C97,input_425104!A:H,8,FALSE))</f>
        <v>45.828440000000001</v>
      </c>
      <c r="P97" s="46">
        <f t="shared" ca="1" si="5"/>
        <v>1.6848691174426438E-5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input_425104!A$2</f>
        <v>425104</v>
      </c>
      <c r="B98" s="5">
        <v>223</v>
      </c>
      <c r="C98" s="7" t="str">
        <f t="shared" si="4"/>
        <v>Premium3color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IFERROR(VLOOKUP(B98,input_425104!L:R,7,FALSE),VLOOKUP(tables_425104!C98,input_425104!A:H,8,FALSE))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input_425104!A$2</f>
        <v>425104</v>
      </c>
      <c r="B99" s="5">
        <v>224</v>
      </c>
      <c r="C99" s="7" t="str">
        <f t="shared" si="4"/>
        <v>Premium4color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IFERROR(VLOOKUP(B99,input_425104!L:R,7,FALSE),VLOOKUP(tables_425104!C99,input_425104!A:H,8,FALSE))</f>
        <v>68508.623779999994</v>
      </c>
      <c r="P99" s="46">
        <f t="shared" ca="1" si="5"/>
        <v>2.5186994033708918E-2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input_425104!A$2</f>
        <v>425104</v>
      </c>
      <c r="B100" s="5">
        <v>225</v>
      </c>
      <c r="C100" s="7" t="str">
        <f t="shared" si="4"/>
        <v>Premium5color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IFERROR(VLOOKUP(B100,input_425104!L:R,7,FALSE),VLOOKUP(tables_425104!C100,input_425104!A:H,8,FALSE))</f>
        <v>1370.64895</v>
      </c>
      <c r="P100" s="46">
        <f t="shared" ca="1" si="5"/>
        <v>5.039150550859219E-4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input_425104!A$2</f>
        <v>425104</v>
      </c>
      <c r="B101" s="5">
        <v>226</v>
      </c>
      <c r="C101" s="7" t="str">
        <f t="shared" si="4"/>
        <v>Premium3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IFERROR(VLOOKUP(B101,input_425104!L:R,7,FALSE),VLOOKUP(tables_425104!C101,input_425104!A:H,8,FALSE))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input_425104!A$2</f>
        <v>425104</v>
      </c>
      <c r="B102" s="5">
        <v>227</v>
      </c>
      <c r="C102" s="7" t="str">
        <f t="shared" si="4"/>
        <v>Premium4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IFERROR(VLOOKUP(B102,input_425104!L:R,7,FALSE),VLOOKUP(tables_425104!C102,input_425104!A:H,8,FALSE))</f>
        <v>15137.76131</v>
      </c>
      <c r="P102" s="46">
        <f t="shared" ca="1" si="5"/>
        <v>5.565353422118907E-3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input_425104!A$2</f>
        <v>425104</v>
      </c>
      <c r="B103" s="5">
        <v>228</v>
      </c>
      <c r="C103" s="7" t="str">
        <f t="shared" si="4"/>
        <v>Premium5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IFERROR(VLOOKUP(B103,input_425104!L:R,7,FALSE),VLOOKUP(tables_425104!C103,input_425104!A:H,8,FALSE))</f>
        <v>45.828440000000001</v>
      </c>
      <c r="P103" s="46">
        <f t="shared" ca="1" si="5"/>
        <v>1.6848691174426438E-5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input_425104!A$2</f>
        <v>425104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IFERROR(VLOOKUP(B104,input_425104!L:R,7,FALSE),VLOOKUP(tables_425104!C104,input_425104!A:H,8,FALSE))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input_425104!A$2</f>
        <v>425104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IFERROR(VLOOKUP(B105,input_425104!L:R,7,FALSE),VLOOKUP(tables_425104!C105,input_425104!A:H,8,FALSE))</f>
        <v>15137.76131</v>
      </c>
      <c r="P105" s="46">
        <f t="shared" ca="1" si="5"/>
        <v>5.565353422118907E-3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input_425104!A$2</f>
        <v>425104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IFERROR(VLOOKUP(B106,input_425104!L:R,7,FALSE),VLOOKUP(tables_425104!C106,input_425104!A:H,8,FALSE))</f>
        <v>45.828440000000001</v>
      </c>
      <c r="P106" s="46">
        <f t="shared" ca="1" si="5"/>
        <v>1.6848691174426438E-5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input_425104!A$2</f>
        <v>425104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IFERROR(VLOOKUP(B107,input_425104!L:R,7,FALSE),VLOOKUP(tables_425104!C107,input_425104!A:H,8,FALSE))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input_425104!A$2</f>
        <v>425104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IFERROR(VLOOKUP(B108,input_425104!L:R,7,FALSE),VLOOKUP(tables_425104!C108,input_425104!A:H,8,FALSE))</f>
        <v>15137.76131</v>
      </c>
      <c r="P108" s="46">
        <f t="shared" ca="1" si="5"/>
        <v>5.565353422118907E-3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input_425104!A$2</f>
        <v>425104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IFERROR(VLOOKUP(B109,input_425104!L:R,7,FALSE),VLOOKUP(tables_425104!C109,input_425104!A:H,8,FALSE))</f>
        <v>45.828440000000001</v>
      </c>
      <c r="P109" s="46">
        <f t="shared" ca="1" si="5"/>
        <v>1.6848691174426438E-5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input_425104!A$2</f>
        <v>425104</v>
      </c>
      <c r="B110" s="5">
        <v>235</v>
      </c>
      <c r="C110" s="7" t="str">
        <f t="shared" si="4"/>
        <v>Premium3R6releasecolor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>color</v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IFERROR(VLOOKUP(B110,input_425104!L:R,7,FALSE),VLOOKUP(tables_425104!C110,input_425104!A:H,8,FALSE))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input_425104!A$2</f>
        <v>425104</v>
      </c>
      <c r="B111" s="5">
        <v>236</v>
      </c>
      <c r="C111" s="7" t="str">
        <f t="shared" si="4"/>
        <v>Premium4R6releasecolor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IFERROR(VLOOKUP(B111,input_425104!L:R,7,FALSE),VLOOKUP(tables_425104!C111,input_425104!A:H,8,FALSE))</f>
        <v>66385.309089999995</v>
      </c>
      <c r="P111" s="46">
        <f t="shared" ca="1" si="5"/>
        <v>2.4406363633068334E-2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input_425104!A$2</f>
        <v>425104</v>
      </c>
      <c r="B112" s="5">
        <v>237</v>
      </c>
      <c r="C112" s="7" t="str">
        <f t="shared" si="4"/>
        <v>Premium5R6releasecolor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IFERROR(VLOOKUP(B112,input_425104!L:R,7,FALSE),VLOOKUP(tables_425104!C112,input_425104!A:H,8,FALSE))</f>
        <v>3493.9636399999999</v>
      </c>
      <c r="P112" s="46">
        <f t="shared" ca="1" si="5"/>
        <v>1.2845454557265069E-3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input_425104!A$2</f>
        <v>425104</v>
      </c>
      <c r="B113" s="5">
        <v>238</v>
      </c>
      <c r="C113" s="7" t="str">
        <f t="shared" si="4"/>
        <v>Premium3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/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IFERROR(VLOOKUP(B113,input_425104!L:R,7,FALSE),VLOOKUP(tables_425104!C113,input_425104!A:H,8,FALSE))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input_425104!A$2</f>
        <v>425104</v>
      </c>
      <c r="B114" s="5">
        <v>239</v>
      </c>
      <c r="C114" s="7" t="str">
        <f t="shared" si="4"/>
        <v>Premium4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IFERROR(VLOOKUP(B114,input_425104!L:R,7,FALSE),VLOOKUP(tables_425104!C114,input_425104!A:H,8,FALSE))</f>
        <v>15137.76131</v>
      </c>
      <c r="P114" s="46">
        <f t="shared" ca="1" si="5"/>
        <v>5.565353422118907E-3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input_425104!A$2</f>
        <v>425104</v>
      </c>
      <c r="B115" s="5">
        <v>240</v>
      </c>
      <c r="C115" s="7" t="str">
        <f t="shared" si="4"/>
        <v>Premium5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IFERROR(VLOOKUP(B115,input_425104!L:R,7,FALSE),VLOOKUP(tables_425104!C115,input_425104!A:H,8,FALSE))</f>
        <v>45.828440000000001</v>
      </c>
      <c r="P115" s="46">
        <f t="shared" ca="1" si="5"/>
        <v>1.6848691174426438E-5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input_425104!A$2</f>
        <v>425104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IFERROR(VLOOKUP(B116,input_425104!L:R,7,FALSE),VLOOKUP(tables_425104!C116,input_425104!A:H,8,FALSE))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input_425104!A$2</f>
        <v>425104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IFERROR(VLOOKUP(B117,input_425104!L:R,7,FALSE),VLOOKUP(tables_425104!C117,input_425104!A:H,8,FALSE))</f>
        <v>15137.76131</v>
      </c>
      <c r="P117" s="46">
        <f t="shared" ca="1" si="5"/>
        <v>5.565353422118907E-3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input_425104!A$2</f>
        <v>425104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IFERROR(VLOOKUP(B118,input_425104!L:R,7,FALSE),VLOOKUP(tables_425104!C118,input_425104!A:H,8,FALSE))</f>
        <v>45.828440000000001</v>
      </c>
      <c r="P118" s="46">
        <f t="shared" ca="1" si="5"/>
        <v>1.6848691174426438E-5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input_425104!A$2</f>
        <v>425104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IFERROR(VLOOKUP(B119,input_425104!L:R,7,FALSE),VLOOKUP(tables_425104!C119,input_425104!A:H,8,FALSE))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input_425104!A$2</f>
        <v>425104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IFERROR(VLOOKUP(B120,input_425104!L:R,7,FALSE),VLOOKUP(tables_425104!C120,input_425104!A:H,8,FALSE))</f>
        <v>15137.76131</v>
      </c>
      <c r="P120" s="46">
        <f t="shared" ca="1" si="5"/>
        <v>5.565353422118907E-3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input_425104!A$2</f>
        <v>425104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IFERROR(VLOOKUP(B121,input_425104!L:R,7,FALSE),VLOOKUP(tables_425104!C121,input_425104!A:H,8,FALSE))</f>
        <v>45.828440000000001</v>
      </c>
      <c r="P121" s="46">
        <f t="shared" ca="1" si="5"/>
        <v>1.6848691174426438E-5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input_425104!A$2</f>
        <v>425104</v>
      </c>
      <c r="B122" s="5">
        <v>247</v>
      </c>
      <c r="C122" s="7" t="str">
        <f t="shared" si="4"/>
        <v>Premium3color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IFERROR(VLOOKUP(B122,input_425104!L:R,7,FALSE),VLOOKUP(tables_425104!C122,input_425104!A:H,8,FALSE))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input_425104!A$2</f>
        <v>425104</v>
      </c>
      <c r="B123" s="5">
        <v>248</v>
      </c>
      <c r="C123" s="7" t="str">
        <f t="shared" si="4"/>
        <v>Premium4color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IFERROR(VLOOKUP(B123,input_425104!L:R,7,FALSE),VLOOKUP(tables_425104!C123,input_425104!A:H,8,FALSE))</f>
        <v>68508.623779999994</v>
      </c>
      <c r="P123" s="46">
        <f t="shared" ca="1" si="5"/>
        <v>2.5186994033708918E-2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input_425104!A$2</f>
        <v>425104</v>
      </c>
      <c r="B124" s="6">
        <v>249</v>
      </c>
      <c r="C124" s="7" t="str">
        <f t="shared" si="4"/>
        <v>Premium5color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IFERROR(VLOOKUP(B124,input_425104!L:R,7,FALSE),VLOOKUP(tables_425104!C124,input_425104!A:H,8,FALSE))</f>
        <v>1370.64895</v>
      </c>
      <c r="P124" s="46">
        <f t="shared" ca="1" si="5"/>
        <v>5.039150550859219E-4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input_425104!A$2</f>
        <v>425104</v>
      </c>
      <c r="B125" s="6">
        <v>250</v>
      </c>
      <c r="C125" s="7" t="str">
        <f t="shared" si="4"/>
        <v>Premium3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IFERROR(VLOOKUP(B125,input_425104!L:R,7,FALSE),VLOOKUP(tables_425104!C125,input_425104!A:H,8,FALSE))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input_425104!A$2</f>
        <v>425104</v>
      </c>
      <c r="B126" s="6">
        <v>251</v>
      </c>
      <c r="C126" s="7" t="str">
        <f t="shared" si="4"/>
        <v>Premium4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IFERROR(VLOOKUP(B126,input_425104!L:R,7,FALSE),VLOOKUP(tables_425104!C126,input_425104!A:H,8,FALSE))</f>
        <v>15137.76131</v>
      </c>
      <c r="P126" s="46">
        <f t="shared" ca="1" si="5"/>
        <v>5.565353422118907E-3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input_425104!A$2</f>
        <v>425104</v>
      </c>
      <c r="B127" s="6">
        <v>252</v>
      </c>
      <c r="C127" s="7" t="str">
        <f t="shared" si="4"/>
        <v>Premium5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IFERROR(VLOOKUP(B127,input_425104!L:R,7,FALSE),VLOOKUP(tables_425104!C127,input_425104!A:H,8,FALSE))</f>
        <v>45.828440000000001</v>
      </c>
      <c r="P127" s="46">
        <f t="shared" ca="1" si="5"/>
        <v>1.6848691174426438E-5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input_425104!A$2</f>
        <v>425104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IFERROR(VLOOKUP(B128,input_425104!L:R,7,FALSE),VLOOKUP(tables_425104!C128,input_425104!A:H,8,FALSE))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input_425104!A$2</f>
        <v>425104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IFERROR(VLOOKUP(B129,input_425104!L:R,7,FALSE),VLOOKUP(tables_425104!C129,input_425104!A:H,8,FALSE))</f>
        <v>15137.76131</v>
      </c>
      <c r="P129" s="46">
        <f t="shared" ca="1" si="5"/>
        <v>5.565353422118907E-3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input_425104!A$2</f>
        <v>425104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IFERROR(VLOOKUP(B130,input_425104!L:R,7,FALSE),VLOOKUP(tables_425104!C130,input_425104!A:H,8,FALSE))</f>
        <v>45.828440000000001</v>
      </c>
      <c r="P130" s="46">
        <f t="shared" ref="P130:P193" ca="1" si="9">O130/SUM(O:O)</f>
        <v>1.6848691174426438E-5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input_425104!A$2</f>
        <v>425104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IFERROR(VLOOKUP(B131,input_425104!L:R,7,FALSE),VLOOKUP(tables_425104!C131,input_425104!A:H,8,FALSE))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input_425104!A$2</f>
        <v>425104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IFERROR(VLOOKUP(B132,input_425104!L:R,7,FALSE),VLOOKUP(tables_425104!C132,input_425104!A:H,8,FALSE))</f>
        <v>15137.76131</v>
      </c>
      <c r="P132" s="46">
        <f t="shared" ca="1" si="9"/>
        <v>5.565353422118907E-3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input_425104!A$2</f>
        <v>425104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IFERROR(VLOOKUP(B133,input_425104!L:R,7,FALSE),VLOOKUP(tables_425104!C133,input_425104!A:H,8,FALSE))</f>
        <v>45.828440000000001</v>
      </c>
      <c r="P133" s="46">
        <f t="shared" ca="1" si="9"/>
        <v>1.6848691174426438E-5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input_425104!A$2</f>
        <v>425104</v>
      </c>
      <c r="B134" s="6">
        <v>259</v>
      </c>
      <c r="C134" s="7" t="str">
        <f t="shared" si="8"/>
        <v>Premium3color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IFERROR(VLOOKUP(B134,input_425104!L:R,7,FALSE),VLOOKUP(tables_425104!C134,input_425104!A:H,8,FALSE))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input_425104!A$2</f>
        <v>425104</v>
      </c>
      <c r="B135" s="8">
        <v>260</v>
      </c>
      <c r="C135" s="7" t="str">
        <f t="shared" si="8"/>
        <v>Premium4color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IFERROR(VLOOKUP(B135,input_425104!L:R,7,FALSE),VLOOKUP(tables_425104!C135,input_425104!A:H,8,FALSE))</f>
        <v>68508.623779999994</v>
      </c>
      <c r="P135" s="46">
        <f t="shared" ca="1" si="9"/>
        <v>2.5186994033708918E-2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input_425104!A$2</f>
        <v>425104</v>
      </c>
      <c r="B136" s="8">
        <v>261</v>
      </c>
      <c r="C136" s="7" t="str">
        <f t="shared" si="8"/>
        <v>Premium5color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IFERROR(VLOOKUP(B136,input_425104!L:R,7,FALSE),VLOOKUP(tables_425104!C136,input_425104!A:H,8,FALSE))</f>
        <v>1370.64895</v>
      </c>
      <c r="P136" s="46">
        <f t="shared" ca="1" si="9"/>
        <v>5.039150550859219E-4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input_425104!A$2</f>
        <v>425104</v>
      </c>
      <c r="B137" s="6">
        <v>320</v>
      </c>
      <c r="C137" s="7" t="str">
        <f t="shared" si="8"/>
        <v>PremiumSS4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IFERROR(VLOOKUP(B137,input_425104!L:R,7,FALSE),VLOOKUP(tables_425104!C137,input_425104!A:H,8,FALSE))</f>
        <v>1292</v>
      </c>
      <c r="P137" s="46">
        <f t="shared" ca="1" si="9"/>
        <v>4.7499999994237113E-4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input_425104!A$2</f>
        <v>425104</v>
      </c>
      <c r="B138" s="6">
        <v>321</v>
      </c>
      <c r="C138" s="7" t="str">
        <f t="shared" si="8"/>
        <v>PremiumSS5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IFERROR(VLOOKUP(B138,input_425104!L:R,7,FALSE),VLOOKUP(tables_425104!C138,input_425104!A:H,8,FALSE))</f>
        <v>68</v>
      </c>
      <c r="P138" s="46">
        <f t="shared" ca="1" si="9"/>
        <v>2.4999999996966902E-5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input_425104!A$2</f>
        <v>425104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IFERROR(VLOOKUP(B139,input_425104!L:R,7,FALSE),VLOOKUP(tables_425104!C139,input_425104!A:H,8,FALSE))</f>
        <v>1292</v>
      </c>
      <c r="P139" s="46">
        <f t="shared" ca="1" si="9"/>
        <v>4.7499999994237113E-4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input_425104!A$2</f>
        <v>425104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IFERROR(VLOOKUP(B140,input_425104!L:R,7,FALSE),VLOOKUP(tables_425104!C140,input_425104!A:H,8,FALSE))</f>
        <v>68</v>
      </c>
      <c r="P140" s="46">
        <f t="shared" ca="1" si="9"/>
        <v>2.4999999996966902E-5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input_425104!A$2</f>
        <v>425104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IFERROR(VLOOKUP(B141,input_425104!L:R,7,FALSE),VLOOKUP(tables_425104!C141,input_425104!A:H,8,FALSE))</f>
        <v>1292</v>
      </c>
      <c r="P141" s="46">
        <f t="shared" ca="1" si="9"/>
        <v>4.7499999994237113E-4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input_425104!A$2</f>
        <v>425104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IFERROR(VLOOKUP(B142,input_425104!L:R,7,FALSE),VLOOKUP(tables_425104!C142,input_425104!A:H,8,FALSE))</f>
        <v>68</v>
      </c>
      <c r="P142" s="46">
        <f t="shared" ca="1" si="9"/>
        <v>2.4999999996966902E-5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input_425104!A$2</f>
        <v>425104</v>
      </c>
      <c r="B143" s="6">
        <v>326</v>
      </c>
      <c r="C143" s="7" t="str">
        <f t="shared" si="8"/>
        <v>PremiumSS4color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IFERROR(VLOOKUP(B143,input_425104!L:R,7,FALSE),VLOOKUP(tables_425104!C143,input_425104!A:H,8,FALSE))</f>
        <v>5537.1428599999999</v>
      </c>
      <c r="P143" s="46">
        <f t="shared" ca="1" si="9"/>
        <v>2.035714286517725E-3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input_425104!A$2</f>
        <v>425104</v>
      </c>
      <c r="B144" s="6">
        <v>327</v>
      </c>
      <c r="C144" s="7" t="str">
        <f t="shared" si="8"/>
        <v>PremiumSS5color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IFERROR(VLOOKUP(B144,input_425104!L:R,7,FALSE),VLOOKUP(tables_425104!C144,input_425104!A:H,8,FALSE))</f>
        <v>291.42856999999998</v>
      </c>
      <c r="P144" s="46">
        <f t="shared" ca="1" si="9"/>
        <v>1.0714285660464805E-4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input_425104!A$2</f>
        <v>425104</v>
      </c>
      <c r="B145" s="6">
        <v>380</v>
      </c>
      <c r="C145" s="7" t="str">
        <f t="shared" si="8"/>
        <v>Premium3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IFERROR(VLOOKUP(B145,input_425104!L:R,7,FALSE),VLOOKUP(tables_425104!C145,input_425104!A:H,8,FALSE))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input_425104!A$2</f>
        <v>425104</v>
      </c>
      <c r="B146" s="6">
        <v>381</v>
      </c>
      <c r="C146" s="7" t="str">
        <f t="shared" si="8"/>
        <v>Premium4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IFERROR(VLOOKUP(B146,input_425104!L:R,7,FALSE),VLOOKUP(tables_425104!C146,input_425104!A:H,8,FALSE))</f>
        <v>15137.76131</v>
      </c>
      <c r="P146" s="46">
        <f t="shared" ca="1" si="9"/>
        <v>5.565353422118907E-3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input_425104!A$2</f>
        <v>425104</v>
      </c>
      <c r="B147" s="6">
        <v>382</v>
      </c>
      <c r="C147" s="7" t="str">
        <f t="shared" si="8"/>
        <v>Premium5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IFERROR(VLOOKUP(B147,input_425104!L:R,7,FALSE),VLOOKUP(tables_425104!C147,input_425104!A:H,8,FALSE))</f>
        <v>45.828440000000001</v>
      </c>
      <c r="P147" s="46">
        <f t="shared" ca="1" si="9"/>
        <v>1.6848691174426438E-5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input_425104!A$2</f>
        <v>425104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IFERROR(VLOOKUP(B148,input_425104!L:R,7,FALSE),VLOOKUP(tables_425104!C148,input_425104!A:H,8,FALSE))</f>
        <v>1292</v>
      </c>
      <c r="P148" s="46">
        <f t="shared" ca="1" si="9"/>
        <v>4.7499999994237113E-4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input_425104!A$2</f>
        <v>425104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IFERROR(VLOOKUP(B149,input_425104!L:R,7,FALSE),VLOOKUP(tables_425104!C149,input_425104!A:H,8,FALSE))</f>
        <v>68</v>
      </c>
      <c r="P149" s="46">
        <f t="shared" ca="1" si="9"/>
        <v>2.4999999996966902E-5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input_425104!A$2</f>
        <v>425104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IFERROR(VLOOKUP(B150,input_425104!L:R,7,FALSE),VLOOKUP(tables_425104!C150,input_425104!A:H,8,FALSE))</f>
        <v>1292</v>
      </c>
      <c r="P150" s="46">
        <f t="shared" ca="1" si="9"/>
        <v>4.7499999994237113E-4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input_425104!A$2</f>
        <v>425104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IFERROR(VLOOKUP(B151,input_425104!L:R,7,FALSE),VLOOKUP(tables_425104!C151,input_425104!A:H,8,FALSE))</f>
        <v>68</v>
      </c>
      <c r="P151" s="46">
        <f t="shared" ca="1" si="9"/>
        <v>2.4999999996966902E-5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input_425104!A$2</f>
        <v>425104</v>
      </c>
      <c r="B152" s="6">
        <v>387</v>
      </c>
      <c r="C152" s="7" t="str">
        <f t="shared" si="8"/>
        <v>Premium3color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IFERROR(VLOOKUP(B152,input_425104!L:R,7,FALSE),VLOOKUP(tables_425104!C152,input_425104!A:H,8,FALSE))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input_425104!A$2</f>
        <v>425104</v>
      </c>
      <c r="B153" s="6">
        <v>388</v>
      </c>
      <c r="C153" s="7" t="str">
        <f t="shared" si="8"/>
        <v>Premium4color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IFERROR(VLOOKUP(B153,input_425104!L:R,7,FALSE),VLOOKUP(tables_425104!C153,input_425104!A:H,8,FALSE))</f>
        <v>68508.623779999994</v>
      </c>
      <c r="P153" s="46">
        <f t="shared" ca="1" si="9"/>
        <v>2.5186994033708918E-2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input_425104!A$2</f>
        <v>425104</v>
      </c>
      <c r="B154" s="6">
        <v>389</v>
      </c>
      <c r="C154" s="7" t="str">
        <f t="shared" si="8"/>
        <v>Premium5color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IFERROR(VLOOKUP(B154,input_425104!L:R,7,FALSE),VLOOKUP(tables_425104!C154,input_425104!A:H,8,FALSE))</f>
        <v>1370.64895</v>
      </c>
      <c r="P154" s="46">
        <f t="shared" ca="1" si="9"/>
        <v>5.039150550859219E-4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input_425104!A$2</f>
        <v>425104</v>
      </c>
      <c r="B155" s="6">
        <v>390</v>
      </c>
      <c r="C155" s="7" t="str">
        <f t="shared" si="8"/>
        <v>PremiumSS4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IFERROR(VLOOKUP(B155,input_425104!L:R,7,FALSE),VLOOKUP(tables_425104!C155,input_425104!A:H,8,FALSE))</f>
        <v>1292</v>
      </c>
      <c r="P155" s="46">
        <f t="shared" ca="1" si="9"/>
        <v>4.7499999994237113E-4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input_425104!A$2</f>
        <v>425104</v>
      </c>
      <c r="B156" s="6">
        <v>391</v>
      </c>
      <c r="C156" s="7" t="str">
        <f t="shared" si="8"/>
        <v>PremiumSS5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IFERROR(VLOOKUP(B156,input_425104!L:R,7,FALSE),VLOOKUP(tables_425104!C156,input_425104!A:H,8,FALSE))</f>
        <v>68</v>
      </c>
      <c r="P156" s="46">
        <f t="shared" ca="1" si="9"/>
        <v>2.4999999996966902E-5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input_425104!A$2</f>
        <v>425104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IFERROR(VLOOKUP(B157,input_425104!L:R,7,FALSE),VLOOKUP(tables_425104!C157,input_425104!A:H,8,FALSE))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input_425104!A$2</f>
        <v>425104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IFERROR(VLOOKUP(B158,input_425104!L:R,7,FALSE),VLOOKUP(tables_425104!C158,input_425104!A:H,8,FALSE))</f>
        <v>15137.76131</v>
      </c>
      <c r="P158" s="46">
        <f t="shared" ca="1" si="9"/>
        <v>5.565353422118907E-3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input_425104!A$2</f>
        <v>425104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IFERROR(VLOOKUP(B159,input_425104!L:R,7,FALSE),VLOOKUP(tables_425104!C159,input_425104!A:H,8,FALSE))</f>
        <v>45.828440000000001</v>
      </c>
      <c r="P159" s="46">
        <f t="shared" ca="1" si="9"/>
        <v>1.6848691174426438E-5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input_425104!A$2</f>
        <v>425104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IFERROR(VLOOKUP(B160,input_425104!L:R,7,FALSE),VLOOKUP(tables_425104!C160,input_425104!A:H,8,FALSE))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input_425104!A$2</f>
        <v>425104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IFERROR(VLOOKUP(B161,input_425104!L:R,7,FALSE),VLOOKUP(tables_425104!C161,input_425104!A:H,8,FALSE))</f>
        <v>15137.76131</v>
      </c>
      <c r="P161" s="46">
        <f t="shared" ca="1" si="9"/>
        <v>5.565353422118907E-3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input_425104!A$2</f>
        <v>425104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IFERROR(VLOOKUP(B162,input_425104!L:R,7,FALSE),VLOOKUP(tables_425104!C162,input_425104!A:H,8,FALSE))</f>
        <v>45.828440000000001</v>
      </c>
      <c r="P162" s="46">
        <f t="shared" ca="1" si="9"/>
        <v>1.6848691174426438E-5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input_425104!A$2</f>
        <v>425104</v>
      </c>
      <c r="B163" s="6">
        <v>398</v>
      </c>
      <c r="C163" s="7" t="str">
        <f t="shared" si="8"/>
        <v>PremiumSS4color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IFERROR(VLOOKUP(B163,input_425104!L:R,7,FALSE),VLOOKUP(tables_425104!C163,input_425104!A:H,8,FALSE))</f>
        <v>5537.1428599999999</v>
      </c>
      <c r="P163" s="46">
        <f t="shared" ca="1" si="9"/>
        <v>2.035714286517725E-3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input_425104!A$2</f>
        <v>425104</v>
      </c>
      <c r="B164" s="6">
        <v>399</v>
      </c>
      <c r="C164" s="7" t="str">
        <f t="shared" si="8"/>
        <v>PremiumSS5color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IFERROR(VLOOKUP(B164,input_425104!L:R,7,FALSE),VLOOKUP(tables_425104!C164,input_425104!A:H,8,FALSE))</f>
        <v>291.42856999999998</v>
      </c>
      <c r="P164" s="46">
        <f t="shared" ca="1" si="9"/>
        <v>1.0714285660464805E-4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input_425104!A$2</f>
        <v>425104</v>
      </c>
      <c r="B165" s="6">
        <v>400</v>
      </c>
      <c r="C165" s="7" t="str">
        <f t="shared" si="8"/>
        <v>Premium3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IFERROR(VLOOKUP(B165,input_425104!L:R,7,FALSE),VLOOKUP(tables_425104!C165,input_425104!A:H,8,FALSE))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input_425104!A$2</f>
        <v>425104</v>
      </c>
      <c r="B166" s="6">
        <v>401</v>
      </c>
      <c r="C166" s="7" t="str">
        <f t="shared" si="8"/>
        <v>Premium4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IFERROR(VLOOKUP(B166,input_425104!L:R,7,FALSE),VLOOKUP(tables_425104!C166,input_425104!A:H,8,FALSE))</f>
        <v>15137.76131</v>
      </c>
      <c r="P166" s="46">
        <f t="shared" ca="1" si="9"/>
        <v>5.565353422118907E-3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input_425104!A$2</f>
        <v>425104</v>
      </c>
      <c r="B167" s="6">
        <v>402</v>
      </c>
      <c r="C167" s="7" t="str">
        <f t="shared" si="8"/>
        <v>Premium5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IFERROR(VLOOKUP(B167,input_425104!L:R,7,FALSE),VLOOKUP(tables_425104!C167,input_425104!A:H,8,FALSE))</f>
        <v>45.828440000000001</v>
      </c>
      <c r="P167" s="46">
        <f t="shared" ca="1" si="9"/>
        <v>1.6848691174426438E-5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input_425104!A$2</f>
        <v>425104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IFERROR(VLOOKUP(B168,input_425104!L:R,7,FALSE),VLOOKUP(tables_425104!C168,input_425104!A:H,8,FALSE))</f>
        <v>1292</v>
      </c>
      <c r="P168" s="46">
        <f t="shared" ca="1" si="9"/>
        <v>4.7499999994237113E-4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input_425104!A$2</f>
        <v>425104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IFERROR(VLOOKUP(B169,input_425104!L:R,7,FALSE),VLOOKUP(tables_425104!C169,input_425104!A:H,8,FALSE))</f>
        <v>68</v>
      </c>
      <c r="P169" s="46">
        <f t="shared" ca="1" si="9"/>
        <v>2.4999999996966902E-5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input_425104!A$2</f>
        <v>425104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IFERROR(VLOOKUP(B170,input_425104!L:R,7,FALSE),VLOOKUP(tables_425104!C170,input_425104!A:H,8,FALSE))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input_425104!A$2</f>
        <v>425104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IFERROR(VLOOKUP(B171,input_425104!L:R,7,FALSE),VLOOKUP(tables_425104!C171,input_425104!A:H,8,FALSE))</f>
        <v>15137.76131</v>
      </c>
      <c r="P171" s="46">
        <f t="shared" ca="1" si="9"/>
        <v>5.565353422118907E-3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input_425104!A$2</f>
        <v>425104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IFERROR(VLOOKUP(B172,input_425104!L:R,7,FALSE),VLOOKUP(tables_425104!C172,input_425104!A:H,8,FALSE))</f>
        <v>45.828440000000001</v>
      </c>
      <c r="P172" s="46">
        <f t="shared" ca="1" si="9"/>
        <v>1.6848691174426438E-5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input_425104!A$2</f>
        <v>425104</v>
      </c>
      <c r="B173" s="6">
        <v>408</v>
      </c>
      <c r="C173" s="7" t="str">
        <f t="shared" si="8"/>
        <v>PremiumSS4color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IFERROR(VLOOKUP(B173,input_425104!L:R,7,FALSE),VLOOKUP(tables_425104!C173,input_425104!A:H,8,FALSE))</f>
        <v>5537.1428599999999</v>
      </c>
      <c r="P173" s="46">
        <f t="shared" ca="1" si="9"/>
        <v>2.035714286517725E-3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input_425104!A$2</f>
        <v>425104</v>
      </c>
      <c r="B174" s="6">
        <v>409</v>
      </c>
      <c r="C174" s="7" t="str">
        <f t="shared" si="8"/>
        <v>PremiumSS5color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IFERROR(VLOOKUP(B174,input_425104!L:R,7,FALSE),VLOOKUP(tables_425104!C174,input_425104!A:H,8,FALSE))</f>
        <v>291.42856999999998</v>
      </c>
      <c r="P174" s="46">
        <f t="shared" ca="1" si="9"/>
        <v>1.0714285660464805E-4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input_425104!A$2</f>
        <v>425104</v>
      </c>
      <c r="B175" s="6">
        <v>434</v>
      </c>
      <c r="C175" s="7" t="str">
        <f t="shared" si="8"/>
        <v>PremiumSS4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IFERROR(VLOOKUP(B175,input_425104!L:R,7,FALSE),VLOOKUP(tables_425104!C175,input_425104!A:H,8,FALSE))</f>
        <v>1292</v>
      </c>
      <c r="P175" s="46">
        <f t="shared" ca="1" si="9"/>
        <v>4.7499999994237113E-4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input_425104!A$2</f>
        <v>425104</v>
      </c>
      <c r="B176" s="6">
        <v>435</v>
      </c>
      <c r="C176" s="7" t="str">
        <f t="shared" si="8"/>
        <v>PremiumSS5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IFERROR(VLOOKUP(B176,input_425104!L:R,7,FALSE),VLOOKUP(tables_425104!C176,input_425104!A:H,8,FALSE))</f>
        <v>68</v>
      </c>
      <c r="P176" s="46">
        <f t="shared" ca="1" si="9"/>
        <v>2.4999999996966902E-5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input_425104!A$2</f>
        <v>425104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IFERROR(VLOOKUP(B177,input_425104!L:R,7,FALSE),VLOOKUP(tables_425104!C177,input_425104!A:H,8,FALSE))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input_425104!A$2</f>
        <v>425104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IFERROR(VLOOKUP(B178,input_425104!L:R,7,FALSE),VLOOKUP(tables_425104!C178,input_425104!A:H,8,FALSE))</f>
        <v>15137.76131</v>
      </c>
      <c r="P178" s="46">
        <f t="shared" ca="1" si="9"/>
        <v>5.565353422118907E-3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input_425104!A$2</f>
        <v>425104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IFERROR(VLOOKUP(B179,input_425104!L:R,7,FALSE),VLOOKUP(tables_425104!C179,input_425104!A:H,8,FALSE))</f>
        <v>45.828440000000001</v>
      </c>
      <c r="P179" s="46">
        <f t="shared" ca="1" si="9"/>
        <v>1.6848691174426438E-5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input_425104!A$2</f>
        <v>425104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IFERROR(VLOOKUP(B180,input_425104!L:R,7,FALSE),VLOOKUP(tables_425104!C180,input_425104!A:H,8,FALSE))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input_425104!A$2</f>
        <v>425104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IFERROR(VLOOKUP(B181,input_425104!L:R,7,FALSE),VLOOKUP(tables_425104!C181,input_425104!A:H,8,FALSE))</f>
        <v>15137.76131</v>
      </c>
      <c r="P181" s="46">
        <f t="shared" ca="1" si="9"/>
        <v>5.565353422118907E-3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input_425104!A$2</f>
        <v>425104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IFERROR(VLOOKUP(B182,input_425104!L:R,7,FALSE),VLOOKUP(tables_425104!C182,input_425104!A:H,8,FALSE))</f>
        <v>45.828440000000001</v>
      </c>
      <c r="P182" s="46">
        <f t="shared" ca="1" si="9"/>
        <v>1.6848691174426438E-5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input_425104!A$2</f>
        <v>425104</v>
      </c>
      <c r="B183" s="6">
        <v>442</v>
      </c>
      <c r="C183" s="7" t="str">
        <f t="shared" si="8"/>
        <v>PremiumSS4color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IFERROR(VLOOKUP(B183,input_425104!L:R,7,FALSE),VLOOKUP(tables_425104!C183,input_425104!A:H,8,FALSE))</f>
        <v>5537.1428599999999</v>
      </c>
      <c r="P183" s="46">
        <f t="shared" ca="1" si="9"/>
        <v>2.035714286517725E-3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input_425104!A$2</f>
        <v>425104</v>
      </c>
      <c r="B184" s="6">
        <v>443</v>
      </c>
      <c r="C184" s="7" t="str">
        <f t="shared" si="8"/>
        <v>PremiumSS5color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IFERROR(VLOOKUP(B184,input_425104!L:R,7,FALSE),VLOOKUP(tables_425104!C184,input_425104!A:H,8,FALSE))</f>
        <v>291.42856999999998</v>
      </c>
      <c r="P184" s="46">
        <f t="shared" ca="1" si="9"/>
        <v>1.0714285660464805E-4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input_425104!A$2</f>
        <v>425104</v>
      </c>
      <c r="B185" s="8">
        <v>462</v>
      </c>
      <c r="C185" s="7" t="str">
        <f t="shared" si="8"/>
        <v>Premium3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IFERROR(VLOOKUP(B185,input_425104!L:R,7,FALSE),VLOOKUP(tables_425104!C185,input_425104!A:H,8,FALSE))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input_425104!A$2</f>
        <v>425104</v>
      </c>
      <c r="B186" s="8">
        <v>463</v>
      </c>
      <c r="C186" s="7" t="str">
        <f t="shared" si="8"/>
        <v>Premium4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IFERROR(VLOOKUP(B186,input_425104!L:R,7,FALSE),VLOOKUP(tables_425104!C186,input_425104!A:H,8,FALSE))</f>
        <v>15137.76131</v>
      </c>
      <c r="P186" s="46">
        <f t="shared" ca="1" si="9"/>
        <v>5.565353422118907E-3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input_425104!A$2</f>
        <v>425104</v>
      </c>
      <c r="B187" s="8">
        <v>464</v>
      </c>
      <c r="C187" s="7" t="str">
        <f t="shared" si="8"/>
        <v>Premium5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IFERROR(VLOOKUP(B187,input_425104!L:R,7,FALSE),VLOOKUP(tables_425104!C187,input_425104!A:H,8,FALSE))</f>
        <v>45.828440000000001</v>
      </c>
      <c r="P187" s="46">
        <f t="shared" ca="1" si="9"/>
        <v>1.6848691174426438E-5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input_425104!A$2</f>
        <v>425104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IFERROR(VLOOKUP(B188,input_425104!L:R,7,FALSE),VLOOKUP(tables_425104!C188,input_425104!A:H,8,FALSE))</f>
        <v>1292</v>
      </c>
      <c r="P188" s="46">
        <f t="shared" ca="1" si="9"/>
        <v>4.7499999994237113E-4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input_425104!A$2</f>
        <v>425104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IFERROR(VLOOKUP(B189,input_425104!L:R,7,FALSE),VLOOKUP(tables_425104!C189,input_425104!A:H,8,FALSE))</f>
        <v>68</v>
      </c>
      <c r="P189" s="46">
        <f t="shared" ca="1" si="9"/>
        <v>2.4999999996966902E-5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input_425104!A$2</f>
        <v>425104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IFERROR(VLOOKUP(B190,input_425104!L:R,7,FALSE),VLOOKUP(tables_425104!C190,input_425104!A:H,8,FALSE))</f>
        <v>1292</v>
      </c>
      <c r="P190" s="46">
        <f t="shared" ca="1" si="9"/>
        <v>4.7499999994237113E-4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input_425104!A$2</f>
        <v>425104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IFERROR(VLOOKUP(B191,input_425104!L:R,7,FALSE),VLOOKUP(tables_425104!C191,input_425104!A:H,8,FALSE))</f>
        <v>68</v>
      </c>
      <c r="P191" s="46">
        <f t="shared" ca="1" si="9"/>
        <v>2.4999999996966902E-5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input_425104!A$2</f>
        <v>425104</v>
      </c>
      <c r="B192" s="6">
        <v>469</v>
      </c>
      <c r="C192" s="7" t="str">
        <f t="shared" si="8"/>
        <v>Premium3color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IFERROR(VLOOKUP(B192,input_425104!L:R,7,FALSE),VLOOKUP(tables_425104!C192,input_425104!A:H,8,FALSE))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input_425104!A$2</f>
        <v>425104</v>
      </c>
      <c r="B193" s="6">
        <v>470</v>
      </c>
      <c r="C193" s="7" t="str">
        <f t="shared" si="8"/>
        <v>Premium4color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IFERROR(VLOOKUP(B193,input_425104!L:R,7,FALSE),VLOOKUP(tables_425104!C193,input_425104!A:H,8,FALSE))</f>
        <v>68508.623779999994</v>
      </c>
      <c r="P193" s="46">
        <f t="shared" ca="1" si="9"/>
        <v>2.5186994033708918E-2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input_425104!A$2</f>
        <v>425104</v>
      </c>
      <c r="B194" s="6">
        <v>471</v>
      </c>
      <c r="C194" s="7" t="str">
        <f t="shared" ref="C194:C257" si="12">D194&amp;J194&amp;E194&amp;F194&amp;G194</f>
        <v>Premium5color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IFERROR(VLOOKUP(B194,input_425104!L:R,7,FALSE),VLOOKUP(tables_425104!C194,input_425104!A:H,8,FALSE))</f>
        <v>1370.64895</v>
      </c>
      <c r="P194" s="46">
        <f t="shared" ref="P194:P257" ca="1" si="13">O194/SUM(O:O)</f>
        <v>5.039150550859219E-4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input_425104!A$2</f>
        <v>425104</v>
      </c>
      <c r="B195" s="6">
        <v>474</v>
      </c>
      <c r="C195" s="7" t="str">
        <f t="shared" si="12"/>
        <v>PremiumSS4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/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IFERROR(VLOOKUP(B195,input_425104!L:R,7,FALSE),VLOOKUP(tables_425104!C195,input_425104!A:H,8,FALSE))</f>
        <v>1292</v>
      </c>
      <c r="P195" s="46">
        <f t="shared" ca="1" si="13"/>
        <v>4.7499999994237113E-4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input_425104!A$2</f>
        <v>425104</v>
      </c>
      <c r="B196" s="6">
        <v>475</v>
      </c>
      <c r="C196" s="7" t="str">
        <f t="shared" si="12"/>
        <v>PremiumSS5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IFERROR(VLOOKUP(B196,input_425104!L:R,7,FALSE),VLOOKUP(tables_425104!C196,input_425104!A:H,8,FALSE))</f>
        <v>68</v>
      </c>
      <c r="P196" s="46">
        <f t="shared" ca="1" si="13"/>
        <v>2.4999999996966902E-5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input_425104!A$2</f>
        <v>425104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IFERROR(VLOOKUP(B197,input_425104!L:R,7,FALSE),VLOOKUP(tables_425104!C197,input_425104!A:H,8,FALSE))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input_425104!A$2</f>
        <v>425104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IFERROR(VLOOKUP(B198,input_425104!L:R,7,FALSE),VLOOKUP(tables_425104!C198,input_425104!A:H,8,FALSE))</f>
        <v>15137.76131</v>
      </c>
      <c r="P198" s="46">
        <f t="shared" ca="1" si="13"/>
        <v>5.565353422118907E-3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input_425104!A$2</f>
        <v>425104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IFERROR(VLOOKUP(B199,input_425104!L:R,7,FALSE),VLOOKUP(tables_425104!C199,input_425104!A:H,8,FALSE))</f>
        <v>45.828440000000001</v>
      </c>
      <c r="P199" s="46">
        <f t="shared" ca="1" si="13"/>
        <v>1.6848691174426438E-5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input_425104!A$2</f>
        <v>425104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IFERROR(VLOOKUP(B200,input_425104!L:R,7,FALSE),VLOOKUP(tables_425104!C200,input_425104!A:H,8,FALSE))</f>
        <v>1292</v>
      </c>
      <c r="P200" s="46">
        <f t="shared" ca="1" si="13"/>
        <v>4.7499999994237113E-4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input_425104!A$2</f>
        <v>425104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IFERROR(VLOOKUP(B201,input_425104!L:R,7,FALSE),VLOOKUP(tables_425104!C201,input_425104!A:H,8,FALSE))</f>
        <v>68</v>
      </c>
      <c r="P201" s="46">
        <f t="shared" ca="1" si="13"/>
        <v>2.4999999996966902E-5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input_425104!A$2</f>
        <v>425104</v>
      </c>
      <c r="B202" s="6">
        <v>481</v>
      </c>
      <c r="C202" s="7" t="str">
        <f t="shared" si="12"/>
        <v>Premium3color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IFERROR(VLOOKUP(B202,input_425104!L:R,7,FALSE),VLOOKUP(tables_425104!C202,input_425104!A:H,8,FALSE))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input_425104!A$2</f>
        <v>425104</v>
      </c>
      <c r="B203" s="6">
        <v>482</v>
      </c>
      <c r="C203" s="7" t="str">
        <f t="shared" si="12"/>
        <v>Premium4color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IFERROR(VLOOKUP(B203,input_425104!L:R,7,FALSE),VLOOKUP(tables_425104!C203,input_425104!A:H,8,FALSE))</f>
        <v>68508.623779999994</v>
      </c>
      <c r="P203" s="46">
        <f t="shared" ca="1" si="13"/>
        <v>2.5186994033708918E-2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input_425104!A$2</f>
        <v>425104</v>
      </c>
      <c r="B204" s="6">
        <v>483</v>
      </c>
      <c r="C204" s="7" t="str">
        <f t="shared" si="12"/>
        <v>Premium5color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IFERROR(VLOOKUP(B204,input_425104!L:R,7,FALSE),VLOOKUP(tables_425104!C204,input_425104!A:H,8,FALSE))</f>
        <v>1370.64895</v>
      </c>
      <c r="P204" s="46">
        <f t="shared" ca="1" si="13"/>
        <v>5.039150550859219E-4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input_425104!A$2</f>
        <v>425104</v>
      </c>
      <c r="B205" s="6">
        <v>492</v>
      </c>
      <c r="C205" s="7" t="str">
        <f t="shared" si="12"/>
        <v>PremiumSS4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IFERROR(VLOOKUP(B205,input_425104!L:R,7,FALSE),VLOOKUP(tables_425104!C205,input_425104!A:H,8,FALSE))</f>
        <v>1292</v>
      </c>
      <c r="P205" s="46">
        <f t="shared" ca="1" si="13"/>
        <v>4.7499999994237113E-4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input_425104!A$2</f>
        <v>425104</v>
      </c>
      <c r="B206" s="6">
        <v>493</v>
      </c>
      <c r="C206" s="7" t="str">
        <f t="shared" si="12"/>
        <v>PremiumSS5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IFERROR(VLOOKUP(B206,input_425104!L:R,7,FALSE),VLOOKUP(tables_425104!C206,input_425104!A:H,8,FALSE))</f>
        <v>68</v>
      </c>
      <c r="P206" s="46">
        <f t="shared" ca="1" si="13"/>
        <v>2.4999999996966902E-5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input_425104!A$2</f>
        <v>425104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IFERROR(VLOOKUP(B207,input_425104!L:R,7,FALSE),VLOOKUP(tables_425104!C207,input_425104!A:H,8,FALSE))</f>
        <v>1292</v>
      </c>
      <c r="P207" s="46">
        <f t="shared" ca="1" si="13"/>
        <v>4.7499999994237113E-4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input_425104!A$2</f>
        <v>425104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IFERROR(VLOOKUP(B208,input_425104!L:R,7,FALSE),VLOOKUP(tables_425104!C208,input_425104!A:H,8,FALSE))</f>
        <v>68</v>
      </c>
      <c r="P208" s="46">
        <f t="shared" ca="1" si="13"/>
        <v>2.4999999996966902E-5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input_425104!A$2</f>
        <v>425104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IFERROR(VLOOKUP(B209,input_425104!L:R,7,FALSE),VLOOKUP(tables_425104!C209,input_425104!A:H,8,FALSE))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input_425104!A$2</f>
        <v>425104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IFERROR(VLOOKUP(B210,input_425104!L:R,7,FALSE),VLOOKUP(tables_425104!C210,input_425104!A:H,8,FALSE))</f>
        <v>15137.76131</v>
      </c>
      <c r="P210" s="46">
        <f t="shared" ca="1" si="13"/>
        <v>5.565353422118907E-3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input_425104!A$2</f>
        <v>425104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IFERROR(VLOOKUP(B211,input_425104!L:R,7,FALSE),VLOOKUP(tables_425104!C211,input_425104!A:H,8,FALSE))</f>
        <v>45.828440000000001</v>
      </c>
      <c r="P211" s="46">
        <f t="shared" ca="1" si="13"/>
        <v>1.6848691174426438E-5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input_425104!A$2</f>
        <v>425104</v>
      </c>
      <c r="B212" s="6">
        <v>499</v>
      </c>
      <c r="C212" s="7" t="str">
        <f t="shared" si="12"/>
        <v>PremiumSS4color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IFERROR(VLOOKUP(B212,input_425104!L:R,7,FALSE),VLOOKUP(tables_425104!C212,input_425104!A:H,8,FALSE))</f>
        <v>5537.1428599999999</v>
      </c>
      <c r="P212" s="46">
        <f t="shared" ca="1" si="13"/>
        <v>2.035714286517725E-3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input_425104!A$2</f>
        <v>425104</v>
      </c>
      <c r="B213" s="6">
        <v>500</v>
      </c>
      <c r="C213" s="7" t="str">
        <f t="shared" si="12"/>
        <v>PremiumSS5color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IFERROR(VLOOKUP(B213,input_425104!L:R,7,FALSE),VLOOKUP(tables_425104!C213,input_425104!A:H,8,FALSE))</f>
        <v>291.42856999999998</v>
      </c>
      <c r="P213" s="46">
        <f t="shared" ca="1" si="13"/>
        <v>1.0714285660464805E-4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input_425104!A$2</f>
        <v>425104</v>
      </c>
      <c r="B214" s="6">
        <v>586</v>
      </c>
      <c r="C214" s="7" t="str">
        <f t="shared" si="12"/>
        <v>PremiumSS4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IFERROR(VLOOKUP(B214,input_425104!L:R,7,FALSE),VLOOKUP(tables_425104!C214,input_425104!A:H,8,FALSE))</f>
        <v>1292</v>
      </c>
      <c r="P214" s="46">
        <f t="shared" ca="1" si="13"/>
        <v>4.7499999994237113E-4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input_425104!A$2</f>
        <v>425104</v>
      </c>
      <c r="B215" s="6">
        <v>587</v>
      </c>
      <c r="C215" s="7" t="str">
        <f t="shared" si="12"/>
        <v>PremiumSS5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IFERROR(VLOOKUP(B215,input_425104!L:R,7,FALSE),VLOOKUP(tables_425104!C215,input_425104!A:H,8,FALSE))</f>
        <v>68</v>
      </c>
      <c r="P215" s="46">
        <f t="shared" ca="1" si="13"/>
        <v>2.4999999996966902E-5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input_425104!A$2</f>
        <v>425104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IFERROR(VLOOKUP(B216,input_425104!L:R,7,FALSE),VLOOKUP(tables_425104!C216,input_425104!A:H,8,FALSE))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input_425104!A$2</f>
        <v>425104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IFERROR(VLOOKUP(B217,input_425104!L:R,7,FALSE),VLOOKUP(tables_425104!C217,input_425104!A:H,8,FALSE))</f>
        <v>15137.76131</v>
      </c>
      <c r="P217" s="46">
        <f t="shared" ca="1" si="13"/>
        <v>5.565353422118907E-3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input_425104!A$2</f>
        <v>425104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IFERROR(VLOOKUP(B218,input_425104!L:R,7,FALSE),VLOOKUP(tables_425104!C218,input_425104!A:H,8,FALSE))</f>
        <v>45.828440000000001</v>
      </c>
      <c r="P218" s="46">
        <f t="shared" ca="1" si="13"/>
        <v>1.6848691174426438E-5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input_425104!A$2</f>
        <v>425104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IFERROR(VLOOKUP(B219,input_425104!L:R,7,FALSE),VLOOKUP(tables_425104!C219,input_425104!A:H,8,FALSE))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input_425104!A$2</f>
        <v>425104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IFERROR(VLOOKUP(B220,input_425104!L:R,7,FALSE),VLOOKUP(tables_425104!C220,input_425104!A:H,8,FALSE))</f>
        <v>15137.76131</v>
      </c>
      <c r="P220" s="46">
        <f t="shared" ca="1" si="13"/>
        <v>5.565353422118907E-3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input_425104!A$2</f>
        <v>425104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IFERROR(VLOOKUP(B221,input_425104!L:R,7,FALSE),VLOOKUP(tables_425104!C221,input_425104!A:H,8,FALSE))</f>
        <v>45.828440000000001</v>
      </c>
      <c r="P221" s="46">
        <f t="shared" ca="1" si="13"/>
        <v>1.6848691174426438E-5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input_425104!A$2</f>
        <v>425104</v>
      </c>
      <c r="B222" s="6">
        <v>594</v>
      </c>
      <c r="C222" s="7" t="str">
        <f t="shared" si="12"/>
        <v>PremiumSS4color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IFERROR(VLOOKUP(B222,input_425104!L:R,7,FALSE),VLOOKUP(tables_425104!C222,input_425104!A:H,8,FALSE))</f>
        <v>5537.1428599999999</v>
      </c>
      <c r="P222" s="46">
        <f t="shared" ca="1" si="13"/>
        <v>2.035714286517725E-3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input_425104!A$2</f>
        <v>425104</v>
      </c>
      <c r="B223" s="6">
        <v>595</v>
      </c>
      <c r="C223" s="7" t="str">
        <f t="shared" si="12"/>
        <v>PremiumSS5color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IFERROR(VLOOKUP(B223,input_425104!L:R,7,FALSE),VLOOKUP(tables_425104!C223,input_425104!A:H,8,FALSE))</f>
        <v>291.42856999999998</v>
      </c>
      <c r="P223" s="46">
        <f t="shared" ca="1" si="13"/>
        <v>1.0714285660464805E-4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input_425104!A$2</f>
        <v>425104</v>
      </c>
      <c r="B224" s="6">
        <v>596</v>
      </c>
      <c r="C224" s="7" t="str">
        <f t="shared" si="12"/>
        <v>Premium3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IFERROR(VLOOKUP(B224,input_425104!L:R,7,FALSE),VLOOKUP(tables_425104!C224,input_425104!A:H,8,FALSE))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input_425104!A$2</f>
        <v>425104</v>
      </c>
      <c r="B225" s="6">
        <v>597</v>
      </c>
      <c r="C225" s="7" t="str">
        <f t="shared" si="12"/>
        <v>Premium4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IFERROR(VLOOKUP(B225,input_425104!L:R,7,FALSE),VLOOKUP(tables_425104!C225,input_425104!A:H,8,FALSE))</f>
        <v>15137.76131</v>
      </c>
      <c r="P225" s="46">
        <f t="shared" ca="1" si="13"/>
        <v>5.565353422118907E-3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input_425104!A$2</f>
        <v>425104</v>
      </c>
      <c r="B226" s="6">
        <v>598</v>
      </c>
      <c r="C226" s="7" t="str">
        <f t="shared" si="12"/>
        <v>Premium5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IFERROR(VLOOKUP(B226,input_425104!L:R,7,FALSE),VLOOKUP(tables_425104!C226,input_425104!A:H,8,FALSE))</f>
        <v>45.828440000000001</v>
      </c>
      <c r="P226" s="46">
        <f t="shared" ca="1" si="13"/>
        <v>1.6848691174426438E-5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input_425104!A$2</f>
        <v>425104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IFERROR(VLOOKUP(B227,input_425104!L:R,7,FALSE),VLOOKUP(tables_425104!C227,input_425104!A:H,8,FALSE))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input_425104!A$2</f>
        <v>425104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IFERROR(VLOOKUP(B228,input_425104!L:R,7,FALSE),VLOOKUP(tables_425104!C228,input_425104!A:H,8,FALSE))</f>
        <v>15137.76131</v>
      </c>
      <c r="P228" s="46">
        <f t="shared" ca="1" si="13"/>
        <v>5.565353422118907E-3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input_425104!A$2</f>
        <v>425104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IFERROR(VLOOKUP(B229,input_425104!L:R,7,FALSE),VLOOKUP(tables_425104!C229,input_425104!A:H,8,FALSE))</f>
        <v>45.828440000000001</v>
      </c>
      <c r="P229" s="46">
        <f t="shared" ca="1" si="13"/>
        <v>1.6848691174426438E-5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input_425104!A$2</f>
        <v>425104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IFERROR(VLOOKUP(B230,input_425104!L:R,7,FALSE),VLOOKUP(tables_425104!C230,input_425104!A:H,8,FALSE))</f>
        <v>1292</v>
      </c>
      <c r="P230" s="46">
        <f t="shared" ca="1" si="13"/>
        <v>4.7499999994237113E-4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input_425104!A$2</f>
        <v>425104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IFERROR(VLOOKUP(B231,input_425104!L:R,7,FALSE),VLOOKUP(tables_425104!C231,input_425104!A:H,8,FALSE))</f>
        <v>68</v>
      </c>
      <c r="P231" s="46">
        <f t="shared" ca="1" si="13"/>
        <v>2.4999999996966902E-5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input_425104!A$2</f>
        <v>425104</v>
      </c>
      <c r="B232" s="6">
        <v>604</v>
      </c>
      <c r="C232" s="7" t="str">
        <f t="shared" si="12"/>
        <v>Premium3color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IFERROR(VLOOKUP(B232,input_425104!L:R,7,FALSE),VLOOKUP(tables_425104!C232,input_425104!A:H,8,FALSE))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input_425104!A$2</f>
        <v>425104</v>
      </c>
      <c r="B233" s="6">
        <v>605</v>
      </c>
      <c r="C233" s="7" t="str">
        <f t="shared" si="12"/>
        <v>Premium4color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IFERROR(VLOOKUP(B233,input_425104!L:R,7,FALSE),VLOOKUP(tables_425104!C233,input_425104!A:H,8,FALSE))</f>
        <v>68508.623779999994</v>
      </c>
      <c r="P233" s="46">
        <f t="shared" ca="1" si="13"/>
        <v>2.5186994033708918E-2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input_425104!A$2</f>
        <v>425104</v>
      </c>
      <c r="B234" s="6">
        <v>606</v>
      </c>
      <c r="C234" s="7" t="str">
        <f t="shared" si="12"/>
        <v>Premium5color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IFERROR(VLOOKUP(B234,input_425104!L:R,7,FALSE),VLOOKUP(tables_425104!C234,input_425104!A:H,8,FALSE))</f>
        <v>1370.64895</v>
      </c>
      <c r="P234" s="46">
        <f t="shared" ca="1" si="13"/>
        <v>5.039150550859219E-4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input_425104!A$2</f>
        <v>425104</v>
      </c>
      <c r="B235" s="6">
        <v>658</v>
      </c>
      <c r="C235" s="7" t="str">
        <f t="shared" si="12"/>
        <v>PremiumSS4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IFERROR(VLOOKUP(B235,input_425104!L:R,7,FALSE),VLOOKUP(tables_425104!C235,input_425104!A:H,8,FALSE))</f>
        <v>1292</v>
      </c>
      <c r="P235" s="46">
        <f t="shared" ca="1" si="13"/>
        <v>4.7499999994237113E-4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input_425104!A$2</f>
        <v>425104</v>
      </c>
      <c r="B236" s="6">
        <v>659</v>
      </c>
      <c r="C236" s="7" t="str">
        <f t="shared" si="12"/>
        <v>PremiumSS5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IFERROR(VLOOKUP(B236,input_425104!L:R,7,FALSE),VLOOKUP(tables_425104!C236,input_425104!A:H,8,FALSE))</f>
        <v>68</v>
      </c>
      <c r="P236" s="46">
        <f t="shared" ca="1" si="13"/>
        <v>2.4999999996966902E-5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input_425104!A$2</f>
        <v>425104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IFERROR(VLOOKUP(B237,input_425104!L:R,7,FALSE),VLOOKUP(tables_425104!C237,input_425104!A:H,8,FALSE))</f>
        <v>1292</v>
      </c>
      <c r="P237" s="46">
        <f t="shared" ca="1" si="13"/>
        <v>4.7499999994237113E-4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input_425104!A$2</f>
        <v>425104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IFERROR(VLOOKUP(B238,input_425104!L:R,7,FALSE),VLOOKUP(tables_425104!C238,input_425104!A:H,8,FALSE))</f>
        <v>68</v>
      </c>
      <c r="P238" s="46">
        <f t="shared" ca="1" si="13"/>
        <v>2.4999999996966902E-5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input_425104!A$2</f>
        <v>425104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IFERROR(VLOOKUP(B239,input_425104!L:R,7,FALSE),VLOOKUP(tables_425104!C239,input_425104!A:H,8,FALSE))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input_425104!A$2</f>
        <v>425104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IFERROR(VLOOKUP(B240,input_425104!L:R,7,FALSE),VLOOKUP(tables_425104!C240,input_425104!A:H,8,FALSE))</f>
        <v>15137.76131</v>
      </c>
      <c r="P240" s="46">
        <f t="shared" ca="1" si="13"/>
        <v>5.565353422118907E-3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input_425104!A$2</f>
        <v>425104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IFERROR(VLOOKUP(B241,input_425104!L:R,7,FALSE),VLOOKUP(tables_425104!C241,input_425104!A:H,8,FALSE))</f>
        <v>45.828440000000001</v>
      </c>
      <c r="P241" s="46">
        <f t="shared" ca="1" si="13"/>
        <v>1.6848691174426438E-5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input_425104!A$2</f>
        <v>425104</v>
      </c>
      <c r="B242" s="6">
        <v>665</v>
      </c>
      <c r="C242" s="7" t="str">
        <f t="shared" si="12"/>
        <v>Premium3color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IFERROR(VLOOKUP(B242,input_425104!L:R,7,FALSE),VLOOKUP(tables_425104!C242,input_425104!A:H,8,FALSE))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input_425104!A$2</f>
        <v>425104</v>
      </c>
      <c r="B243" s="6">
        <v>666</v>
      </c>
      <c r="C243" s="7" t="str">
        <f t="shared" si="12"/>
        <v>Premium4color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IFERROR(VLOOKUP(B243,input_425104!L:R,7,FALSE),VLOOKUP(tables_425104!C243,input_425104!A:H,8,FALSE))</f>
        <v>68508.623779999994</v>
      </c>
      <c r="P243" s="46">
        <f t="shared" ca="1" si="13"/>
        <v>2.5186994033708918E-2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input_425104!A$2</f>
        <v>425104</v>
      </c>
      <c r="B244" s="6">
        <v>667</v>
      </c>
      <c r="C244" s="7" t="str">
        <f t="shared" si="12"/>
        <v>Premium5color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IFERROR(VLOOKUP(B244,input_425104!L:R,7,FALSE),VLOOKUP(tables_425104!C244,input_425104!A:H,8,FALSE))</f>
        <v>1370.64895</v>
      </c>
      <c r="P244" s="46">
        <f t="shared" ca="1" si="13"/>
        <v>5.039150550859219E-4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input_425104!A$2</f>
        <v>425104</v>
      </c>
      <c r="B245" s="60">
        <v>668</v>
      </c>
      <c r="C245" s="7" t="str">
        <f t="shared" si="12"/>
        <v>Premium3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IFERROR(VLOOKUP(B245,input_425104!L:R,7,FALSE),VLOOKUP(tables_425104!C245,input_425104!A:H,8,FALSE))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input_425104!A$2</f>
        <v>425104</v>
      </c>
      <c r="B246" s="60">
        <v>669</v>
      </c>
      <c r="C246" s="7" t="str">
        <f t="shared" si="12"/>
        <v>Premium4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IFERROR(VLOOKUP(B246,input_425104!L:R,7,FALSE),VLOOKUP(tables_425104!C246,input_425104!A:H,8,FALSE))</f>
        <v>15137.76131</v>
      </c>
      <c r="P246" s="46">
        <f t="shared" ca="1" si="13"/>
        <v>5.565353422118907E-3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input_425104!A$2</f>
        <v>425104</v>
      </c>
      <c r="B247" s="60">
        <v>670</v>
      </c>
      <c r="C247" s="7" t="str">
        <f t="shared" si="12"/>
        <v>Premium5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IFERROR(VLOOKUP(B247,input_425104!L:R,7,FALSE),VLOOKUP(tables_425104!C247,input_425104!A:H,8,FALSE))</f>
        <v>45.828440000000001</v>
      </c>
      <c r="P247" s="46">
        <f t="shared" ca="1" si="13"/>
        <v>1.6848691174426438E-5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input_425104!A$2</f>
        <v>425104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IFERROR(VLOOKUP(B248,input_425104!L:R,7,FALSE),VLOOKUP(tables_425104!C248,input_425104!A:H,8,FALSE))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input_425104!A$2</f>
        <v>425104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IFERROR(VLOOKUP(B249,input_425104!L:R,7,FALSE),VLOOKUP(tables_425104!C249,input_425104!A:H,8,FALSE))</f>
        <v>15137.76131</v>
      </c>
      <c r="P249" s="46">
        <f t="shared" ca="1" si="13"/>
        <v>5.565353422118907E-3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input_425104!A$2</f>
        <v>425104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IFERROR(VLOOKUP(B250,input_425104!L:R,7,FALSE),VLOOKUP(tables_425104!C250,input_425104!A:H,8,FALSE))</f>
        <v>45.828440000000001</v>
      </c>
      <c r="P250" s="46">
        <f t="shared" ca="1" si="13"/>
        <v>1.6848691174426438E-5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input_425104!A$2</f>
        <v>425104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IFERROR(VLOOKUP(B251,input_425104!L:R,7,FALSE),VLOOKUP(tables_425104!C251,input_425104!A:H,8,FALSE))</f>
        <v>1292</v>
      </c>
      <c r="P251" s="46">
        <f t="shared" ca="1" si="13"/>
        <v>4.7499999994237113E-4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input_425104!A$2</f>
        <v>425104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IFERROR(VLOOKUP(B252,input_425104!L:R,7,FALSE),VLOOKUP(tables_425104!C252,input_425104!A:H,8,FALSE))</f>
        <v>68</v>
      </c>
      <c r="P252" s="46">
        <f t="shared" ca="1" si="13"/>
        <v>2.4999999996966902E-5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input_425104!A$2</f>
        <v>425104</v>
      </c>
      <c r="B253" s="60">
        <v>676</v>
      </c>
      <c r="C253" s="7" t="str">
        <f t="shared" si="12"/>
        <v>PremiumSS4color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IFERROR(VLOOKUP(B253,input_425104!L:R,7,FALSE),VLOOKUP(tables_425104!C253,input_425104!A:H,8,FALSE))</f>
        <v>5537.1428599999999</v>
      </c>
      <c r="P253" s="46">
        <f t="shared" ca="1" si="13"/>
        <v>2.035714286517725E-3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input_425104!A$2</f>
        <v>425104</v>
      </c>
      <c r="B254" s="60">
        <v>677</v>
      </c>
      <c r="C254" s="7" t="str">
        <f t="shared" si="12"/>
        <v>PremiumSS5color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IFERROR(VLOOKUP(B254,input_425104!L:R,7,FALSE),VLOOKUP(tables_425104!C254,input_425104!A:H,8,FALSE))</f>
        <v>291.42856999999998</v>
      </c>
      <c r="P254" s="46">
        <f t="shared" ca="1" si="13"/>
        <v>1.0714285660464805E-4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input_425104!A$2</f>
        <v>425104</v>
      </c>
      <c r="B255" s="60">
        <v>728</v>
      </c>
      <c r="C255" s="7" t="str">
        <f t="shared" si="12"/>
        <v>Premium4R3less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IFERROR(VLOOKUP(B255,input_425104!L:R,7,FALSE),VLOOKUP(tables_425104!C255,input_425104!A:H,8,FALSE))</f>
        <v>14318.4</v>
      </c>
      <c r="P255" s="46">
        <f t="shared" ca="1" si="13"/>
        <v>5.26411764642016E-3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input_425104!A$2</f>
        <v>425104</v>
      </c>
      <c r="B256" s="60">
        <v>729</v>
      </c>
      <c r="C256" s="7" t="str">
        <f t="shared" si="12"/>
        <v>Premium5R3less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IFERROR(VLOOKUP(B256,input_425104!L:R,7,FALSE),VLOOKUP(tables_425104!C256,input_425104!A:H,8,FALSE))</f>
        <v>753.6</v>
      </c>
      <c r="P256" s="46">
        <f t="shared" ca="1" si="13"/>
        <v>2.7705882349579792E-4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input_425104!A$2</f>
        <v>425104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IFERROR(VLOOKUP(B257,input_425104!L:R,7,FALSE),VLOOKUP(tables_425104!C257,input_425104!A:H,8,FALSE))</f>
        <v>14318.4</v>
      </c>
      <c r="P257" s="46">
        <f t="shared" ca="1" si="13"/>
        <v>5.26411764642016E-3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input_425104!A$2</f>
        <v>425104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IFERROR(VLOOKUP(B258,input_425104!L:R,7,FALSE),VLOOKUP(tables_425104!C258,input_425104!A:H,8,FALSE))</f>
        <v>753.6</v>
      </c>
      <c r="P258" s="46">
        <f t="shared" ref="P258:P305" ca="1" si="17">O258/SUM(O:O)</f>
        <v>2.7705882349579792E-4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input_425104!A$2</f>
        <v>425104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9" si="19">IF(K259="yellow","color","")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IFERROR(VLOOKUP(B259,input_425104!L:R,7,FALSE),VLOOKUP(tables_425104!C259,input_425104!A:H,8,FALSE))</f>
        <v>1360</v>
      </c>
      <c r="P259" s="46">
        <f t="shared" ca="1" si="17"/>
        <v>4.9999999993933803E-4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input_425104!A$2</f>
        <v>425104</v>
      </c>
      <c r="B260" s="60">
        <v>734</v>
      </c>
      <c r="C260" s="7" t="str">
        <f t="shared" si="16"/>
        <v>PremiumSS5R5onlycolor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IFERROR(VLOOKUP(B260,input_425104!L:R,7,FALSE),VLOOKUP(tables_425104!C260,input_425104!A:H,8,FALSE))</f>
        <v>5828.57143</v>
      </c>
      <c r="P260" s="46">
        <f t="shared" ca="1" si="17"/>
        <v>2.1428571431223731E-3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input_425104!A$2</f>
        <v>425104</v>
      </c>
      <c r="B261" s="60">
        <v>770</v>
      </c>
      <c r="C261" s="7" t="str">
        <f t="shared" si="16"/>
        <v>PremiumSS4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IFERROR(VLOOKUP(B261,input_425104!L:R,7,FALSE),VLOOKUP(tables_425104!C261,input_425104!A:H,8,FALSE))</f>
        <v>1292</v>
      </c>
      <c r="P261" s="46">
        <f t="shared" ca="1" si="17"/>
        <v>4.7499999994237113E-4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input_425104!A$2</f>
        <v>425104</v>
      </c>
      <c r="B262" s="60">
        <v>771</v>
      </c>
      <c r="C262" s="7" t="str">
        <f t="shared" si="16"/>
        <v>PremiumSS5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IFERROR(VLOOKUP(B262,input_425104!L:R,7,FALSE),VLOOKUP(tables_425104!C262,input_425104!A:H,8,FALSE))</f>
        <v>68</v>
      </c>
      <c r="P262" s="46">
        <f t="shared" ca="1" si="17"/>
        <v>2.4999999996966902E-5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input_425104!A$2</f>
        <v>425104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IFERROR(VLOOKUP(B263,input_425104!L:R,7,FALSE),VLOOKUP(tables_425104!C263,input_425104!A:H,8,FALSE))</f>
        <v>1292</v>
      </c>
      <c r="P263" s="46">
        <f t="shared" ca="1" si="17"/>
        <v>4.7499999994237113E-4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input_425104!A$2</f>
        <v>425104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IFERROR(VLOOKUP(B264,input_425104!L:R,7,FALSE),VLOOKUP(tables_425104!C264,input_425104!A:H,8,FALSE))</f>
        <v>68</v>
      </c>
      <c r="P264" s="46">
        <f t="shared" ca="1" si="17"/>
        <v>2.4999999996966902E-5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input_425104!A$2</f>
        <v>425104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IFERROR(VLOOKUP(B265,input_425104!L:R,7,FALSE),VLOOKUP(tables_425104!C265,input_425104!A:H,8,FALSE))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input_425104!A$2</f>
        <v>425104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IFERROR(VLOOKUP(B266,input_425104!L:R,7,FALSE),VLOOKUP(tables_425104!C266,input_425104!A:H,8,FALSE))</f>
        <v>15137.76131</v>
      </c>
      <c r="P266" s="46">
        <f t="shared" ca="1" si="17"/>
        <v>5.565353422118907E-3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input_425104!A$2</f>
        <v>425104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IFERROR(VLOOKUP(B267,input_425104!L:R,7,FALSE),VLOOKUP(tables_425104!C267,input_425104!A:H,8,FALSE))</f>
        <v>45.828440000000001</v>
      </c>
      <c r="P267" s="46">
        <f t="shared" ca="1" si="17"/>
        <v>1.6848691174426438E-5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input_425104!A$2</f>
        <v>425104</v>
      </c>
      <c r="B268" s="60">
        <v>777</v>
      </c>
      <c r="C268" s="7" t="str">
        <f t="shared" si="16"/>
        <v>Premium3color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IFERROR(VLOOKUP(B268,input_425104!L:R,7,FALSE),VLOOKUP(tables_425104!C268,input_425104!A:H,8,FALSE))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input_425104!A$2</f>
        <v>425104</v>
      </c>
      <c r="B269" s="60">
        <v>778</v>
      </c>
      <c r="C269" s="7" t="str">
        <f t="shared" si="16"/>
        <v>Premium4color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IFERROR(VLOOKUP(B269,input_425104!L:R,7,FALSE),VLOOKUP(tables_425104!C269,input_425104!A:H,8,FALSE))</f>
        <v>68508.623779999994</v>
      </c>
      <c r="P269" s="46">
        <f t="shared" ca="1" si="17"/>
        <v>2.5186994033708918E-2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input_425104!A$2</f>
        <v>425104</v>
      </c>
      <c r="B270" s="60">
        <v>779</v>
      </c>
      <c r="C270" s="7" t="str">
        <f t="shared" si="16"/>
        <v>Premium5color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IFERROR(VLOOKUP(B270,input_425104!L:R,7,FALSE),VLOOKUP(tables_425104!C270,input_425104!A:H,8,FALSE))</f>
        <v>1370.64895</v>
      </c>
      <c r="P270" s="46">
        <f t="shared" ca="1" si="17"/>
        <v>5.039150550859219E-4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input_425104!A$2</f>
        <v>425104</v>
      </c>
      <c r="B271" s="82">
        <v>848</v>
      </c>
      <c r="C271" s="7" t="str">
        <f t="shared" si="16"/>
        <v>PremiumSS5R5only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IFERROR(VLOOKUP(B271,input_425104!L:R,7,FALSE),VLOOKUP(tables_425104!C271,input_425104!A:H,8,FALSE))</f>
        <v>1360</v>
      </c>
      <c r="P271" s="46">
        <f t="shared" ca="1" si="17"/>
        <v>4.9999999993933803E-4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input_425104!A$2</f>
        <v>425104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IFERROR(VLOOKUP(B272,input_425104!L:R,7,FALSE),VLOOKUP(tables_425104!C272,input_425104!A:H,8,FALSE))</f>
        <v>1360</v>
      </c>
      <c r="P272" s="46">
        <f t="shared" ca="1" si="17"/>
        <v>4.9999999993933803E-4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input_425104!A$2</f>
        <v>425104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IFERROR(VLOOKUP(B273,input_425104!L:R,7,FALSE),VLOOKUP(tables_425104!C273,input_425104!A:H,8,FALSE))</f>
        <v>14318.4</v>
      </c>
      <c r="P273" s="46">
        <f t="shared" ca="1" si="17"/>
        <v>5.26411764642016E-3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input_425104!A$2</f>
        <v>425104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IFERROR(VLOOKUP(B274,input_425104!L:R,7,FALSE),VLOOKUP(tables_425104!C274,input_425104!A:H,8,FALSE))</f>
        <v>753.6</v>
      </c>
      <c r="P274" s="46">
        <f t="shared" ca="1" si="17"/>
        <v>2.7705882349579792E-4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input_425104!A$2</f>
        <v>425104</v>
      </c>
      <c r="B275" s="82">
        <v>854</v>
      </c>
      <c r="C275" s="7" t="str">
        <f t="shared" si="16"/>
        <v>Premium4R3lesscolor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IFERROR(VLOOKUP(B275,input_425104!L:R,7,FALSE),VLOOKUP(tables_425104!C275,input_425104!A:H,8,FALSE))</f>
        <v>66385.309089999995</v>
      </c>
      <c r="P275" s="46">
        <f t="shared" ca="1" si="17"/>
        <v>2.4406363633068334E-2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input_425104!A$2</f>
        <v>425104</v>
      </c>
      <c r="B276" s="82">
        <v>855</v>
      </c>
      <c r="C276" s="7" t="str">
        <f t="shared" si="16"/>
        <v>Premium5R3lesscolor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IFERROR(VLOOKUP(B276,input_425104!L:R,7,FALSE),VLOOKUP(tables_425104!C276,input_425104!A:H,8,FALSE))</f>
        <v>3493.9636399999999</v>
      </c>
      <c r="P276" s="46">
        <f t="shared" ca="1" si="17"/>
        <v>1.2845454557265069E-3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input_425104!A$2</f>
        <v>425104</v>
      </c>
      <c r="B277" s="82">
        <v>862</v>
      </c>
      <c r="C277" s="7" t="str">
        <f t="shared" si="16"/>
        <v>Premium4R3less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IFERROR(VLOOKUP(B277,input_425104!L:R,7,FALSE),VLOOKUP(tables_425104!C277,input_425104!A:H,8,FALSE))</f>
        <v>14318.4</v>
      </c>
      <c r="P277" s="46">
        <f t="shared" ca="1" si="17"/>
        <v>5.26411764642016E-3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input_425104!A$2</f>
        <v>425104</v>
      </c>
      <c r="B278" s="82">
        <v>863</v>
      </c>
      <c r="C278" s="7" t="str">
        <f t="shared" si="16"/>
        <v>Premium5R3less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IFERROR(VLOOKUP(B278,input_425104!L:R,7,FALSE),VLOOKUP(tables_425104!C278,input_425104!A:H,8,FALSE))</f>
        <v>753.6</v>
      </c>
      <c r="P278" s="46">
        <f t="shared" ca="1" si="17"/>
        <v>2.7705882349579792E-4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input_425104!A$2</f>
        <v>425104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IFERROR(VLOOKUP(B279,input_425104!L:R,7,FALSE),VLOOKUP(tables_425104!C279,input_425104!A:H,8,FALSE))</f>
        <v>14318.4</v>
      </c>
      <c r="P279" s="46">
        <f t="shared" ca="1" si="17"/>
        <v>5.26411764642016E-3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input_425104!A$2</f>
        <v>425104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IFERROR(VLOOKUP(B280,input_425104!L:R,7,FALSE),VLOOKUP(tables_425104!C280,input_425104!A:H,8,FALSE))</f>
        <v>753.6</v>
      </c>
      <c r="P280" s="46">
        <f t="shared" ca="1" si="17"/>
        <v>2.7705882349579792E-4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input_425104!A$2</f>
        <v>425104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IFERROR(VLOOKUP(B281,input_425104!L:R,7,FALSE),VLOOKUP(tables_425104!C281,input_425104!A:H,8,FALSE))</f>
        <v>1360</v>
      </c>
      <c r="P281" s="46">
        <f t="shared" ca="1" si="17"/>
        <v>4.9999999993933803E-4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input_425104!A$2</f>
        <v>425104</v>
      </c>
      <c r="B282" s="82">
        <v>868</v>
      </c>
      <c r="C282" s="7" t="str">
        <f t="shared" si="16"/>
        <v>PremiumSS5R5onlycolor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IFERROR(VLOOKUP(B282,input_425104!L:R,7,FALSE),VLOOKUP(tables_425104!C282,input_425104!A:H,8,FALSE))</f>
        <v>5828.57143</v>
      </c>
      <c r="P282" s="46">
        <f t="shared" ca="1" si="17"/>
        <v>2.1428571431223731E-3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input_425104!A$2</f>
        <v>425104</v>
      </c>
      <c r="B283" s="5">
        <v>742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IFERROR(VLOOKUP(B283,input_425104!L:R,7,FALSE),VLOOKUP(tables_425104!C283,input_425104!A:H,8,FALSE))</f>
        <v>1360</v>
      </c>
      <c r="P283" s="46">
        <f t="shared" ca="1" si="17"/>
        <v>4.9999999993933803E-4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input_425104!A$2</f>
        <v>425104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IFERROR(VLOOKUP(B284,input_425104!L:R,7,FALSE),VLOOKUP(tables_425104!C284,input_425104!A:H,8,FALSE))</f>
        <v>1360</v>
      </c>
      <c r="P284" s="46">
        <f t="shared" ca="1" si="17"/>
        <v>4.9999999993933803E-4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input_425104!A$2</f>
        <v>425104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IFERROR(VLOOKUP(B285,input_425104!L:R,7,FALSE),VLOOKUP(tables_425104!C285,input_425104!A:H,8,FALSE))</f>
        <v>14318.4</v>
      </c>
      <c r="P285" s="46">
        <f t="shared" ca="1" si="17"/>
        <v>5.26411764642016E-3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input_425104!A$2</f>
        <v>425104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IFERROR(VLOOKUP(B286,input_425104!L:R,7,FALSE),VLOOKUP(tables_425104!C286,input_425104!A:H,8,FALSE))</f>
        <v>753.6</v>
      </c>
      <c r="P286" s="46">
        <f t="shared" ca="1" si="17"/>
        <v>2.7705882349579792E-4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input_425104!A$2</f>
        <v>425104</v>
      </c>
      <c r="B287" s="5">
        <v>748</v>
      </c>
      <c r="C287" s="7" t="str">
        <f t="shared" si="20"/>
        <v>Premium4R3lesscolor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IFERROR(VLOOKUP(B287,input_425104!L:R,7,FALSE),VLOOKUP(tables_425104!C287,input_425104!A:H,8,FALSE))</f>
        <v>66385.309089999995</v>
      </c>
      <c r="P287" s="46">
        <f t="shared" ca="1" si="17"/>
        <v>2.4406363633068334E-2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input_425104!A$2</f>
        <v>425104</v>
      </c>
      <c r="B288" s="5">
        <v>749</v>
      </c>
      <c r="C288" s="7" t="str">
        <f t="shared" si="20"/>
        <v>Premium5R3lesscolor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IFERROR(VLOOKUP(B288,input_425104!L:R,7,FALSE),VLOOKUP(tables_425104!C288,input_425104!A:H,8,FALSE))</f>
        <v>3493.9636399999999</v>
      </c>
      <c r="P288" s="46">
        <f t="shared" ca="1" si="17"/>
        <v>1.2845454557265069E-3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input_425104!A$2</f>
        <v>425104</v>
      </c>
      <c r="B289" s="5">
        <v>937</v>
      </c>
      <c r="C289" s="7" t="str">
        <f t="shared" si="20"/>
        <v>PremiumSS5R5only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IFERROR(VLOOKUP(B289,input_425104!L:R,7,FALSE),VLOOKUP(tables_425104!C289,input_425104!A:H,8,FALSE))</f>
        <v>1360</v>
      </c>
      <c r="P289" s="46">
        <f t="shared" ca="1" si="17"/>
        <v>4.9999999993933803E-4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input_425104!A$2</f>
        <v>425104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IFERROR(VLOOKUP(B290,input_425104!L:R,7,FALSE),VLOOKUP(tables_425104!C290,input_425104!A:H,8,FALSE))</f>
        <v>14318.4</v>
      </c>
      <c r="P290" s="46">
        <f t="shared" ca="1" si="17"/>
        <v>5.26411764642016E-3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input_425104!A$2</f>
        <v>425104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IFERROR(VLOOKUP(B291,input_425104!L:R,7,FALSE),VLOOKUP(tables_425104!C291,input_425104!A:H,8,FALSE))</f>
        <v>753.6</v>
      </c>
      <c r="P291" s="46">
        <f t="shared" ca="1" si="17"/>
        <v>2.7705882349579792E-4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input_425104!A$2</f>
        <v>425104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IFERROR(VLOOKUP(B292,input_425104!L:R,7,FALSE),VLOOKUP(tables_425104!C292,input_425104!A:H,8,FALSE))</f>
        <v>1360</v>
      </c>
      <c r="P292" s="46">
        <f t="shared" ca="1" si="17"/>
        <v>4.9999999993933803E-4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input_425104!A$2</f>
        <v>425104</v>
      </c>
      <c r="B293" s="5">
        <v>943</v>
      </c>
      <c r="C293" s="7" t="str">
        <f t="shared" si="21"/>
        <v>PremiumSS5R5onlycolor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IFERROR(VLOOKUP(B293,input_425104!L:R,7,FALSE),VLOOKUP(tables_425104!C293,input_425104!A:H,8,FALSE))</f>
        <v>5828.57143</v>
      </c>
      <c r="P293" s="46">
        <f t="shared" ca="1" si="17"/>
        <v>2.1428571431223731E-3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input_425104!A$2</f>
        <v>425104</v>
      </c>
      <c r="B294" s="5">
        <v>1012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IFERROR(VLOOKUP(B294,input_425104!L:R,7,FALSE),VLOOKUP(tables_425104!C294,input_425104!A:H,8,FALSE))</f>
        <v>1360</v>
      </c>
      <c r="P294" s="46">
        <f t="shared" ca="1" si="17"/>
        <v>4.9999999993933803E-4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input_425104!A$2</f>
        <v>425104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IFERROR(VLOOKUP(B295,input_425104!L:R,7,FALSE),VLOOKUP(tables_425104!C295,input_425104!A:H,8,FALSE))</f>
        <v>1360</v>
      </c>
      <c r="P295" s="46">
        <f t="shared" ca="1" si="17"/>
        <v>4.9999999993933803E-4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input_425104!A$2</f>
        <v>425104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IFERROR(VLOOKUP(B296,input_425104!L:R,7,FALSE),VLOOKUP(tables_425104!C296,input_425104!A:H,8,FALSE))</f>
        <v>14318.4</v>
      </c>
      <c r="P296" s="46">
        <f t="shared" ca="1" si="17"/>
        <v>5.26411764642016E-3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input_425104!A$2</f>
        <v>425104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IFERROR(VLOOKUP(B297,input_425104!L:R,7,FALSE),VLOOKUP(tables_425104!C297,input_425104!A:H,8,FALSE))</f>
        <v>753.6</v>
      </c>
      <c r="P297" s="46">
        <f t="shared" ca="1" si="17"/>
        <v>2.7705882349579792E-4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input_425104!A$2</f>
        <v>425104</v>
      </c>
      <c r="B298" s="5">
        <v>1018</v>
      </c>
      <c r="C298" s="7" t="str">
        <f t="shared" si="21"/>
        <v>PremiumSS5R5onlycolor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IFERROR(VLOOKUP(B298,input_425104!L:R,7,FALSE),VLOOKUP(tables_425104!C298,input_425104!A:H,8,FALSE))</f>
        <v>5828.57143</v>
      </c>
      <c r="P298" s="46">
        <f t="shared" ca="1" si="17"/>
        <v>2.1428571431223731E-3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input_425104!A$2</f>
        <v>425104</v>
      </c>
      <c r="B299" s="5">
        <v>1026</v>
      </c>
      <c r="C299" s="7" t="str">
        <f t="shared" si="21"/>
        <v>Premium4R3less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IFERROR(VLOOKUP(B299,input_425104!L:R,7,FALSE),VLOOKUP(tables_425104!C299,input_425104!A:H,8,FALSE))</f>
        <v>14318.4</v>
      </c>
      <c r="P299" s="46">
        <f t="shared" ca="1" si="17"/>
        <v>5.26411764642016E-3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input_425104!A$2</f>
        <v>425104</v>
      </c>
      <c r="B300" s="5">
        <v>1027</v>
      </c>
      <c r="C300" s="7" t="str">
        <f t="shared" si="21"/>
        <v>Premium5R3less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IFERROR(VLOOKUP(B300,input_425104!L:R,7,FALSE),VLOOKUP(tables_425104!C300,input_425104!A:H,8,FALSE))</f>
        <v>753.6</v>
      </c>
      <c r="P300" s="46">
        <f t="shared" ca="1" si="17"/>
        <v>2.7705882349579792E-4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input_425104!A$2</f>
        <v>425104</v>
      </c>
      <c r="B301" s="5">
        <v>1028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IFERROR(VLOOKUP(B301,input_425104!L:R,7,FALSE),VLOOKUP(tables_425104!C301,input_425104!A:H,8,FALSE))</f>
        <v>1360</v>
      </c>
      <c r="P301" s="46">
        <f t="shared" ca="1" si="17"/>
        <v>4.9999999993933803E-4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input_425104!A$2</f>
        <v>425104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IFERROR(VLOOKUP(B302,input_425104!L:R,7,FALSE),VLOOKUP(tables_425104!C302,input_425104!A:H,8,FALSE))</f>
        <v>1360</v>
      </c>
      <c r="P302" s="46">
        <f t="shared" ca="1" si="17"/>
        <v>4.9999999993933803E-4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input_425104!A$2</f>
        <v>425104</v>
      </c>
      <c r="B303" s="5">
        <v>1033</v>
      </c>
      <c r="C303" s="7" t="str">
        <f t="shared" si="22"/>
        <v>PremiumSS5R5onlycolor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IFERROR(VLOOKUP(B303,input_425104!L:R,7,FALSE),VLOOKUP(tables_425104!C303,input_425104!A:H,8,FALSE))</f>
        <v>5828.57143</v>
      </c>
      <c r="P303" s="46">
        <f t="shared" ca="1" si="17"/>
        <v>2.1428571431223731E-3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input_425104!A$2</f>
        <v>425104</v>
      </c>
      <c r="B304" s="5">
        <v>1067</v>
      </c>
      <c r="C304" s="7" t="str">
        <f t="shared" si="22"/>
        <v>Premium4R3less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IFERROR(VLOOKUP(B304,input_425104!L:R,7,FALSE),VLOOKUP(tables_425104!C304,input_425104!A:H,8,FALSE))</f>
        <v>14318.4</v>
      </c>
      <c r="P304" s="46">
        <f t="shared" ca="1" si="17"/>
        <v>5.26411764642016E-3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input_425104!A$2</f>
        <v>425104</v>
      </c>
      <c r="B305" s="5">
        <v>1068</v>
      </c>
      <c r="C305" s="7" t="str">
        <f t="shared" si="22"/>
        <v>Premium5R3less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IFERROR(VLOOKUP(B305,input_425104!L:R,7,FALSE),VLOOKUP(tables_425104!C305,input_425104!A:H,8,FALSE))</f>
        <v>753.6</v>
      </c>
      <c r="P305" s="46">
        <f t="shared" ca="1" si="17"/>
        <v>2.7705882349579792E-4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input_425104!A$2</f>
        <v>425104</v>
      </c>
      <c r="B306" s="5">
        <v>1069</v>
      </c>
      <c r="C306" s="7" t="str">
        <f t="shared" ref="C306:C310" si="23">D306&amp;J306&amp;E306&amp;F306&amp;G306</f>
        <v>PremiumSS5R5only</v>
      </c>
      <c r="D306" s="7" t="str">
        <f t="shared" ref="D306:D310" si="24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IFERROR(VLOOKUP(B306,input_425104!L:R,7,FALSE),VLOOKUP(tables_425104!C306,input_425104!A:H,8,FALSE))</f>
        <v>1360</v>
      </c>
      <c r="P306" s="46">
        <f t="shared" ref="P306:P310" ca="1" si="25">O306/SUM(O:O)</f>
        <v>4.9999999993933803E-4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input_425104!A$2</f>
        <v>425104</v>
      </c>
      <c r="B307" s="5">
        <v>1072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IFERROR(VLOOKUP(B307,input_425104!L:R,7,FALSE),VLOOKUP(tables_425104!C307,input_425104!A:H,8,FALSE))</f>
        <v>1360</v>
      </c>
      <c r="P307" s="46">
        <f t="shared" ca="1" si="25"/>
        <v>4.9999999993933803E-4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input_425104!A$2</f>
        <v>425104</v>
      </c>
      <c r="B308" s="5">
        <v>1074</v>
      </c>
      <c r="C308" s="7" t="str">
        <f t="shared" si="23"/>
        <v>PremiumSS5R5onlycolor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IFERROR(VLOOKUP(B308,input_425104!L:R,7,FALSE),VLOOKUP(tables_425104!C308,input_425104!A:H,8,FALSE))</f>
        <v>5828.57143</v>
      </c>
      <c r="P308" s="46">
        <f t="shared" ca="1" si="25"/>
        <v>2.1428571431223731E-3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input_425104!A$2</f>
        <v>425104</v>
      </c>
      <c r="B309" s="5">
        <v>1104</v>
      </c>
      <c r="C309" s="7" t="str">
        <f t="shared" si="23"/>
        <v>Premium4R3less</v>
      </c>
      <c r="D309" s="7" t="str">
        <f t="shared" si="24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IFERROR(VLOOKUP(B309,input_425104!L:R,7,FALSE),VLOOKUP(tables_425104!C309,input_425104!A:H,8,FALSE))</f>
        <v>14318.4</v>
      </c>
      <c r="P309" s="46">
        <f t="shared" ca="1" si="25"/>
        <v>5.26411764642016E-3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input_425104!A$2</f>
        <v>425104</v>
      </c>
      <c r="B310" s="5">
        <v>1105</v>
      </c>
      <c r="C310" s="7" t="str">
        <f t="shared" si="23"/>
        <v>Premium5R3less</v>
      </c>
      <c r="D310" s="7" t="str">
        <f t="shared" si="2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IFERROR(VLOOKUP(B310,input_425104!L:R,7,FALSE),VLOOKUP(tables_425104!C310,input_425104!A:H,8,FALSE))</f>
        <v>753.6</v>
      </c>
      <c r="P310" s="46">
        <f t="shared" ca="1" si="25"/>
        <v>2.7705882349579792E-4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input_425104!A$2</f>
        <v>425104</v>
      </c>
      <c r="B311" s="5">
        <v>1106</v>
      </c>
      <c r="C311" s="7" t="str">
        <f t="shared" ref="C311:C319" si="26">D311&amp;J311&amp;E311&amp;F311&amp;G311</f>
        <v>PremiumSS5R5onlycolor</v>
      </c>
      <c r="D311" s="7" t="str">
        <f t="shared" ref="D311:D319" si="27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IFERROR(VLOOKUP(B311,input_425104!L:R,7,FALSE),VLOOKUP(tables_425104!C311,input_425104!A:H,8,FALSE))</f>
        <v>5828.57143</v>
      </c>
      <c r="P311" s="46">
        <f t="shared" ref="P311:P319" ca="1" si="28">O311/SUM(O:O)</f>
        <v>2.1428571431223731E-3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input_425104!A$2</f>
        <v>425104</v>
      </c>
      <c r="B312" s="5">
        <v>1102</v>
      </c>
      <c r="C312" s="7" t="str">
        <f t="shared" si="26"/>
        <v>PremiumSS5R5only</v>
      </c>
      <c r="D312" s="7" t="str">
        <f t="shared" si="27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IFERROR(VLOOKUP(B312,input_425104!L:R,7,FALSE),VLOOKUP(tables_425104!C312,input_425104!A:H,8,FALSE))</f>
        <v>1360</v>
      </c>
      <c r="P312" s="46">
        <f t="shared" ca="1" si="28"/>
        <v>4.9999999993933803E-4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input_425104!A$2</f>
        <v>425104</v>
      </c>
      <c r="B313" s="5">
        <v>1100</v>
      </c>
      <c r="C313" s="7" t="str">
        <f t="shared" si="26"/>
        <v>PremiumSS5R5only</v>
      </c>
      <c r="D313" s="7" t="str">
        <f t="shared" si="27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IFERROR(VLOOKUP(B313,input_425104!L:R,7,FALSE),VLOOKUP(tables_425104!C313,input_425104!A:H,8,FALSE))</f>
        <v>1360</v>
      </c>
      <c r="P313" s="46">
        <f t="shared" ca="1" si="28"/>
        <v>4.9999999993933803E-4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input_425104!A$2</f>
        <v>425104</v>
      </c>
      <c r="B314" s="5">
        <v>1137</v>
      </c>
      <c r="C314" s="7" t="str">
        <f t="shared" si="26"/>
        <v>PremiumSS5R5only</v>
      </c>
      <c r="D314" s="7" t="str">
        <f t="shared" si="27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IFERROR(VLOOKUP(B314,input_425104!L:R,7,FALSE),VLOOKUP(tables_425104!C314,input_425104!A:H,8,FALSE))</f>
        <v>1360</v>
      </c>
      <c r="P314" s="46">
        <f t="shared" ca="1" si="28"/>
        <v>4.9999999993933803E-4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input_425104!A$2</f>
        <v>425104</v>
      </c>
      <c r="B315" s="5">
        <v>1139</v>
      </c>
      <c r="C315" s="7" t="str">
        <f t="shared" si="26"/>
        <v>PremiumSS5R5only</v>
      </c>
      <c r="D315" s="7" t="str">
        <f t="shared" si="27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IFERROR(VLOOKUP(B315,input_425104!L:R,7,FALSE),VLOOKUP(tables_425104!C315,input_425104!A:H,8,FALSE))</f>
        <v>1360</v>
      </c>
      <c r="P315" s="46">
        <f t="shared" ca="1" si="28"/>
        <v>4.9999999993933803E-4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input_425104!A$2</f>
        <v>425104</v>
      </c>
      <c r="B316" s="5">
        <v>1141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IFERROR(VLOOKUP(B316,input_425104!L:R,7,FALSE),VLOOKUP(tables_425104!C316,input_425104!A:H,8,FALSE))</f>
        <v>1360</v>
      </c>
      <c r="P316" s="46">
        <f t="shared" ca="1" si="28"/>
        <v>4.9999999993933803E-4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input_425104!A$2</f>
        <v>425104</v>
      </c>
      <c r="B317" s="5">
        <v>1143</v>
      </c>
      <c r="C317" s="7" t="str">
        <f t="shared" si="26"/>
        <v>Premium4R3lesscolor</v>
      </c>
      <c r="D317" s="7" t="str">
        <f t="shared" si="27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IFERROR(VLOOKUP(B317,input_425104!L:R,7,FALSE),VLOOKUP(tables_425104!C317,input_425104!A:H,8,FALSE))</f>
        <v>66385.309089999995</v>
      </c>
      <c r="P317" s="46">
        <f t="shared" ca="1" si="28"/>
        <v>2.4406363633068334E-2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input_425104!A$2</f>
        <v>425104</v>
      </c>
      <c r="B318" s="5">
        <v>1144</v>
      </c>
      <c r="C318" s="7" t="str">
        <f t="shared" si="26"/>
        <v>Premium5R3lesscolor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IFERROR(VLOOKUP(B318,input_425104!L:R,7,FALSE),VLOOKUP(tables_425104!C318,input_425104!A:H,8,FALSE))</f>
        <v>3493.9636399999999</v>
      </c>
      <c r="P318" s="46">
        <f t="shared" ca="1" si="28"/>
        <v>1.2845454557265069E-3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input_425104!A$2</f>
        <v>425104</v>
      </c>
      <c r="B319" s="1">
        <v>874</v>
      </c>
      <c r="C319" s="7" t="str">
        <f t="shared" si="26"/>
        <v>PremiumSSS5R3lesscolor</v>
      </c>
      <c r="D319" s="7" t="str">
        <f t="shared" si="27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フレネル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attack</v>
      </c>
      <c r="M319" s="7" t="str">
        <f>VLOOKUP(B319,[1]characters!$A:$M,13,FALSE)</f>
        <v>academia</v>
      </c>
      <c r="N319" s="7" t="str">
        <f>VLOOKUP(B319,[1]characters!$A:$G,7,FALSE)</f>
        <v>男性</v>
      </c>
      <c r="O319" s="45">
        <f ca="1">IFERROR(VLOOKUP(B319,input_425104!L:R,7,FALSE),VLOOKUP(tables_425104!C319,input_425104!A:H,8,FALSE))</f>
        <v>21760</v>
      </c>
      <c r="P319" s="46">
        <f t="shared" ca="1" si="28"/>
        <v>7.9999999990294085E-3</v>
      </c>
      <c r="Q319" s="88"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workbookViewId="0">
      <selection activeCell="E49" sqref="E49:E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425105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VLOOKUP(L3,tables_425105!B:C,2,FALSE)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VLOOKUP(L4,tables_425105!B:C,2,FALSE)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5.0000000000000012E-4</v>
      </c>
      <c r="F5">
        <f>(COUNTIF(tables_425105!C:C,input_425105!A28)+COUNTIF(tables_425105!C:C,input_425105!A29))</f>
        <v>40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VLOOKUP(L5,tables_425105!B:C,2,FALSE)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(COUNTIF(tables_425105!C:C,input_425105!A43)+COUNTIF(tables_425105!C:C,input_425105!A44))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VLOOKUP(L6,tables_425105!B:C,2,FALSE)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5.517647058823529E-3</v>
      </c>
      <c r="F7">
        <f>(COUNTIF(tables_425105!C:C,input_425105!A26)+COUNTIF(tables_425105!C:C,input_425105!A18)+COUNTIF(tables_425105!C:C,input_425105!A20)+COUNTIF(tables_425105!C:C,input_425105!A22))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VLOOKUP(L7,tables_425105!B:C,2,FALSE)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2.5581818181818181E-2</v>
      </c>
      <c r="F8">
        <f>(COUNTIF(tables_425105!C:C,input_425105!A40)+COUNTIF(tables_425105!C:C,input_425105!A33)+COUNTIF(tables_425105!C:C,input_425105!A35)+COUNTIF(tables_425105!C:C,input_425105!A37))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VLOOKUP(L8,tables_425105!B:C,2,FALSE)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VLOOKUP(L9,tables_425105!B:C,2,FALSE)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VLOOKUP(L10,tables_425105!B:C,2,FALSE)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VLOOKUP(L11,tables_425105!B:C,2,FALSE)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VLOOKUP(L12,tables_425105!B:C,2,FALSE)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VLOOKUP(L13,tables_425105!B:C,2,FALSE)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VLOOKUP(L14,tables_425105!B:C,2,FALSE)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VLOOKUP(L15,tables_425105!B:C,2,FALSE)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VLOOKUP(L16,tables_425105!B:C,2,FALSE)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COUNTIF(tables_425105!C:C,input_425105!A17)-COUNTIF(Q:Q,A17)</f>
        <v>14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VLOOKUP(L17,tables_425105!B:C,2,FALSE)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E$7*E18-B17+0.0032</f>
        <v>8.5964705882352929E-2</v>
      </c>
      <c r="C18" s="86">
        <f t="shared" si="2"/>
        <v>0</v>
      </c>
      <c r="D18" s="75">
        <f t="shared" si="3"/>
        <v>8.5964705882352929E-2</v>
      </c>
      <c r="E18">
        <f>COUNTIF(tables_425105!C:C,input_425105!A18)-COUNTIF(Q:Q,A18)</f>
        <v>15</v>
      </c>
      <c r="F18" s="43">
        <f>IFERROR(B18/E18,0)</f>
        <v>5.7309803921568618E-3</v>
      </c>
      <c r="G18">
        <f t="shared" si="4"/>
        <v>233823.99999999997</v>
      </c>
      <c r="H18">
        <f t="shared" si="5"/>
        <v>15588.266670000001</v>
      </c>
      <c r="I18">
        <f t="shared" si="6"/>
        <v>0.26667000000088592</v>
      </c>
      <c r="J18">
        <f t="shared" si="7"/>
        <v>3.7499531255734722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VLOOKUP(L18,tables_425105!B:C,2,FALSE)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COUNTIF(tables_425105!C:C,input_425105!A19)-COUNTIF(Q:Q,A19)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VLOOKUP(L19,tables_425105!B:C,2,FALSE)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E$7*E20*B$6+0.0016+E50-0.002</f>
        <v>0.21609947864154364</v>
      </c>
      <c r="C20" s="86">
        <f t="shared" si="2"/>
        <v>0</v>
      </c>
      <c r="D20" s="75">
        <f t="shared" si="3"/>
        <v>0.21609947864154364</v>
      </c>
      <c r="E20">
        <f>COUNTIF(tables_425105!C:C,input_425105!A20)-COUNTIF(Q:Q,A20)</f>
        <v>39</v>
      </c>
      <c r="F20" s="43">
        <f t="shared" si="8"/>
        <v>5.5410122728600936E-3</v>
      </c>
      <c r="G20">
        <f t="shared" si="4"/>
        <v>587790.58190499863</v>
      </c>
      <c r="H20">
        <f t="shared" si="5"/>
        <v>15071.553379999999</v>
      </c>
      <c r="I20">
        <f t="shared" si="6"/>
        <v>0.55337999999937892</v>
      </c>
      <c r="J20">
        <f t="shared" si="7"/>
        <v>1.8070765116215302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VLOOKUP(L20,tables_425105!B:C,2,FALSE)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E$7*E21*B$7-E50+0.002</f>
        <v>6.887566525739814E-4</v>
      </c>
      <c r="C21" s="86">
        <f t="shared" si="2"/>
        <v>0</v>
      </c>
      <c r="D21" s="75">
        <f t="shared" si="3"/>
        <v>6.887566525739814E-4</v>
      </c>
      <c r="E21">
        <f>COUNTIF(tables_425105!C:C,input_425105!A21)-COUNTIF(Q:Q,A21)</f>
        <v>39</v>
      </c>
      <c r="F21" s="43">
        <f t="shared" si="8"/>
        <v>1.7660426989076445E-5</v>
      </c>
      <c r="G21">
        <f t="shared" si="4"/>
        <v>1873.4180950012294</v>
      </c>
      <c r="H21">
        <f t="shared" si="5"/>
        <v>48.036360000000002</v>
      </c>
      <c r="I21">
        <f t="shared" si="6"/>
        <v>3.6360000000001946E-2</v>
      </c>
      <c r="J21">
        <f t="shared" si="7"/>
        <v>27.502750275026031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5.7659411764705883E-2</v>
      </c>
      <c r="C22" s="86">
        <f t="shared" si="2"/>
        <v>0</v>
      </c>
      <c r="D22" s="75">
        <f t="shared" si="3"/>
        <v>5.7659411764705883E-2</v>
      </c>
      <c r="E22">
        <f>COUNTIF(tables_425105!C:C,input_425105!A22)-COUNTIF(Q:Q,A22)</f>
        <v>11</v>
      </c>
      <c r="F22" s="43">
        <f t="shared" si="8"/>
        <v>5.2417647058823529E-3</v>
      </c>
      <c r="G22">
        <f t="shared" si="4"/>
        <v>156833.60000000001</v>
      </c>
      <c r="H22">
        <f t="shared" si="5"/>
        <v>14257.6</v>
      </c>
      <c r="I22">
        <f t="shared" si="6"/>
        <v>0.6000000000003638</v>
      </c>
      <c r="J22">
        <f t="shared" si="7"/>
        <v>1.6666666666656562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3.0347058823529411E-3</v>
      </c>
      <c r="C23" s="86">
        <f t="shared" si="2"/>
        <v>0</v>
      </c>
      <c r="D23" s="75">
        <f t="shared" si="3"/>
        <v>3.0347058823529411E-3</v>
      </c>
      <c r="E23">
        <f>COUNTIF(tables_425105!C:C,input_425105!A23)-COUNTIF(Q:Q,A23)</f>
        <v>11</v>
      </c>
      <c r="F23" s="43">
        <f t="shared" si="8"/>
        <v>2.7588235294117647E-4</v>
      </c>
      <c r="G23">
        <f t="shared" si="4"/>
        <v>8254.4</v>
      </c>
      <c r="H23">
        <f t="shared" si="5"/>
        <v>750.4</v>
      </c>
      <c r="I23">
        <f t="shared" si="6"/>
        <v>0.39999999999997726</v>
      </c>
      <c r="J23">
        <f t="shared" si="7"/>
        <v>2.5000000000001421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COUNTIF(tables_425105!C:C,input_425105!A24)-COUNTIF(Q:Q,A24)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1.5725294117647056E-2</v>
      </c>
      <c r="C25" s="86">
        <f t="shared" si="2"/>
        <v>0</v>
      </c>
      <c r="D25" s="75">
        <f t="shared" si="3"/>
        <v>1.5725294117647056E-2</v>
      </c>
      <c r="E25">
        <f>COUNTIF(tables_425105!C:C,input_425105!A25)-COUNTIF(Q:Q,A25)</f>
        <v>3</v>
      </c>
      <c r="F25" s="43">
        <f t="shared" si="8"/>
        <v>5.241764705882352E-3</v>
      </c>
      <c r="G25">
        <f t="shared" si="4"/>
        <v>42772.799999999996</v>
      </c>
      <c r="H25">
        <f t="shared" si="5"/>
        <v>14257.6</v>
      </c>
      <c r="I25">
        <f t="shared" si="6"/>
        <v>0.6000000000003638</v>
      </c>
      <c r="J25">
        <f t="shared" si="7"/>
        <v>1.6666666666656562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8.2764705882352942E-4</v>
      </c>
      <c r="C26" s="86">
        <f t="shared" si="2"/>
        <v>0</v>
      </c>
      <c r="D26" s="75">
        <f t="shared" si="3"/>
        <v>8.2764705882352942E-4</v>
      </c>
      <c r="E26">
        <f>COUNTIF(tables_425105!C:C,input_425105!A26)-COUNTIF(Q:Q,A26)</f>
        <v>3</v>
      </c>
      <c r="F26" s="43">
        <f t="shared" si="8"/>
        <v>2.7588235294117647E-4</v>
      </c>
      <c r="G26">
        <f t="shared" si="4"/>
        <v>2251.1999999999998</v>
      </c>
      <c r="H26">
        <f t="shared" si="5"/>
        <v>750.4</v>
      </c>
      <c r="I26">
        <f t="shared" si="6"/>
        <v>0.39999999999997726</v>
      </c>
      <c r="J26">
        <f t="shared" si="7"/>
        <v>2.5000000000001421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9.9750000000000012E-3</v>
      </c>
      <c r="C27" s="86">
        <f t="shared" si="2"/>
        <v>0</v>
      </c>
      <c r="D27" s="75">
        <f t="shared" si="3"/>
        <v>9.9750000000000012E-3</v>
      </c>
      <c r="E27">
        <f>COUNTIF(tables_425105!C:C,input_425105!A27)-COUNTIF(Q:Q,A27)</f>
        <v>21</v>
      </c>
      <c r="F27" s="43">
        <f>IFERROR(B27/E27,0)</f>
        <v>4.7500000000000005E-4</v>
      </c>
      <c r="G27">
        <f t="shared" si="4"/>
        <v>27132.000000000004</v>
      </c>
      <c r="H27">
        <f t="shared" si="5"/>
        <v>1292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5.2500000000000018E-4</v>
      </c>
      <c r="C28" s="86">
        <f t="shared" si="2"/>
        <v>0</v>
      </c>
      <c r="D28" s="75">
        <f t="shared" si="3"/>
        <v>5.2500000000000018E-4</v>
      </c>
      <c r="E28">
        <f>COUNTIF(tables_425105!C:C,input_425105!A28)-COUNTIF(Q:Q,A28)</f>
        <v>21</v>
      </c>
      <c r="F28" s="43">
        <f t="shared" si="8"/>
        <v>2.5000000000000008E-5</v>
      </c>
      <c r="G28">
        <f t="shared" si="4"/>
        <v>1428.0000000000005</v>
      </c>
      <c r="H28">
        <f t="shared" si="5"/>
        <v>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9.5000000000000015E-3</v>
      </c>
      <c r="C29" s="86">
        <f t="shared" si="2"/>
        <v>0</v>
      </c>
      <c r="D29" s="75">
        <f t="shared" si="3"/>
        <v>9.5000000000000015E-3</v>
      </c>
      <c r="E29">
        <f>COUNTIF(tables_425105!C:C,input_425105!A29)-COUNTIF(Q:Q,A29)</f>
        <v>19</v>
      </c>
      <c r="F29" s="43">
        <f t="shared" si="8"/>
        <v>5.0000000000000012E-4</v>
      </c>
      <c r="G29">
        <f t="shared" si="4"/>
        <v>25840.000000000004</v>
      </c>
      <c r="H29">
        <f t="shared" si="5"/>
        <v>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COUNTIF(tables_425105!C:C,input_425105!A30)-COUNTIF(Q:Q,A30)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COUNTIF(tables_425105!C:C,input_425105!A31)-COUNTIF(Q:Q,A31)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COUNTIF(tables_425105!C:C,input_425105!A32)-COUNTIF(Q:Q,A32)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E$8*E33-B32-0.0016-0.0032</f>
        <v>0.12310909090909093</v>
      </c>
      <c r="C33" s="86">
        <f t="shared" si="2"/>
        <v>0</v>
      </c>
      <c r="D33" s="75">
        <f t="shared" si="3"/>
        <v>0.12310909090909093</v>
      </c>
      <c r="E33">
        <f>COUNTIF(tables_425105!C:C,input_425105!A33)-COUNTIF(Q:Q,A33)</f>
        <v>5</v>
      </c>
      <c r="F33" s="43">
        <f>IFERROR(B33/E33,0)</f>
        <v>2.4621818181818186E-2</v>
      </c>
      <c r="G33">
        <f t="shared" si="4"/>
        <v>334856.72727272735</v>
      </c>
      <c r="H33">
        <f t="shared" si="5"/>
        <v>66971.345449999993</v>
      </c>
      <c r="I33">
        <f t="shared" si="6"/>
        <v>0.34544999999343418</v>
      </c>
      <c r="J33">
        <f t="shared" si="7"/>
        <v>2.8947749313041151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COUNTIF(tables_425105!C:C,input_425105!A34)-COUNTIF(Q:Q,A34)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E$8*E35*B$6+E50+0.002</f>
        <v>0.33000610965758642</v>
      </c>
      <c r="C35" s="86">
        <f t="shared" si="2"/>
        <v>0</v>
      </c>
      <c r="D35" s="75">
        <f t="shared" si="3"/>
        <v>0.33000610965758642</v>
      </c>
      <c r="E35">
        <f>COUNTIF(tables_425105!C:C,input_425105!A35)-COUNTIF(Q:Q,A35)</f>
        <v>13</v>
      </c>
      <c r="F35" s="43">
        <f t="shared" si="9"/>
        <v>2.5385085358275879E-2</v>
      </c>
      <c r="G35">
        <f t="shared" si="4"/>
        <v>897616.61826863512</v>
      </c>
      <c r="H35">
        <f t="shared" si="5"/>
        <v>69047.43217</v>
      </c>
      <c r="I35">
        <f t="shared" si="6"/>
        <v>0.43217000000004191</v>
      </c>
      <c r="J35">
        <f t="shared" si="7"/>
        <v>2.3139042506418841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E$8*E36*B$7-E50-0.002</f>
        <v>2.5575267060499157E-3</v>
      </c>
      <c r="C36" s="86">
        <f t="shared" si="2"/>
        <v>0</v>
      </c>
      <c r="D36" s="75">
        <f t="shared" si="3"/>
        <v>2.5575267060499157E-3</v>
      </c>
      <c r="E36">
        <f>COUNTIF(tables_425105!C:C,input_425105!A36)-COUNTIF(Q:Q,A36)</f>
        <v>13</v>
      </c>
      <c r="F36" s="43">
        <f t="shared" si="9"/>
        <v>1.9673282354230119E-4</v>
      </c>
      <c r="G36">
        <f t="shared" si="4"/>
        <v>6956.4726404557705</v>
      </c>
      <c r="H36">
        <f t="shared" si="5"/>
        <v>535.11328000000003</v>
      </c>
      <c r="I36">
        <f t="shared" si="6"/>
        <v>0.11328000000003158</v>
      </c>
      <c r="J36">
        <f t="shared" si="7"/>
        <v>8.8276836158167491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7.2908181818181816E-2</v>
      </c>
      <c r="C37" s="86">
        <f t="shared" si="2"/>
        <v>0</v>
      </c>
      <c r="D37" s="75">
        <f t="shared" si="3"/>
        <v>7.2908181818181816E-2</v>
      </c>
      <c r="E37">
        <f>COUNTIF(tables_425105!C:C,input_425105!A37)-COUNTIF(Q:Q,A37)</f>
        <v>3</v>
      </c>
      <c r="F37" s="43">
        <f t="shared" si="9"/>
        <v>2.4302727272727271E-2</v>
      </c>
      <c r="G37">
        <f t="shared" si="4"/>
        <v>198310.25454545455</v>
      </c>
      <c r="H37">
        <f t="shared" si="5"/>
        <v>66103.418179999993</v>
      </c>
      <c r="I37">
        <f t="shared" si="6"/>
        <v>0.41817999999329913</v>
      </c>
      <c r="J37">
        <f t="shared" si="7"/>
        <v>2.3913147448850349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3.8372727272727274E-3</v>
      </c>
      <c r="C38" s="86">
        <f t="shared" si="2"/>
        <v>0</v>
      </c>
      <c r="D38" s="75">
        <f t="shared" si="3"/>
        <v>3.8372727272727274E-3</v>
      </c>
      <c r="E38">
        <f>COUNTIF(tables_425105!C:C,input_425105!A38)-COUNTIF(Q:Q,A38)</f>
        <v>3</v>
      </c>
      <c r="F38" s="43">
        <f t="shared" si="9"/>
        <v>1.2790909090909092E-3</v>
      </c>
      <c r="G38">
        <f t="shared" si="4"/>
        <v>10437.381818181819</v>
      </c>
      <c r="H38">
        <f t="shared" si="5"/>
        <v>3479.12727</v>
      </c>
      <c r="I38">
        <f t="shared" si="6"/>
        <v>0.12726999999995314</v>
      </c>
      <c r="J38">
        <f t="shared" si="7"/>
        <v>7.8573112281006381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COUNTIF(tables_425105!C:C,input_425105!A39)-COUNTIF(Q:Q,A39)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2.4302727272727271E-2</v>
      </c>
      <c r="C40" s="86">
        <f t="shared" si="2"/>
        <v>0</v>
      </c>
      <c r="D40" s="75">
        <f t="shared" si="3"/>
        <v>2.4302727272727271E-2</v>
      </c>
      <c r="E40">
        <f>COUNTIF(tables_425105!C:C,input_425105!A40)-COUNTIF(Q:Q,A40)</f>
        <v>1</v>
      </c>
      <c r="F40" s="43">
        <f t="shared" si="9"/>
        <v>2.4302727272727271E-2</v>
      </c>
      <c r="G40">
        <f t="shared" si="4"/>
        <v>66103.418181818182</v>
      </c>
      <c r="H40">
        <f t="shared" si="5"/>
        <v>66103.418179999993</v>
      </c>
      <c r="I40">
        <f t="shared" si="6"/>
        <v>0.41817999999329913</v>
      </c>
      <c r="J40">
        <f t="shared" si="7"/>
        <v>2.3913147448850349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1.2790909090909092E-3</v>
      </c>
      <c r="C41" s="86">
        <f t="shared" si="2"/>
        <v>0</v>
      </c>
      <c r="D41" s="75">
        <f t="shared" si="3"/>
        <v>1.2790909090909092E-3</v>
      </c>
      <c r="E41">
        <f>COUNTIF(tables_425105!C:C,input_425105!A41)-COUNTIF(Q:Q,A41)</f>
        <v>1</v>
      </c>
      <c r="F41" s="43">
        <f t="shared" si="9"/>
        <v>1.2790909090909092E-3</v>
      </c>
      <c r="G41">
        <f t="shared" si="4"/>
        <v>3479.1272727272731</v>
      </c>
      <c r="H41">
        <f t="shared" si="5"/>
        <v>3479.12727</v>
      </c>
      <c r="I41">
        <f t="shared" si="6"/>
        <v>0.12726999999995314</v>
      </c>
      <c r="J41">
        <f t="shared" si="7"/>
        <v>7.8573112281006381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1.4250000000000001E-2</v>
      </c>
      <c r="C42" s="86">
        <f t="shared" si="2"/>
        <v>0</v>
      </c>
      <c r="D42" s="75">
        <f t="shared" si="3"/>
        <v>1.4250000000000001E-2</v>
      </c>
      <c r="E42">
        <f>COUNTIF(tables_425105!C:C,input_425105!A42)-COUNTIF(Q:Q,A42)</f>
        <v>7</v>
      </c>
      <c r="F42" s="43">
        <f>IFERROR(B42/E42,0)</f>
        <v>2.0357142857142857E-3</v>
      </c>
      <c r="G42">
        <f t="shared" si="4"/>
        <v>38760</v>
      </c>
      <c r="H42">
        <f t="shared" si="5"/>
        <v>5537.1428599999999</v>
      </c>
      <c r="I42">
        <f t="shared" si="6"/>
        <v>0.14285999999992782</v>
      </c>
      <c r="J42">
        <f t="shared" si="7"/>
        <v>6.999860002803481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7.5000000000000012E-4</v>
      </c>
      <c r="C43" s="86">
        <f t="shared" si="2"/>
        <v>0</v>
      </c>
      <c r="D43" s="75">
        <f t="shared" si="3"/>
        <v>7.5000000000000012E-4</v>
      </c>
      <c r="E43">
        <f>COUNTIF(tables_425105!C:C,input_425105!A43)-COUNTIF(Q:Q,A43)</f>
        <v>7</v>
      </c>
      <c r="F43" s="43">
        <f t="shared" ref="F43:F46" si="10">IFERROR(B43/E43,0)</f>
        <v>1.0714285714285716E-4</v>
      </c>
      <c r="G43">
        <f t="shared" si="4"/>
        <v>2040.0000000000002</v>
      </c>
      <c r="H43">
        <f t="shared" si="5"/>
        <v>291.42856999999998</v>
      </c>
      <c r="I43">
        <f t="shared" si="6"/>
        <v>0.42856999999997925</v>
      </c>
      <c r="J43">
        <f t="shared" si="7"/>
        <v>2.33334111113715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1.5000000000000001E-2</v>
      </c>
      <c r="C44" s="86">
        <f t="shared" si="2"/>
        <v>0</v>
      </c>
      <c r="D44" s="75">
        <f t="shared" si="3"/>
        <v>1.5000000000000001E-2</v>
      </c>
      <c r="E44">
        <f>COUNTIF(tables_425105!C:C,input_425105!A44)-COUNTIF(Q:Q,A44)</f>
        <v>7</v>
      </c>
      <c r="F44" s="43">
        <f t="shared" si="10"/>
        <v>2.142857142857143E-3</v>
      </c>
      <c r="G44">
        <f t="shared" si="4"/>
        <v>40800</v>
      </c>
      <c r="H44">
        <f t="shared" si="5"/>
        <v>5828.57143</v>
      </c>
      <c r="I44">
        <f t="shared" si="6"/>
        <v>0.57142999999996391</v>
      </c>
      <c r="J44">
        <f t="shared" si="7"/>
        <v>1.749995625011048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COUNTIF(tables_425105!C:C,input_425105!A45)-COUNTIF(Q:Q,A45)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6">
        <f t="shared" si="2"/>
        <v>0</v>
      </c>
      <c r="D46" s="75">
        <f t="shared" si="3"/>
        <v>1.2E-2</v>
      </c>
      <c r="E46">
        <f>COUNTIF(tables_425105!C:C,input_425105!A46)-COUNTIF(Q:Q,A46)</f>
        <v>1</v>
      </c>
      <c r="F46" s="43">
        <f t="shared" si="10"/>
        <v>1.2E-2</v>
      </c>
      <c r="G46">
        <f t="shared" si="4"/>
        <v>32640</v>
      </c>
      <c r="H46">
        <f t="shared" si="5"/>
        <v>32640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2.4141310224263801E-2</v>
      </c>
    </row>
    <row r="50" spans="1:7" x14ac:dyDescent="0.15">
      <c r="A50" t="s">
        <v>74</v>
      </c>
      <c r="E50">
        <f>E49/2</f>
        <v>1.2070655112131901E-2</v>
      </c>
    </row>
    <row r="51" spans="1:7" x14ac:dyDescent="0.15">
      <c r="A51" s="31">
        <f>LCM(F5-I5,F7-I6)*1000*2*2</f>
        <v>2720000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SUMIF(tables_425105!C:C,input_425105!A55,tables_425105!O:O)</f>
        <v>0</v>
      </c>
      <c r="C55" s="54">
        <f t="shared" ref="C55:C61" ca="1" si="11">B55/B$62</f>
        <v>0</v>
      </c>
      <c r="E55">
        <v>3</v>
      </c>
      <c r="F55">
        <f ca="1">SUMIF(tables_425105!J:J,input_425105!E55,tables_425105!O:O)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SUMIF(tables_425105!C:C,input_425105!A56,tables_425105!O:O)</f>
        <v>587790.5818200002</v>
      </c>
      <c r="C56" s="54">
        <f t="shared" ca="1" si="11"/>
        <v>0.95077282983693323</v>
      </c>
      <c r="E56">
        <v>4</v>
      </c>
      <c r="F56">
        <f ca="1">SUMIF(tables_425105!J:J,input_425105!E56,tables_425105!O:O)</f>
        <v>2584000.0000699996</v>
      </c>
      <c r="G56">
        <f ca="1">F56/A51</f>
        <v>0.95000000002573515</v>
      </c>
    </row>
    <row r="57" spans="1:7" x14ac:dyDescent="0.15">
      <c r="A57" s="33" t="s">
        <v>109</v>
      </c>
      <c r="B57">
        <f ca="1">SUMIF(tables_425105!C:C,input_425105!A57,tables_425105!O:O)</f>
        <v>27132</v>
      </c>
      <c r="C57" s="54">
        <f t="shared" ca="1" si="11"/>
        <v>4.3887005367219928E-2</v>
      </c>
      <c r="E57">
        <v>5</v>
      </c>
      <c r="F57">
        <f ca="1">SUMIF(tables_425105!J:J,input_425105!E57,tables_425105!O:O)</f>
        <v>135999.99975999998</v>
      </c>
      <c r="G57">
        <f ca="1">F57/A51</f>
        <v>4.9999999911764695E-2</v>
      </c>
    </row>
    <row r="58" spans="1:7" x14ac:dyDescent="0.15">
      <c r="A58" s="33" t="s">
        <v>113</v>
      </c>
      <c r="B58">
        <f>SUMIF(tables_425105!C:C,input_425105!A58,tables_425105!O:O)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SUMIF(tables_425105!C:C,input_425105!A59,tables_425105!O:O)</f>
        <v>1873.4180400000016</v>
      </c>
      <c r="C59" s="54">
        <f t="shared" ca="1" si="11"/>
        <v>3.0303224080984337E-3</v>
      </c>
      <c r="E59" t="s">
        <v>55</v>
      </c>
      <c r="F59" s="55"/>
    </row>
    <row r="60" spans="1:7" x14ac:dyDescent="0.15">
      <c r="A60" s="33" t="s">
        <v>110</v>
      </c>
      <c r="B60">
        <f ca="1">SUMIF(tables_425105!C:C,input_425105!A60,tables_425105!O:O)</f>
        <v>1428</v>
      </c>
      <c r="C60" s="54">
        <f t="shared" ca="1" si="11"/>
        <v>2.309842387748417E-3</v>
      </c>
      <c r="E60" t="s">
        <v>210</v>
      </c>
      <c r="F60" s="55">
        <f ca="1">SUMIF(tables_425105!I:I,input_425105!E60,tables_425105!P:P)</f>
        <v>0.20907379681453775</v>
      </c>
    </row>
    <row r="61" spans="1:7" x14ac:dyDescent="0.15">
      <c r="A61" s="33" t="s">
        <v>111</v>
      </c>
      <c r="B61">
        <f>SUMIF(tables_425105!C:C,input_425105!A61,tables_425105!O:O)</f>
        <v>0</v>
      </c>
      <c r="C61" s="54">
        <f t="shared" ca="1" si="11"/>
        <v>0</v>
      </c>
      <c r="E61" t="s">
        <v>211</v>
      </c>
      <c r="F61" s="55">
        <f ca="1">SUMIF(tables_425105!I:I,input_425105!E61,tables_425105!P:P)</f>
        <v>0.21116610447275677</v>
      </c>
    </row>
    <row r="62" spans="1:7" x14ac:dyDescent="0.15">
      <c r="A62" s="39" t="s">
        <v>60</v>
      </c>
      <c r="B62">
        <f ca="1">SUM(B55:B61)</f>
        <v>618223.99986000021</v>
      </c>
      <c r="C62" s="55">
        <f ca="1">SUM(C55:C61)</f>
        <v>1</v>
      </c>
      <c r="E62" t="s">
        <v>212</v>
      </c>
      <c r="F62" s="55">
        <f ca="1">SUMIF(tables_425105!I:I,input_425105!E62,tables_425105!P:P)</f>
        <v>0.51776009870147766</v>
      </c>
    </row>
    <row r="63" spans="1:7" x14ac:dyDescent="0.15">
      <c r="E63" t="s">
        <v>213</v>
      </c>
      <c r="F63" s="55">
        <f ca="1">SUMIF(tables_425105!I:I,input_425105!E63,tables_425105!P:P)</f>
        <v>4.8500000010384223E-2</v>
      </c>
    </row>
    <row r="64" spans="1:7" x14ac:dyDescent="0.15">
      <c r="E64" t="s">
        <v>295</v>
      </c>
      <c r="F64" s="55">
        <f ca="1">SUMIF(tables_425105!I:I,input_425105!E64,tables_425105!P:P)</f>
        <v>1.5000000000937506E-3</v>
      </c>
    </row>
    <row r="65" spans="5:6" x14ac:dyDescent="0.15">
      <c r="E65" t="s">
        <v>296</v>
      </c>
      <c r="F65" s="55">
        <f ca="1">SUMIF(tables_425105!I:I,input_425105!E65,tables_425105!P:P)</f>
        <v>1.2000000000750004E-2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" activePane="bottomLeft" state="frozen"/>
      <selection activeCell="U32" sqref="U32"/>
      <selection pane="bottomLeft" activeCell="B319" sqref="B2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input_425105!A$2</f>
        <v>425105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IFERROR(VLOOKUP(B2,input_425105!L:R,7,FALSE),VLOOKUP(tables_425105!C2,input_425105!A:H,8,FALSE))</f>
        <v>15588.266670000001</v>
      </c>
      <c r="P2" s="46">
        <f t="shared" ref="P2:P65" ca="1" si="1">O2/SUM(O:O)</f>
        <v>5.7309803937405411E-3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input_425105!A$2</f>
        <v>425105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IFERROR(VLOOKUP(B3,input_425105!L:R,7,FALSE),VLOOKUP(tables_425105!C3,input_425105!A:H,8,FALSE))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input_425105!A$2</f>
        <v>425105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IFERROR(VLOOKUP(B4,input_425105!L:R,7,FALSE),VLOOKUP(tables_425105!C4,input_425105!A:H,8,FALSE))</f>
        <v>15588.266670000001</v>
      </c>
      <c r="P4" s="46">
        <f t="shared" ca="1" si="1"/>
        <v>5.7309803937405411E-3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input_425105!A$2</f>
        <v>425105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IFERROR(VLOOKUP(B5,input_425105!L:R,7,FALSE),VLOOKUP(tables_425105!C5,input_425105!A:H,8,FALSE))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input_425105!A$2</f>
        <v>425105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IFERROR(VLOOKUP(B6,input_425105!L:R,7,FALSE),VLOOKUP(tables_425105!C6,input_425105!A:H,8,FALSE))</f>
        <v>15588.266670000001</v>
      </c>
      <c r="P6" s="46">
        <f t="shared" ca="1" si="1"/>
        <v>5.7309803937405411E-3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input_425105!A$2</f>
        <v>425105</v>
      </c>
      <c r="B7" s="6">
        <v>132</v>
      </c>
      <c r="C7" s="7" t="str">
        <f t="shared" si="0"/>
        <v>PremiumW3color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IFERROR(VLOOKUP(B7,input_425105!L:R,7,FALSE),VLOOKUP(tables_425105!C7,input_425105!A:H,8,FALSE))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input_425105!A$2</f>
        <v>425105</v>
      </c>
      <c r="B8" s="6">
        <v>133</v>
      </c>
      <c r="C8" s="7" t="str">
        <f t="shared" si="0"/>
        <v>PremiumW4color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IFERROR(VLOOKUP(B8,input_425105!L:R,7,FALSE),VLOOKUP(tables_425105!C8,input_425105!A:H,8,FALSE))</f>
        <v>66971.345449999993</v>
      </c>
      <c r="P8" s="46">
        <f t="shared" ca="1" si="1"/>
        <v>2.4621818181685927E-2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input_425105!A$2</f>
        <v>425105</v>
      </c>
      <c r="B9" s="6">
        <v>134</v>
      </c>
      <c r="C9" s="7" t="str">
        <f t="shared" si="0"/>
        <v>PremiumW3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IFERROR(VLOOKUP(B9,input_425105!L:R,7,FALSE),VLOOKUP(tables_425105!C9,input_425105!A:H,8,FALSE))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input_425105!A$2</f>
        <v>425105</v>
      </c>
      <c r="B10" s="6">
        <v>135</v>
      </c>
      <c r="C10" s="7" t="str">
        <f t="shared" si="0"/>
        <v>PremiumW4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IFERROR(VLOOKUP(B10,input_425105!L:R,7,FALSE),VLOOKUP(tables_425105!C10,input_425105!A:H,8,FALSE))</f>
        <v>15588.266670000001</v>
      </c>
      <c r="P10" s="46">
        <f t="shared" ca="1" si="1"/>
        <v>5.7309803937405411E-3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input_425105!A$2</f>
        <v>425105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IFERROR(VLOOKUP(B11,input_425105!L:R,7,FALSE),VLOOKUP(tables_425105!C11,input_425105!A:H,8,FALSE))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input_425105!A$2</f>
        <v>425105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IFERROR(VLOOKUP(B12,input_425105!L:R,7,FALSE),VLOOKUP(tables_425105!C12,input_425105!A:H,8,FALSE))</f>
        <v>15588.266670000001</v>
      </c>
      <c r="P12" s="46">
        <f t="shared" ca="1" si="1"/>
        <v>5.7309803937405411E-3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input_425105!A$2</f>
        <v>425105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IFERROR(VLOOKUP(B13,input_425105!L:R,7,FALSE),VLOOKUP(tables_425105!C13,input_425105!A:H,8,FALSE))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input_425105!A$2</f>
        <v>425105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IFERROR(VLOOKUP(B14,input_425105!L:R,7,FALSE),VLOOKUP(tables_425105!C14,input_425105!A:H,8,FALSE))</f>
        <v>15588.266670000001</v>
      </c>
      <c r="P14" s="46">
        <f t="shared" ca="1" si="1"/>
        <v>5.7309803937405411E-3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input_425105!A$2</f>
        <v>425105</v>
      </c>
      <c r="B15" s="10">
        <v>140</v>
      </c>
      <c r="C15" s="7" t="str">
        <f t="shared" si="0"/>
        <v>PremiumW3color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IFERROR(VLOOKUP(B15,input_425105!L:R,7,FALSE),VLOOKUP(tables_425105!C15,input_425105!A:H,8,FALSE))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input_425105!A$2</f>
        <v>425105</v>
      </c>
      <c r="B16" s="11">
        <v>141</v>
      </c>
      <c r="C16" s="7" t="str">
        <f t="shared" si="0"/>
        <v>PremiumW4color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IFERROR(VLOOKUP(B16,input_425105!L:R,7,FALSE),VLOOKUP(tables_425105!C16,input_425105!A:H,8,FALSE))</f>
        <v>66971.345449999993</v>
      </c>
      <c r="P16" s="46">
        <f t="shared" ca="1" si="1"/>
        <v>2.4621818181685927E-2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input_425105!A$2</f>
        <v>425105</v>
      </c>
      <c r="B17" s="6">
        <v>142</v>
      </c>
      <c r="C17" s="7" t="str">
        <f t="shared" si="0"/>
        <v>PremiumW3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IFERROR(VLOOKUP(B17,input_425105!L:R,7,FALSE),VLOOKUP(tables_425105!C17,input_425105!A:H,8,FALSE))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input_425105!A$2</f>
        <v>425105</v>
      </c>
      <c r="B18" s="6">
        <v>143</v>
      </c>
      <c r="C18" s="7" t="str">
        <f t="shared" si="0"/>
        <v>PremiumW4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IFERROR(VLOOKUP(B18,input_425105!L:R,7,FALSE),VLOOKUP(tables_425105!C18,input_425105!A:H,8,FALSE))</f>
        <v>15588.266670000001</v>
      </c>
      <c r="P18" s="46">
        <f t="shared" ca="1" si="1"/>
        <v>5.7309803937405411E-3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input_425105!A$2</f>
        <v>425105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IFERROR(VLOOKUP(B19,input_425105!L:R,7,FALSE),VLOOKUP(tables_425105!C19,input_425105!A:H,8,FALSE))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input_425105!A$2</f>
        <v>425105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IFERROR(VLOOKUP(B20,input_425105!L:R,7,FALSE),VLOOKUP(tables_425105!C20,input_425105!A:H,8,FALSE))</f>
        <v>15588.266670000001</v>
      </c>
      <c r="P20" s="46">
        <f t="shared" ca="1" si="1"/>
        <v>5.7309803937405411E-3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input_425105!A$2</f>
        <v>425105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IFERROR(VLOOKUP(B21,input_425105!L:R,7,FALSE),VLOOKUP(tables_425105!C21,input_425105!A:H,8,FALSE))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input_425105!A$2</f>
        <v>425105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IFERROR(VLOOKUP(B22,input_425105!L:R,7,FALSE),VLOOKUP(tables_425105!C22,input_425105!A:H,8,FALSE))</f>
        <v>15588.266670000001</v>
      </c>
      <c r="P22" s="46">
        <f t="shared" ca="1" si="1"/>
        <v>5.7309803937405411E-3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input_425105!A$2</f>
        <v>425105</v>
      </c>
      <c r="B23" s="6">
        <v>148</v>
      </c>
      <c r="C23" s="7" t="str">
        <f t="shared" si="0"/>
        <v>PremiumW3color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IFERROR(VLOOKUP(B23,input_425105!L:R,7,FALSE),VLOOKUP(tables_425105!C23,input_425105!A:H,8,FALSE))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input_425105!A$2</f>
        <v>425105</v>
      </c>
      <c r="B24" s="6">
        <v>149</v>
      </c>
      <c r="C24" s="7" t="str">
        <f t="shared" si="0"/>
        <v>PremiumW4color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IFERROR(VLOOKUP(B24,input_425105!L:R,7,FALSE),VLOOKUP(tables_425105!C24,input_425105!A:H,8,FALSE))</f>
        <v>66971.345449999993</v>
      </c>
      <c r="P24" s="46">
        <f t="shared" ca="1" si="1"/>
        <v>2.4621818181685927E-2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input_425105!A$2</f>
        <v>425105</v>
      </c>
      <c r="B25" s="6">
        <v>150</v>
      </c>
      <c r="C25" s="7" t="str">
        <f t="shared" si="0"/>
        <v>PremiumW3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IFERROR(VLOOKUP(B25,input_425105!L:R,7,FALSE),VLOOKUP(tables_425105!C25,input_425105!A:H,8,FALSE))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input_425105!A$2</f>
        <v>425105</v>
      </c>
      <c r="B26" s="6">
        <v>151</v>
      </c>
      <c r="C26" s="7" t="str">
        <f t="shared" si="0"/>
        <v>PremiumW4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IFERROR(VLOOKUP(B26,input_425105!L:R,7,FALSE),VLOOKUP(tables_425105!C26,input_425105!A:H,8,FALSE))</f>
        <v>15588.266670000001</v>
      </c>
      <c r="P26" s="46">
        <f t="shared" ca="1" si="1"/>
        <v>5.7309803937405411E-3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input_425105!A$2</f>
        <v>425105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IFERROR(VLOOKUP(B27,input_425105!L:R,7,FALSE),VLOOKUP(tables_425105!C27,input_425105!A:H,8,FALSE))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input_425105!A$2</f>
        <v>425105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IFERROR(VLOOKUP(B28,input_425105!L:R,7,FALSE),VLOOKUP(tables_425105!C28,input_425105!A:H,8,FALSE))</f>
        <v>15588.266670000001</v>
      </c>
      <c r="P28" s="46">
        <f t="shared" ca="1" si="1"/>
        <v>5.7309803937405411E-3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input_425105!A$2</f>
        <v>425105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IFERROR(VLOOKUP(B29,input_425105!L:R,7,FALSE),VLOOKUP(tables_425105!C29,input_425105!A:H,8,FALSE))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input_425105!A$2</f>
        <v>425105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IFERROR(VLOOKUP(B30,input_425105!L:R,7,FALSE),VLOOKUP(tables_425105!C30,input_425105!A:H,8,FALSE))</f>
        <v>15588.266670000001</v>
      </c>
      <c r="P30" s="46">
        <f t="shared" ca="1" si="1"/>
        <v>5.7309803937405411E-3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input_425105!A$2</f>
        <v>425105</v>
      </c>
      <c r="B31" s="6">
        <v>156</v>
      </c>
      <c r="C31" s="7" t="str">
        <f t="shared" si="0"/>
        <v>PremiumW3color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IFERROR(VLOOKUP(B31,input_425105!L:R,7,FALSE),VLOOKUP(tables_425105!C31,input_425105!A:H,8,FALSE))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input_425105!A$2</f>
        <v>425105</v>
      </c>
      <c r="B32" s="6">
        <v>157</v>
      </c>
      <c r="C32" s="7" t="str">
        <f t="shared" si="0"/>
        <v>PremiumW4color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IFERROR(VLOOKUP(B32,input_425105!L:R,7,FALSE),VLOOKUP(tables_425105!C32,input_425105!A:H,8,FALSE))</f>
        <v>66971.345449999993</v>
      </c>
      <c r="P32" s="46">
        <f t="shared" ca="1" si="1"/>
        <v>2.4621818181685927E-2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input_425105!A$2</f>
        <v>425105</v>
      </c>
      <c r="B33" s="6">
        <v>158</v>
      </c>
      <c r="C33" s="7" t="str">
        <f t="shared" si="0"/>
        <v>PremiumW3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IFERROR(VLOOKUP(B33,input_425105!L:R,7,FALSE),VLOOKUP(tables_425105!C33,input_425105!A:H,8,FALSE))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input_425105!A$2</f>
        <v>425105</v>
      </c>
      <c r="B34" s="6">
        <v>159</v>
      </c>
      <c r="C34" s="7" t="str">
        <f t="shared" si="0"/>
        <v>PremiumW4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IFERROR(VLOOKUP(B34,input_425105!L:R,7,FALSE),VLOOKUP(tables_425105!C34,input_425105!A:H,8,FALSE))</f>
        <v>15588.266670000001</v>
      </c>
      <c r="P34" s="46">
        <f t="shared" ca="1" si="1"/>
        <v>5.7309803937405411E-3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input_425105!A$2</f>
        <v>425105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IFERROR(VLOOKUP(B35,input_425105!L:R,7,FALSE),VLOOKUP(tables_425105!C35,input_425105!A:H,8,FALSE))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input_425105!A$2</f>
        <v>425105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IFERROR(VLOOKUP(B36,input_425105!L:R,7,FALSE),VLOOKUP(tables_425105!C36,input_425105!A:H,8,FALSE))</f>
        <v>15588.266670000001</v>
      </c>
      <c r="P36" s="46">
        <f t="shared" ca="1" si="1"/>
        <v>5.7309803937405411E-3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input_425105!A$2</f>
        <v>425105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IFERROR(VLOOKUP(B37,input_425105!L:R,7,FALSE),VLOOKUP(tables_425105!C37,input_425105!A:H,8,FALSE))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input_425105!A$2</f>
        <v>425105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IFERROR(VLOOKUP(B38,input_425105!L:R,7,FALSE),VLOOKUP(tables_425105!C38,input_425105!A:H,8,FALSE))</f>
        <v>15588.266670000001</v>
      </c>
      <c r="P38" s="46">
        <f t="shared" ca="1" si="1"/>
        <v>5.7309803937405411E-3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input_425105!A$2</f>
        <v>425105</v>
      </c>
      <c r="B39" s="6">
        <v>164</v>
      </c>
      <c r="C39" s="7" t="str">
        <f t="shared" si="0"/>
        <v>PremiumW3color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IFERROR(VLOOKUP(B39,input_425105!L:R,7,FALSE),VLOOKUP(tables_425105!C39,input_425105!A:H,8,FALSE))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input_425105!A$2</f>
        <v>425105</v>
      </c>
      <c r="B40" s="6">
        <v>165</v>
      </c>
      <c r="C40" s="7" t="str">
        <f t="shared" si="0"/>
        <v>PremiumW4color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IFERROR(VLOOKUP(B40,input_425105!L:R,7,FALSE),VLOOKUP(tables_425105!C40,input_425105!A:H,8,FALSE))</f>
        <v>66971.345449999993</v>
      </c>
      <c r="P40" s="46">
        <f t="shared" ca="1" si="1"/>
        <v>2.4621818181685927E-2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input_425105!A$2</f>
        <v>425105</v>
      </c>
      <c r="B41" s="6">
        <v>166</v>
      </c>
      <c r="C41" s="7" t="str">
        <f t="shared" si="0"/>
        <v>Premium3R6release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/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IFERROR(VLOOKUP(B41,input_425105!L:R,7,FALSE),VLOOKUP(tables_425105!C41,input_425105!A:H,8,FALSE))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input_425105!A$2</f>
        <v>425105</v>
      </c>
      <c r="B42" s="6">
        <v>167</v>
      </c>
      <c r="C42" s="7" t="str">
        <f t="shared" si="0"/>
        <v>Premium4R6release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IFERROR(VLOOKUP(B42,input_425105!L:R,7,FALSE),VLOOKUP(tables_425105!C42,input_425105!A:H,8,FALSE))</f>
        <v>14257.6</v>
      </c>
      <c r="P42" s="46">
        <f t="shared" ca="1" si="1"/>
        <v>5.241764706209965E-3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input_425105!A$2</f>
        <v>425105</v>
      </c>
      <c r="B43" s="6">
        <v>168</v>
      </c>
      <c r="C43" s="7" t="str">
        <f t="shared" si="0"/>
        <v>Premium5R6release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IFERROR(VLOOKUP(B43,input_425105!L:R,7,FALSE),VLOOKUP(tables_425105!C43,input_425105!A:H,8,FALSE))</f>
        <v>750.4</v>
      </c>
      <c r="P43" s="46">
        <f t="shared" ca="1" si="1"/>
        <v>2.7588235295841919E-4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input_425105!A$2</f>
        <v>425105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IFERROR(VLOOKUP(B44,input_425105!L:R,7,FALSE),VLOOKUP(tables_425105!C44,input_425105!A:H,8,FALSE))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input_425105!A$2</f>
        <v>425105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IFERROR(VLOOKUP(B45,input_425105!L:R,7,FALSE),VLOOKUP(tables_425105!C45,input_425105!A:H,8,FALSE))</f>
        <v>14257.6</v>
      </c>
      <c r="P45" s="46">
        <f t="shared" ca="1" si="1"/>
        <v>5.241764706209965E-3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input_425105!A$2</f>
        <v>425105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IFERROR(VLOOKUP(B46,input_425105!L:R,7,FALSE),VLOOKUP(tables_425105!C46,input_425105!A:H,8,FALSE))</f>
        <v>750.4</v>
      </c>
      <c r="P46" s="46">
        <f t="shared" ca="1" si="1"/>
        <v>2.7588235295841919E-4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input_425105!A$2</f>
        <v>425105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IFERROR(VLOOKUP(B47,input_425105!L:R,7,FALSE),VLOOKUP(tables_425105!C47,input_425105!A:H,8,FALSE))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input_425105!A$2</f>
        <v>425105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IFERROR(VLOOKUP(B48,input_425105!L:R,7,FALSE),VLOOKUP(tables_425105!C48,input_425105!A:H,8,FALSE))</f>
        <v>14257.6</v>
      </c>
      <c r="P48" s="46">
        <f t="shared" ca="1" si="1"/>
        <v>5.241764706209965E-3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input_425105!A$2</f>
        <v>425105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IFERROR(VLOOKUP(B49,input_425105!L:R,7,FALSE),VLOOKUP(tables_425105!C49,input_425105!A:H,8,FALSE))</f>
        <v>750.4</v>
      </c>
      <c r="P49" s="46">
        <f t="shared" ca="1" si="1"/>
        <v>2.7588235295841919E-4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input_425105!A$2</f>
        <v>425105</v>
      </c>
      <c r="B50" s="6">
        <v>175</v>
      </c>
      <c r="C50" s="7" t="str">
        <f t="shared" si="0"/>
        <v>Premium3color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>color</v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IFERROR(VLOOKUP(B50,input_425105!L:R,7,FALSE),VLOOKUP(tables_425105!C50,input_425105!A:H,8,FALSE))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input_425105!A$2</f>
        <v>425105</v>
      </c>
      <c r="B51" s="6">
        <v>176</v>
      </c>
      <c r="C51" s="7" t="str">
        <f t="shared" si="0"/>
        <v>Premium4color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IFERROR(VLOOKUP(B51,input_425105!L:R,7,FALSE),VLOOKUP(tables_425105!C51,input_425105!A:H,8,FALSE))</f>
        <v>69047.43217</v>
      </c>
      <c r="P51" s="46">
        <f t="shared" ca="1" si="1"/>
        <v>2.5385085358204221E-2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input_425105!A$2</f>
        <v>425105</v>
      </c>
      <c r="B52" s="6">
        <v>177</v>
      </c>
      <c r="C52" s="7" t="str">
        <f t="shared" si="0"/>
        <v>Premium5color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IFERROR(VLOOKUP(B52,input_425105!L:R,7,FALSE),VLOOKUP(tables_425105!C52,input_425105!A:H,8,FALSE))</f>
        <v>535.11328000000003</v>
      </c>
      <c r="P52" s="46">
        <f t="shared" ca="1" si="1"/>
        <v>1.9673282354170765E-4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input_425105!A$2</f>
        <v>425105</v>
      </c>
      <c r="B53" s="6">
        <v>178</v>
      </c>
      <c r="C53" s="7" t="str">
        <f t="shared" si="0"/>
        <v>Premium3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IFERROR(VLOOKUP(B53,input_425105!L:R,7,FALSE),VLOOKUP(tables_425105!C53,input_425105!A:H,8,FALSE))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input_425105!A$2</f>
        <v>425105</v>
      </c>
      <c r="B54" s="6">
        <v>179</v>
      </c>
      <c r="C54" s="7" t="str">
        <f t="shared" si="0"/>
        <v>Premium4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IFERROR(VLOOKUP(B54,input_425105!L:R,7,FALSE),VLOOKUP(tables_425105!C54,input_425105!A:H,8,FALSE))</f>
        <v>15071.553379999999</v>
      </c>
      <c r="P54" s="46">
        <f t="shared" ca="1" si="1"/>
        <v>5.5410122724051381E-3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input_425105!A$2</f>
        <v>425105</v>
      </c>
      <c r="B55" s="6">
        <v>180</v>
      </c>
      <c r="C55" s="7" t="str">
        <f t="shared" si="0"/>
        <v>Premium5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IFERROR(VLOOKUP(B55,input_425105!L:R,7,FALSE),VLOOKUP(tables_425105!C55,input_425105!A:H,8,FALSE))</f>
        <v>48.036360000000002</v>
      </c>
      <c r="P55" s="46">
        <f t="shared" ca="1" si="1"/>
        <v>1.7660426471692017E-5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input_425105!A$2</f>
        <v>425105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IFERROR(VLOOKUP(B56,input_425105!L:R,7,FALSE),VLOOKUP(tables_425105!C56,input_425105!A:H,8,FALSE))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input_425105!A$2</f>
        <v>425105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IFERROR(VLOOKUP(B57,input_425105!L:R,7,FALSE),VLOOKUP(tables_425105!C57,input_425105!A:H,8,FALSE))</f>
        <v>15071.553379999999</v>
      </c>
      <c r="P57" s="46">
        <f t="shared" ca="1" si="1"/>
        <v>5.5410122724051381E-3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input_425105!A$2</f>
        <v>425105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IFERROR(VLOOKUP(B58,input_425105!L:R,7,FALSE),VLOOKUP(tables_425105!C58,input_425105!A:H,8,FALSE))</f>
        <v>48.036360000000002</v>
      </c>
      <c r="P58" s="46">
        <f t="shared" ca="1" si="1"/>
        <v>1.7660426471692017E-5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input_425105!A$2</f>
        <v>425105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IFERROR(VLOOKUP(B59,input_425105!L:R,7,FALSE),VLOOKUP(tables_425105!C59,input_425105!A:H,8,FALSE))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input_425105!A$2</f>
        <v>425105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IFERROR(VLOOKUP(B60,input_425105!L:R,7,FALSE),VLOOKUP(tables_425105!C60,input_425105!A:H,8,FALSE))</f>
        <v>15071.553379999999</v>
      </c>
      <c r="P60" s="46">
        <f t="shared" ca="1" si="1"/>
        <v>5.5410122724051381E-3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input_425105!A$2</f>
        <v>425105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IFERROR(VLOOKUP(B61,input_425105!L:R,7,FALSE),VLOOKUP(tables_425105!C61,input_425105!A:H,8,FALSE))</f>
        <v>48.036360000000002</v>
      </c>
      <c r="P61" s="46">
        <f t="shared" ca="1" si="1"/>
        <v>1.7660426471692017E-5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input_425105!A$2</f>
        <v>425105</v>
      </c>
      <c r="B62" s="8">
        <v>187</v>
      </c>
      <c r="C62" s="7" t="str">
        <f t="shared" si="0"/>
        <v>Premium3color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IFERROR(VLOOKUP(B62,input_425105!L:R,7,FALSE),VLOOKUP(tables_425105!C62,input_425105!A:H,8,FALSE))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input_425105!A$2</f>
        <v>425105</v>
      </c>
      <c r="B63" s="8">
        <v>188</v>
      </c>
      <c r="C63" s="7" t="str">
        <f t="shared" si="0"/>
        <v>Premium4color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IFERROR(VLOOKUP(B63,input_425105!L:R,7,FALSE),VLOOKUP(tables_425105!C63,input_425105!A:H,8,FALSE))</f>
        <v>69047.43217</v>
      </c>
      <c r="P63" s="46">
        <f t="shared" ca="1" si="1"/>
        <v>2.5385085358204221E-2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input_425105!A$2</f>
        <v>425105</v>
      </c>
      <c r="B64" s="8">
        <v>189</v>
      </c>
      <c r="C64" s="7" t="str">
        <f t="shared" si="0"/>
        <v>Premium5color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IFERROR(VLOOKUP(B64,input_425105!L:R,7,FALSE),VLOOKUP(tables_425105!C64,input_425105!A:H,8,FALSE))</f>
        <v>535.11328000000003</v>
      </c>
      <c r="P64" s="46">
        <f t="shared" ca="1" si="1"/>
        <v>1.9673282354170765E-4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input_425105!A$2</f>
        <v>425105</v>
      </c>
      <c r="B65" s="6">
        <v>190</v>
      </c>
      <c r="C65" s="7" t="str">
        <f t="shared" si="0"/>
        <v>Premium3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IFERROR(VLOOKUP(B65,input_425105!L:R,7,FALSE),VLOOKUP(tables_425105!C65,input_425105!A:H,8,FALSE))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input_425105!A$2</f>
        <v>425105</v>
      </c>
      <c r="B66" s="6">
        <v>191</v>
      </c>
      <c r="C66" s="7" t="str">
        <f t="shared" ref="C66:C129" si="4">D66&amp;J66&amp;E66&amp;F66&amp;G66</f>
        <v>Premium4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IFERROR(VLOOKUP(B66,input_425105!L:R,7,FALSE),VLOOKUP(tables_425105!C66,input_425105!A:H,8,FALSE))</f>
        <v>15071.553379999999</v>
      </c>
      <c r="P66" s="46">
        <f t="shared" ref="P66:P129" ca="1" si="5">O66/SUM(O:O)</f>
        <v>5.5410122724051381E-3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input_425105!A$2</f>
        <v>425105</v>
      </c>
      <c r="B67" s="6">
        <v>192</v>
      </c>
      <c r="C67" s="7" t="str">
        <f t="shared" si="4"/>
        <v>Premium5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IFERROR(VLOOKUP(B67,input_425105!L:R,7,FALSE),VLOOKUP(tables_425105!C67,input_425105!A:H,8,FALSE))</f>
        <v>48.036360000000002</v>
      </c>
      <c r="P67" s="46">
        <f t="shared" ca="1" si="5"/>
        <v>1.7660426471692017E-5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input_425105!A$2</f>
        <v>425105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IFERROR(VLOOKUP(B68,input_425105!L:R,7,FALSE),VLOOKUP(tables_425105!C68,input_425105!A:H,8,FALSE))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input_425105!A$2</f>
        <v>425105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IFERROR(VLOOKUP(B69,input_425105!L:R,7,FALSE),VLOOKUP(tables_425105!C69,input_425105!A:H,8,FALSE))</f>
        <v>15071.553379999999</v>
      </c>
      <c r="P69" s="46">
        <f t="shared" ca="1" si="5"/>
        <v>5.5410122724051381E-3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input_425105!A$2</f>
        <v>425105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IFERROR(VLOOKUP(B70,input_425105!L:R,7,FALSE),VLOOKUP(tables_425105!C70,input_425105!A:H,8,FALSE))</f>
        <v>48.036360000000002</v>
      </c>
      <c r="P70" s="46">
        <f t="shared" ca="1" si="5"/>
        <v>1.7660426471692017E-5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input_425105!A$2</f>
        <v>425105</v>
      </c>
      <c r="B71" s="10">
        <v>196</v>
      </c>
      <c r="C71" s="7" t="str">
        <f t="shared" si="4"/>
        <v>Premium3color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IFERROR(VLOOKUP(B71,input_425105!L:R,7,FALSE),VLOOKUP(tables_425105!C71,input_425105!A:H,8,FALSE))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input_425105!A$2</f>
        <v>425105</v>
      </c>
      <c r="B72" s="11">
        <v>197</v>
      </c>
      <c r="C72" s="7" t="str">
        <f t="shared" si="4"/>
        <v>Premium4color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IFERROR(VLOOKUP(B72,input_425105!L:R,7,FALSE),VLOOKUP(tables_425105!C72,input_425105!A:H,8,FALSE))</f>
        <v>69047.43217</v>
      </c>
      <c r="P72" s="46">
        <f t="shared" ca="1" si="5"/>
        <v>2.5385085358204221E-2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input_425105!A$2</f>
        <v>425105</v>
      </c>
      <c r="B73" s="6">
        <v>198</v>
      </c>
      <c r="C73" s="7" t="str">
        <f t="shared" si="4"/>
        <v>Premium5color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IFERROR(VLOOKUP(B73,input_425105!L:R,7,FALSE),VLOOKUP(tables_425105!C73,input_425105!A:H,8,FALSE))</f>
        <v>535.11328000000003</v>
      </c>
      <c r="P73" s="46">
        <f t="shared" ca="1" si="5"/>
        <v>1.9673282354170765E-4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input_425105!A$2</f>
        <v>425105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IFERROR(VLOOKUP(B74,input_425105!L:R,7,FALSE),VLOOKUP(tables_425105!C74,input_425105!A:H,8,FALSE))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input_425105!A$2</f>
        <v>425105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IFERROR(VLOOKUP(B75,input_425105!L:R,7,FALSE),VLOOKUP(tables_425105!C75,input_425105!A:H,8,FALSE))</f>
        <v>15071.553379999999</v>
      </c>
      <c r="P75" s="46">
        <f t="shared" ca="1" si="5"/>
        <v>5.5410122724051381E-3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input_425105!A$2</f>
        <v>425105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IFERROR(VLOOKUP(B76,input_425105!L:R,7,FALSE),VLOOKUP(tables_425105!C76,input_425105!A:H,8,FALSE))</f>
        <v>48.036360000000002</v>
      </c>
      <c r="P76" s="46">
        <f t="shared" ca="1" si="5"/>
        <v>1.7660426471692017E-5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input_425105!A$2</f>
        <v>425105</v>
      </c>
      <c r="B77" s="5">
        <v>202</v>
      </c>
      <c r="C77" s="7" t="str">
        <f t="shared" si="4"/>
        <v>Premium3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IFERROR(VLOOKUP(B77,input_425105!L:R,7,FALSE),VLOOKUP(tables_425105!C77,input_425105!A:H,8,FALSE))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input_425105!A$2</f>
        <v>425105</v>
      </c>
      <c r="B78" s="5">
        <v>203</v>
      </c>
      <c r="C78" s="7" t="str">
        <f t="shared" si="4"/>
        <v>Premium4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IFERROR(VLOOKUP(B78,input_425105!L:R,7,FALSE),VLOOKUP(tables_425105!C78,input_425105!A:H,8,FALSE))</f>
        <v>15071.553379999999</v>
      </c>
      <c r="P78" s="46">
        <f t="shared" ca="1" si="5"/>
        <v>5.5410122724051381E-3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input_425105!A$2</f>
        <v>425105</v>
      </c>
      <c r="B79" s="5">
        <v>204</v>
      </c>
      <c r="C79" s="7" t="str">
        <f t="shared" si="4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IFERROR(VLOOKUP(B79,input_425105!L:R,7,FALSE),VLOOKUP(tables_425105!C79,input_425105!A:H,8,FALSE))</f>
        <v>48.036360000000002</v>
      </c>
      <c r="P79" s="46">
        <f t="shared" ca="1" si="5"/>
        <v>1.7660426471692017E-5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input_425105!A$2</f>
        <v>425105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IFERROR(VLOOKUP(B80,input_425105!L:R,7,FALSE),VLOOKUP(tables_425105!C80,input_425105!A:H,8,FALSE))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input_425105!A$2</f>
        <v>425105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IFERROR(VLOOKUP(B81,input_425105!L:R,7,FALSE),VLOOKUP(tables_425105!C81,input_425105!A:H,8,FALSE))</f>
        <v>15071.553379999999</v>
      </c>
      <c r="P81" s="46">
        <f t="shared" ca="1" si="5"/>
        <v>5.5410122724051381E-3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input_425105!A$2</f>
        <v>425105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IFERROR(VLOOKUP(B82,input_425105!L:R,7,FALSE),VLOOKUP(tables_425105!C82,input_425105!A:H,8,FALSE))</f>
        <v>48.036360000000002</v>
      </c>
      <c r="P82" s="46">
        <f t="shared" ca="1" si="5"/>
        <v>1.7660426471692017E-5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input_425105!A$2</f>
        <v>425105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IFERROR(VLOOKUP(B83,input_425105!L:R,7,FALSE),VLOOKUP(tables_425105!C83,input_425105!A:H,8,FALSE))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input_425105!A$2</f>
        <v>425105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IFERROR(VLOOKUP(B84,input_425105!L:R,7,FALSE),VLOOKUP(tables_425105!C84,input_425105!A:H,8,FALSE))</f>
        <v>15071.553379999999</v>
      </c>
      <c r="P84" s="46">
        <f t="shared" ca="1" si="5"/>
        <v>5.5410122724051381E-3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input_425105!A$2</f>
        <v>425105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IFERROR(VLOOKUP(B85,input_425105!L:R,7,FALSE),VLOOKUP(tables_425105!C85,input_425105!A:H,8,FALSE))</f>
        <v>48.036360000000002</v>
      </c>
      <c r="P85" s="46">
        <f t="shared" ca="1" si="5"/>
        <v>1.7660426471692017E-5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input_425105!A$2</f>
        <v>425105</v>
      </c>
      <c r="B86" s="5">
        <v>211</v>
      </c>
      <c r="C86" s="7" t="str">
        <f t="shared" si="4"/>
        <v>Premium3color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IFERROR(VLOOKUP(B86,input_425105!L:R,7,FALSE),VLOOKUP(tables_425105!C86,input_425105!A:H,8,FALSE))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input_425105!A$2</f>
        <v>425105</v>
      </c>
      <c r="B87" s="5">
        <v>212</v>
      </c>
      <c r="C87" s="7" t="str">
        <f t="shared" si="4"/>
        <v>Premium4color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IFERROR(VLOOKUP(B87,input_425105!L:R,7,FALSE),VLOOKUP(tables_425105!C87,input_425105!A:H,8,FALSE))</f>
        <v>69047.43217</v>
      </c>
      <c r="P87" s="46">
        <f t="shared" ca="1" si="5"/>
        <v>2.5385085358204221E-2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input_425105!A$2</f>
        <v>425105</v>
      </c>
      <c r="B88" s="5">
        <v>213</v>
      </c>
      <c r="C88" s="7" t="str">
        <f t="shared" si="4"/>
        <v>Premium5color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IFERROR(VLOOKUP(B88,input_425105!L:R,7,FALSE),VLOOKUP(tables_425105!C88,input_425105!A:H,8,FALSE))</f>
        <v>535.11328000000003</v>
      </c>
      <c r="P88" s="46">
        <f t="shared" ca="1" si="5"/>
        <v>1.9673282354170765E-4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input_425105!A$2</f>
        <v>425105</v>
      </c>
      <c r="B89" s="5">
        <v>214</v>
      </c>
      <c r="C89" s="7" t="str">
        <f t="shared" si="4"/>
        <v>Premium3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IFERROR(VLOOKUP(B89,input_425105!L:R,7,FALSE),VLOOKUP(tables_425105!C89,input_425105!A:H,8,FALSE))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input_425105!A$2</f>
        <v>425105</v>
      </c>
      <c r="B90" s="5">
        <v>215</v>
      </c>
      <c r="C90" s="7" t="str">
        <f t="shared" si="4"/>
        <v>Premium4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IFERROR(VLOOKUP(B90,input_425105!L:R,7,FALSE),VLOOKUP(tables_425105!C90,input_425105!A:H,8,FALSE))</f>
        <v>15071.553379999999</v>
      </c>
      <c r="P90" s="46">
        <f t="shared" ca="1" si="5"/>
        <v>5.5410122724051381E-3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input_425105!A$2</f>
        <v>425105</v>
      </c>
      <c r="B91" s="5">
        <v>216</v>
      </c>
      <c r="C91" s="7" t="str">
        <f t="shared" si="4"/>
        <v>Premium5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IFERROR(VLOOKUP(B91,input_425105!L:R,7,FALSE),VLOOKUP(tables_425105!C91,input_425105!A:H,8,FALSE))</f>
        <v>48.036360000000002</v>
      </c>
      <c r="P91" s="46">
        <f t="shared" ca="1" si="5"/>
        <v>1.7660426471692017E-5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input_425105!A$2</f>
        <v>425105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IFERROR(VLOOKUP(B92,input_425105!L:R,7,FALSE),VLOOKUP(tables_425105!C92,input_425105!A:H,8,FALSE))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input_425105!A$2</f>
        <v>425105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IFERROR(VLOOKUP(B93,input_425105!L:R,7,FALSE),VLOOKUP(tables_425105!C93,input_425105!A:H,8,FALSE))</f>
        <v>15071.553379999999</v>
      </c>
      <c r="P93" s="46">
        <f t="shared" ca="1" si="5"/>
        <v>5.5410122724051381E-3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input_425105!A$2</f>
        <v>425105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IFERROR(VLOOKUP(B94,input_425105!L:R,7,FALSE),VLOOKUP(tables_425105!C94,input_425105!A:H,8,FALSE))</f>
        <v>48.036360000000002</v>
      </c>
      <c r="P94" s="46">
        <f t="shared" ca="1" si="5"/>
        <v>1.7660426471692017E-5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input_425105!A$2</f>
        <v>425105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IFERROR(VLOOKUP(B95,input_425105!L:R,7,FALSE),VLOOKUP(tables_425105!C95,input_425105!A:H,8,FALSE))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input_425105!A$2</f>
        <v>425105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IFERROR(VLOOKUP(B96,input_425105!L:R,7,FALSE),VLOOKUP(tables_425105!C96,input_425105!A:H,8,FALSE))</f>
        <v>15071.553379999999</v>
      </c>
      <c r="P96" s="46">
        <f t="shared" ca="1" si="5"/>
        <v>5.5410122724051381E-3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input_425105!A$2</f>
        <v>425105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IFERROR(VLOOKUP(B97,input_425105!L:R,7,FALSE),VLOOKUP(tables_425105!C97,input_425105!A:H,8,FALSE))</f>
        <v>48.036360000000002</v>
      </c>
      <c r="P97" s="46">
        <f t="shared" ca="1" si="5"/>
        <v>1.7660426471692017E-5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input_425105!A$2</f>
        <v>425105</v>
      </c>
      <c r="B98" s="5">
        <v>223</v>
      </c>
      <c r="C98" s="7" t="str">
        <f t="shared" si="4"/>
        <v>Premium3color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IFERROR(VLOOKUP(B98,input_425105!L:R,7,FALSE),VLOOKUP(tables_425105!C98,input_425105!A:H,8,FALSE))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input_425105!A$2</f>
        <v>425105</v>
      </c>
      <c r="B99" s="5">
        <v>224</v>
      </c>
      <c r="C99" s="7" t="str">
        <f t="shared" si="4"/>
        <v>Premium4color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IFERROR(VLOOKUP(B99,input_425105!L:R,7,FALSE),VLOOKUP(tables_425105!C99,input_425105!A:H,8,FALSE))</f>
        <v>69047.43217</v>
      </c>
      <c r="P99" s="46">
        <f t="shared" ca="1" si="5"/>
        <v>2.5385085358204221E-2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input_425105!A$2</f>
        <v>425105</v>
      </c>
      <c r="B100" s="5">
        <v>225</v>
      </c>
      <c r="C100" s="7" t="str">
        <f t="shared" si="4"/>
        <v>Premium5color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IFERROR(VLOOKUP(B100,input_425105!L:R,7,FALSE),VLOOKUP(tables_425105!C100,input_425105!A:H,8,FALSE))</f>
        <v>535.11328000000003</v>
      </c>
      <c r="P100" s="46">
        <f t="shared" ca="1" si="5"/>
        <v>1.9673282354170765E-4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input_425105!A$2</f>
        <v>425105</v>
      </c>
      <c r="B101" s="5">
        <v>226</v>
      </c>
      <c r="C101" s="7" t="str">
        <f t="shared" si="4"/>
        <v>Premium3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IFERROR(VLOOKUP(B101,input_425105!L:R,7,FALSE),VLOOKUP(tables_425105!C101,input_425105!A:H,8,FALSE))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input_425105!A$2</f>
        <v>425105</v>
      </c>
      <c r="B102" s="5">
        <v>227</v>
      </c>
      <c r="C102" s="7" t="str">
        <f t="shared" si="4"/>
        <v>Premium4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IFERROR(VLOOKUP(B102,input_425105!L:R,7,FALSE),VLOOKUP(tables_425105!C102,input_425105!A:H,8,FALSE))</f>
        <v>15071.553379999999</v>
      </c>
      <c r="P102" s="46">
        <f t="shared" ca="1" si="5"/>
        <v>5.5410122724051381E-3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input_425105!A$2</f>
        <v>425105</v>
      </c>
      <c r="B103" s="5">
        <v>228</v>
      </c>
      <c r="C103" s="7" t="str">
        <f t="shared" si="4"/>
        <v>Premium5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IFERROR(VLOOKUP(B103,input_425105!L:R,7,FALSE),VLOOKUP(tables_425105!C103,input_425105!A:H,8,FALSE))</f>
        <v>48.036360000000002</v>
      </c>
      <c r="P103" s="46">
        <f t="shared" ca="1" si="5"/>
        <v>1.7660426471692017E-5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input_425105!A$2</f>
        <v>425105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IFERROR(VLOOKUP(B104,input_425105!L:R,7,FALSE),VLOOKUP(tables_425105!C104,input_425105!A:H,8,FALSE))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input_425105!A$2</f>
        <v>425105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IFERROR(VLOOKUP(B105,input_425105!L:R,7,FALSE),VLOOKUP(tables_425105!C105,input_425105!A:H,8,FALSE))</f>
        <v>15071.553379999999</v>
      </c>
      <c r="P105" s="46">
        <f t="shared" ca="1" si="5"/>
        <v>5.5410122724051381E-3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input_425105!A$2</f>
        <v>425105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IFERROR(VLOOKUP(B106,input_425105!L:R,7,FALSE),VLOOKUP(tables_425105!C106,input_425105!A:H,8,FALSE))</f>
        <v>48.036360000000002</v>
      </c>
      <c r="P106" s="46">
        <f t="shared" ca="1" si="5"/>
        <v>1.7660426471692017E-5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input_425105!A$2</f>
        <v>425105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IFERROR(VLOOKUP(B107,input_425105!L:R,7,FALSE),VLOOKUP(tables_425105!C107,input_425105!A:H,8,FALSE))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input_425105!A$2</f>
        <v>425105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IFERROR(VLOOKUP(B108,input_425105!L:R,7,FALSE),VLOOKUP(tables_425105!C108,input_425105!A:H,8,FALSE))</f>
        <v>15071.553379999999</v>
      </c>
      <c r="P108" s="46">
        <f t="shared" ca="1" si="5"/>
        <v>5.5410122724051381E-3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input_425105!A$2</f>
        <v>425105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IFERROR(VLOOKUP(B109,input_425105!L:R,7,FALSE),VLOOKUP(tables_425105!C109,input_425105!A:H,8,FALSE))</f>
        <v>48.036360000000002</v>
      </c>
      <c r="P109" s="46">
        <f t="shared" ca="1" si="5"/>
        <v>1.7660426471692017E-5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input_425105!A$2</f>
        <v>425105</v>
      </c>
      <c r="B110" s="5">
        <v>235</v>
      </c>
      <c r="C110" s="7" t="str">
        <f t="shared" si="4"/>
        <v>Premium3R6releasecolor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>color</v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IFERROR(VLOOKUP(B110,input_425105!L:R,7,FALSE),VLOOKUP(tables_425105!C110,input_425105!A:H,8,FALSE))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input_425105!A$2</f>
        <v>425105</v>
      </c>
      <c r="B111" s="5">
        <v>236</v>
      </c>
      <c r="C111" s="7" t="str">
        <f t="shared" si="4"/>
        <v>Premium4R6releasecolor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IFERROR(VLOOKUP(B111,input_425105!L:R,7,FALSE),VLOOKUP(tables_425105!C111,input_425105!A:H,8,FALSE))</f>
        <v>66103.418179999993</v>
      </c>
      <c r="P111" s="46">
        <f t="shared" ca="1" si="5"/>
        <v>2.430272727357775E-2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input_425105!A$2</f>
        <v>425105</v>
      </c>
      <c r="B112" s="5">
        <v>237</v>
      </c>
      <c r="C112" s="7" t="str">
        <f t="shared" si="4"/>
        <v>Premium5R6releasecolor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IFERROR(VLOOKUP(B112,input_425105!L:R,7,FALSE),VLOOKUP(tables_425105!C112,input_425105!A:H,8,FALSE))</f>
        <v>3479.12727</v>
      </c>
      <c r="P112" s="46">
        <f t="shared" ca="1" si="5"/>
        <v>1.2790909081681788E-3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input_425105!A$2</f>
        <v>425105</v>
      </c>
      <c r="B113" s="5">
        <v>238</v>
      </c>
      <c r="C113" s="7" t="str">
        <f t="shared" si="4"/>
        <v>Premium3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/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IFERROR(VLOOKUP(B113,input_425105!L:R,7,FALSE),VLOOKUP(tables_425105!C113,input_425105!A:H,8,FALSE))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input_425105!A$2</f>
        <v>425105</v>
      </c>
      <c r="B114" s="5">
        <v>239</v>
      </c>
      <c r="C114" s="7" t="str">
        <f t="shared" si="4"/>
        <v>Premium4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IFERROR(VLOOKUP(B114,input_425105!L:R,7,FALSE),VLOOKUP(tables_425105!C114,input_425105!A:H,8,FALSE))</f>
        <v>15071.553379999999</v>
      </c>
      <c r="P114" s="46">
        <f t="shared" ca="1" si="5"/>
        <v>5.5410122724051381E-3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input_425105!A$2</f>
        <v>425105</v>
      </c>
      <c r="B115" s="5">
        <v>240</v>
      </c>
      <c r="C115" s="7" t="str">
        <f t="shared" si="4"/>
        <v>Premium5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IFERROR(VLOOKUP(B115,input_425105!L:R,7,FALSE),VLOOKUP(tables_425105!C115,input_425105!A:H,8,FALSE))</f>
        <v>48.036360000000002</v>
      </c>
      <c r="P115" s="46">
        <f t="shared" ca="1" si="5"/>
        <v>1.7660426471692017E-5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input_425105!A$2</f>
        <v>425105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IFERROR(VLOOKUP(B116,input_425105!L:R,7,FALSE),VLOOKUP(tables_425105!C116,input_425105!A:H,8,FALSE))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input_425105!A$2</f>
        <v>425105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IFERROR(VLOOKUP(B117,input_425105!L:R,7,FALSE),VLOOKUP(tables_425105!C117,input_425105!A:H,8,FALSE))</f>
        <v>15071.553379999999</v>
      </c>
      <c r="P117" s="46">
        <f t="shared" ca="1" si="5"/>
        <v>5.5410122724051381E-3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input_425105!A$2</f>
        <v>425105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IFERROR(VLOOKUP(B118,input_425105!L:R,7,FALSE),VLOOKUP(tables_425105!C118,input_425105!A:H,8,FALSE))</f>
        <v>48.036360000000002</v>
      </c>
      <c r="P118" s="46">
        <f t="shared" ca="1" si="5"/>
        <v>1.7660426471692017E-5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input_425105!A$2</f>
        <v>425105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IFERROR(VLOOKUP(B119,input_425105!L:R,7,FALSE),VLOOKUP(tables_425105!C119,input_425105!A:H,8,FALSE))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input_425105!A$2</f>
        <v>425105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IFERROR(VLOOKUP(B120,input_425105!L:R,7,FALSE),VLOOKUP(tables_425105!C120,input_425105!A:H,8,FALSE))</f>
        <v>15071.553379999999</v>
      </c>
      <c r="P120" s="46">
        <f t="shared" ca="1" si="5"/>
        <v>5.5410122724051381E-3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input_425105!A$2</f>
        <v>425105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IFERROR(VLOOKUP(B121,input_425105!L:R,7,FALSE),VLOOKUP(tables_425105!C121,input_425105!A:H,8,FALSE))</f>
        <v>48.036360000000002</v>
      </c>
      <c r="P121" s="46">
        <f t="shared" ca="1" si="5"/>
        <v>1.7660426471692017E-5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input_425105!A$2</f>
        <v>425105</v>
      </c>
      <c r="B122" s="5">
        <v>247</v>
      </c>
      <c r="C122" s="7" t="str">
        <f t="shared" si="4"/>
        <v>Premium3color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IFERROR(VLOOKUP(B122,input_425105!L:R,7,FALSE),VLOOKUP(tables_425105!C122,input_425105!A:H,8,FALSE))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input_425105!A$2</f>
        <v>425105</v>
      </c>
      <c r="B123" s="5">
        <v>248</v>
      </c>
      <c r="C123" s="7" t="str">
        <f t="shared" si="4"/>
        <v>Premium4color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IFERROR(VLOOKUP(B123,input_425105!L:R,7,FALSE),VLOOKUP(tables_425105!C123,input_425105!A:H,8,FALSE))</f>
        <v>69047.43217</v>
      </c>
      <c r="P123" s="46">
        <f t="shared" ca="1" si="5"/>
        <v>2.5385085358204221E-2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input_425105!A$2</f>
        <v>425105</v>
      </c>
      <c r="B124" s="6">
        <v>249</v>
      </c>
      <c r="C124" s="7" t="str">
        <f t="shared" si="4"/>
        <v>Premium5color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IFERROR(VLOOKUP(B124,input_425105!L:R,7,FALSE),VLOOKUP(tables_425105!C124,input_425105!A:H,8,FALSE))</f>
        <v>535.11328000000003</v>
      </c>
      <c r="P124" s="46">
        <f t="shared" ca="1" si="5"/>
        <v>1.9673282354170765E-4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input_425105!A$2</f>
        <v>425105</v>
      </c>
      <c r="B125" s="6">
        <v>250</v>
      </c>
      <c r="C125" s="7" t="str">
        <f t="shared" si="4"/>
        <v>Premium3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IFERROR(VLOOKUP(B125,input_425105!L:R,7,FALSE),VLOOKUP(tables_425105!C125,input_425105!A:H,8,FALSE))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input_425105!A$2</f>
        <v>425105</v>
      </c>
      <c r="B126" s="6">
        <v>251</v>
      </c>
      <c r="C126" s="7" t="str">
        <f t="shared" si="4"/>
        <v>Premium4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IFERROR(VLOOKUP(B126,input_425105!L:R,7,FALSE),VLOOKUP(tables_425105!C126,input_425105!A:H,8,FALSE))</f>
        <v>15071.553379999999</v>
      </c>
      <c r="P126" s="46">
        <f t="shared" ca="1" si="5"/>
        <v>5.5410122724051381E-3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input_425105!A$2</f>
        <v>425105</v>
      </c>
      <c r="B127" s="6">
        <v>252</v>
      </c>
      <c r="C127" s="7" t="str">
        <f t="shared" si="4"/>
        <v>Premium5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IFERROR(VLOOKUP(B127,input_425105!L:R,7,FALSE),VLOOKUP(tables_425105!C127,input_425105!A:H,8,FALSE))</f>
        <v>48.036360000000002</v>
      </c>
      <c r="P127" s="46">
        <f t="shared" ca="1" si="5"/>
        <v>1.7660426471692017E-5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input_425105!A$2</f>
        <v>425105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IFERROR(VLOOKUP(B128,input_425105!L:R,7,FALSE),VLOOKUP(tables_425105!C128,input_425105!A:H,8,FALSE))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input_425105!A$2</f>
        <v>425105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IFERROR(VLOOKUP(B129,input_425105!L:R,7,FALSE),VLOOKUP(tables_425105!C129,input_425105!A:H,8,FALSE))</f>
        <v>15071.553379999999</v>
      </c>
      <c r="P129" s="46">
        <f t="shared" ca="1" si="5"/>
        <v>5.5410122724051381E-3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input_425105!A$2</f>
        <v>425105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IFERROR(VLOOKUP(B130,input_425105!L:R,7,FALSE),VLOOKUP(tables_425105!C130,input_425105!A:H,8,FALSE))</f>
        <v>48.036360000000002</v>
      </c>
      <c r="P130" s="46">
        <f t="shared" ref="P130:P193" ca="1" si="9">O130/SUM(O:O)</f>
        <v>1.7660426471692017E-5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input_425105!A$2</f>
        <v>425105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IFERROR(VLOOKUP(B131,input_425105!L:R,7,FALSE),VLOOKUP(tables_425105!C131,input_425105!A:H,8,FALSE))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input_425105!A$2</f>
        <v>425105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IFERROR(VLOOKUP(B132,input_425105!L:R,7,FALSE),VLOOKUP(tables_425105!C132,input_425105!A:H,8,FALSE))</f>
        <v>15071.553379999999</v>
      </c>
      <c r="P132" s="46">
        <f t="shared" ca="1" si="9"/>
        <v>5.5410122724051381E-3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input_425105!A$2</f>
        <v>425105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IFERROR(VLOOKUP(B133,input_425105!L:R,7,FALSE),VLOOKUP(tables_425105!C133,input_425105!A:H,8,FALSE))</f>
        <v>48.036360000000002</v>
      </c>
      <c r="P133" s="46">
        <f t="shared" ca="1" si="9"/>
        <v>1.7660426471692017E-5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input_425105!A$2</f>
        <v>425105</v>
      </c>
      <c r="B134" s="6">
        <v>259</v>
      </c>
      <c r="C134" s="7" t="str">
        <f t="shared" si="8"/>
        <v>Premium3color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IFERROR(VLOOKUP(B134,input_425105!L:R,7,FALSE),VLOOKUP(tables_425105!C134,input_425105!A:H,8,FALSE))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input_425105!A$2</f>
        <v>425105</v>
      </c>
      <c r="B135" s="8">
        <v>260</v>
      </c>
      <c r="C135" s="7" t="str">
        <f t="shared" si="8"/>
        <v>Premium4color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IFERROR(VLOOKUP(B135,input_425105!L:R,7,FALSE),VLOOKUP(tables_425105!C135,input_425105!A:H,8,FALSE))</f>
        <v>69047.43217</v>
      </c>
      <c r="P135" s="46">
        <f t="shared" ca="1" si="9"/>
        <v>2.5385085358204221E-2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input_425105!A$2</f>
        <v>425105</v>
      </c>
      <c r="B136" s="8">
        <v>261</v>
      </c>
      <c r="C136" s="7" t="str">
        <f t="shared" si="8"/>
        <v>Premium5color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IFERROR(VLOOKUP(B136,input_425105!L:R,7,FALSE),VLOOKUP(tables_425105!C136,input_425105!A:H,8,FALSE))</f>
        <v>535.11328000000003</v>
      </c>
      <c r="P136" s="46">
        <f t="shared" ca="1" si="9"/>
        <v>1.9673282354170765E-4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input_425105!A$2</f>
        <v>425105</v>
      </c>
      <c r="B137" s="6">
        <v>320</v>
      </c>
      <c r="C137" s="7" t="str">
        <f t="shared" si="8"/>
        <v>PremiumSS4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IFERROR(VLOOKUP(B137,input_425105!L:R,7,FALSE),VLOOKUP(tables_425105!C137,input_425105!A:H,8,FALSE))</f>
        <v>1292</v>
      </c>
      <c r="P137" s="46">
        <f t="shared" ca="1" si="9"/>
        <v>4.7500000002968762E-4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input_425105!A$2</f>
        <v>425105</v>
      </c>
      <c r="B138" s="6">
        <v>321</v>
      </c>
      <c r="C138" s="7" t="str">
        <f t="shared" si="8"/>
        <v>PremiumSS5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IFERROR(VLOOKUP(B138,input_425105!L:R,7,FALSE),VLOOKUP(tables_425105!C138,input_425105!A:H,8,FALSE))</f>
        <v>68</v>
      </c>
      <c r="P138" s="46">
        <f t="shared" ca="1" si="9"/>
        <v>2.5000000001562506E-5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input_425105!A$2</f>
        <v>425105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IFERROR(VLOOKUP(B139,input_425105!L:R,7,FALSE),VLOOKUP(tables_425105!C139,input_425105!A:H,8,FALSE))</f>
        <v>1292</v>
      </c>
      <c r="P139" s="46">
        <f t="shared" ca="1" si="9"/>
        <v>4.7500000002968762E-4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input_425105!A$2</f>
        <v>425105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IFERROR(VLOOKUP(B140,input_425105!L:R,7,FALSE),VLOOKUP(tables_425105!C140,input_425105!A:H,8,FALSE))</f>
        <v>68</v>
      </c>
      <c r="P140" s="46">
        <f t="shared" ca="1" si="9"/>
        <v>2.5000000001562506E-5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input_425105!A$2</f>
        <v>425105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IFERROR(VLOOKUP(B141,input_425105!L:R,7,FALSE),VLOOKUP(tables_425105!C141,input_425105!A:H,8,FALSE))</f>
        <v>1292</v>
      </c>
      <c r="P141" s="46">
        <f t="shared" ca="1" si="9"/>
        <v>4.7500000002968762E-4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input_425105!A$2</f>
        <v>425105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IFERROR(VLOOKUP(B142,input_425105!L:R,7,FALSE),VLOOKUP(tables_425105!C142,input_425105!A:H,8,FALSE))</f>
        <v>68</v>
      </c>
      <c r="P142" s="46">
        <f t="shared" ca="1" si="9"/>
        <v>2.5000000001562506E-5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input_425105!A$2</f>
        <v>425105</v>
      </c>
      <c r="B143" s="6">
        <v>326</v>
      </c>
      <c r="C143" s="7" t="str">
        <f t="shared" si="8"/>
        <v>PremiumSS4color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IFERROR(VLOOKUP(B143,input_425105!L:R,7,FALSE),VLOOKUP(tables_425105!C143,input_425105!A:H,8,FALSE))</f>
        <v>5537.1428599999999</v>
      </c>
      <c r="P143" s="46">
        <f t="shared" ca="1" si="9"/>
        <v>2.0357142868919387E-3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input_425105!A$2</f>
        <v>425105</v>
      </c>
      <c r="B144" s="6">
        <v>327</v>
      </c>
      <c r="C144" s="7" t="str">
        <f t="shared" si="8"/>
        <v>PremiumSS5color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IFERROR(VLOOKUP(B144,input_425105!L:R,7,FALSE),VLOOKUP(tables_425105!C144,input_425105!A:H,8,FALSE))</f>
        <v>291.42856999999998</v>
      </c>
      <c r="P144" s="46">
        <f t="shared" ca="1" si="9"/>
        <v>1.0714285662434351E-4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input_425105!A$2</f>
        <v>425105</v>
      </c>
      <c r="B145" s="6">
        <v>380</v>
      </c>
      <c r="C145" s="7" t="str">
        <f t="shared" si="8"/>
        <v>Premium3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IFERROR(VLOOKUP(B145,input_425105!L:R,7,FALSE),VLOOKUP(tables_425105!C145,input_425105!A:H,8,FALSE))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input_425105!A$2</f>
        <v>425105</v>
      </c>
      <c r="B146" s="6">
        <v>381</v>
      </c>
      <c r="C146" s="7" t="str">
        <f t="shared" si="8"/>
        <v>Premium4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IFERROR(VLOOKUP(B146,input_425105!L:R,7,FALSE),VLOOKUP(tables_425105!C146,input_425105!A:H,8,FALSE))</f>
        <v>15071.553379999999</v>
      </c>
      <c r="P146" s="46">
        <f t="shared" ca="1" si="9"/>
        <v>5.5410122724051381E-3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input_425105!A$2</f>
        <v>425105</v>
      </c>
      <c r="B147" s="6">
        <v>382</v>
      </c>
      <c r="C147" s="7" t="str">
        <f t="shared" si="8"/>
        <v>Premium5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IFERROR(VLOOKUP(B147,input_425105!L:R,7,FALSE),VLOOKUP(tables_425105!C147,input_425105!A:H,8,FALSE))</f>
        <v>48.036360000000002</v>
      </c>
      <c r="P147" s="46">
        <f t="shared" ca="1" si="9"/>
        <v>1.7660426471692017E-5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input_425105!A$2</f>
        <v>425105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IFERROR(VLOOKUP(B148,input_425105!L:R,7,FALSE),VLOOKUP(tables_425105!C148,input_425105!A:H,8,FALSE))</f>
        <v>1292</v>
      </c>
      <c r="P148" s="46">
        <f t="shared" ca="1" si="9"/>
        <v>4.7500000002968762E-4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input_425105!A$2</f>
        <v>425105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IFERROR(VLOOKUP(B149,input_425105!L:R,7,FALSE),VLOOKUP(tables_425105!C149,input_425105!A:H,8,FALSE))</f>
        <v>68</v>
      </c>
      <c r="P149" s="46">
        <f t="shared" ca="1" si="9"/>
        <v>2.5000000001562506E-5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input_425105!A$2</f>
        <v>425105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IFERROR(VLOOKUP(B150,input_425105!L:R,7,FALSE),VLOOKUP(tables_425105!C150,input_425105!A:H,8,FALSE))</f>
        <v>1292</v>
      </c>
      <c r="P150" s="46">
        <f t="shared" ca="1" si="9"/>
        <v>4.7500000002968762E-4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input_425105!A$2</f>
        <v>425105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IFERROR(VLOOKUP(B151,input_425105!L:R,7,FALSE),VLOOKUP(tables_425105!C151,input_425105!A:H,8,FALSE))</f>
        <v>68</v>
      </c>
      <c r="P151" s="46">
        <f t="shared" ca="1" si="9"/>
        <v>2.5000000001562506E-5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input_425105!A$2</f>
        <v>425105</v>
      </c>
      <c r="B152" s="6">
        <v>387</v>
      </c>
      <c r="C152" s="7" t="str">
        <f t="shared" si="8"/>
        <v>Premium3color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IFERROR(VLOOKUP(B152,input_425105!L:R,7,FALSE),VLOOKUP(tables_425105!C152,input_425105!A:H,8,FALSE))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input_425105!A$2</f>
        <v>425105</v>
      </c>
      <c r="B153" s="6">
        <v>388</v>
      </c>
      <c r="C153" s="7" t="str">
        <f t="shared" si="8"/>
        <v>Premium4color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IFERROR(VLOOKUP(B153,input_425105!L:R,7,FALSE),VLOOKUP(tables_425105!C153,input_425105!A:H,8,FALSE))</f>
        <v>69047.43217</v>
      </c>
      <c r="P153" s="46">
        <f t="shared" ca="1" si="9"/>
        <v>2.5385085358204221E-2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input_425105!A$2</f>
        <v>425105</v>
      </c>
      <c r="B154" s="6">
        <v>389</v>
      </c>
      <c r="C154" s="7" t="str">
        <f t="shared" si="8"/>
        <v>Premium5color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IFERROR(VLOOKUP(B154,input_425105!L:R,7,FALSE),VLOOKUP(tables_425105!C154,input_425105!A:H,8,FALSE))</f>
        <v>535.11328000000003</v>
      </c>
      <c r="P154" s="46">
        <f t="shared" ca="1" si="9"/>
        <v>1.9673282354170765E-4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input_425105!A$2</f>
        <v>425105</v>
      </c>
      <c r="B155" s="6">
        <v>390</v>
      </c>
      <c r="C155" s="7" t="str">
        <f t="shared" si="8"/>
        <v>PremiumSS4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IFERROR(VLOOKUP(B155,input_425105!L:R,7,FALSE),VLOOKUP(tables_425105!C155,input_425105!A:H,8,FALSE))</f>
        <v>1292</v>
      </c>
      <c r="P155" s="46">
        <f t="shared" ca="1" si="9"/>
        <v>4.7500000002968762E-4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input_425105!A$2</f>
        <v>425105</v>
      </c>
      <c r="B156" s="6">
        <v>391</v>
      </c>
      <c r="C156" s="7" t="str">
        <f t="shared" si="8"/>
        <v>PremiumSS5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IFERROR(VLOOKUP(B156,input_425105!L:R,7,FALSE),VLOOKUP(tables_425105!C156,input_425105!A:H,8,FALSE))</f>
        <v>68</v>
      </c>
      <c r="P156" s="46">
        <f t="shared" ca="1" si="9"/>
        <v>2.5000000001562506E-5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input_425105!A$2</f>
        <v>425105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IFERROR(VLOOKUP(B157,input_425105!L:R,7,FALSE),VLOOKUP(tables_425105!C157,input_425105!A:H,8,FALSE))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input_425105!A$2</f>
        <v>425105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IFERROR(VLOOKUP(B158,input_425105!L:R,7,FALSE),VLOOKUP(tables_425105!C158,input_425105!A:H,8,FALSE))</f>
        <v>15071.553379999999</v>
      </c>
      <c r="P158" s="46">
        <f t="shared" ca="1" si="9"/>
        <v>5.5410122724051381E-3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input_425105!A$2</f>
        <v>425105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IFERROR(VLOOKUP(B159,input_425105!L:R,7,FALSE),VLOOKUP(tables_425105!C159,input_425105!A:H,8,FALSE))</f>
        <v>48.036360000000002</v>
      </c>
      <c r="P159" s="46">
        <f t="shared" ca="1" si="9"/>
        <v>1.7660426471692017E-5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input_425105!A$2</f>
        <v>425105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IFERROR(VLOOKUP(B160,input_425105!L:R,7,FALSE),VLOOKUP(tables_425105!C160,input_425105!A:H,8,FALSE))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input_425105!A$2</f>
        <v>425105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IFERROR(VLOOKUP(B161,input_425105!L:R,7,FALSE),VLOOKUP(tables_425105!C161,input_425105!A:H,8,FALSE))</f>
        <v>15071.553379999999</v>
      </c>
      <c r="P161" s="46">
        <f t="shared" ca="1" si="9"/>
        <v>5.5410122724051381E-3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input_425105!A$2</f>
        <v>425105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IFERROR(VLOOKUP(B162,input_425105!L:R,7,FALSE),VLOOKUP(tables_425105!C162,input_425105!A:H,8,FALSE))</f>
        <v>48.036360000000002</v>
      </c>
      <c r="P162" s="46">
        <f t="shared" ca="1" si="9"/>
        <v>1.7660426471692017E-5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input_425105!A$2</f>
        <v>425105</v>
      </c>
      <c r="B163" s="6">
        <v>398</v>
      </c>
      <c r="C163" s="7" t="str">
        <f t="shared" si="8"/>
        <v>PremiumSS4color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IFERROR(VLOOKUP(B163,input_425105!L:R,7,FALSE),VLOOKUP(tables_425105!C163,input_425105!A:H,8,FALSE))</f>
        <v>5537.1428599999999</v>
      </c>
      <c r="P163" s="46">
        <f t="shared" ca="1" si="9"/>
        <v>2.0357142868919387E-3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input_425105!A$2</f>
        <v>425105</v>
      </c>
      <c r="B164" s="6">
        <v>399</v>
      </c>
      <c r="C164" s="7" t="str">
        <f t="shared" si="8"/>
        <v>PremiumSS5color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IFERROR(VLOOKUP(B164,input_425105!L:R,7,FALSE),VLOOKUP(tables_425105!C164,input_425105!A:H,8,FALSE))</f>
        <v>291.42856999999998</v>
      </c>
      <c r="P164" s="46">
        <f t="shared" ca="1" si="9"/>
        <v>1.0714285662434351E-4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input_425105!A$2</f>
        <v>425105</v>
      </c>
      <c r="B165" s="6">
        <v>400</v>
      </c>
      <c r="C165" s="7" t="str">
        <f t="shared" si="8"/>
        <v>Premium3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IFERROR(VLOOKUP(B165,input_425105!L:R,7,FALSE),VLOOKUP(tables_425105!C165,input_425105!A:H,8,FALSE))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input_425105!A$2</f>
        <v>425105</v>
      </c>
      <c r="B166" s="6">
        <v>401</v>
      </c>
      <c r="C166" s="7" t="str">
        <f t="shared" si="8"/>
        <v>Premium4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IFERROR(VLOOKUP(B166,input_425105!L:R,7,FALSE),VLOOKUP(tables_425105!C166,input_425105!A:H,8,FALSE))</f>
        <v>15071.553379999999</v>
      </c>
      <c r="P166" s="46">
        <f t="shared" ca="1" si="9"/>
        <v>5.5410122724051381E-3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input_425105!A$2</f>
        <v>425105</v>
      </c>
      <c r="B167" s="6">
        <v>402</v>
      </c>
      <c r="C167" s="7" t="str">
        <f t="shared" si="8"/>
        <v>Premium5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IFERROR(VLOOKUP(B167,input_425105!L:R,7,FALSE),VLOOKUP(tables_425105!C167,input_425105!A:H,8,FALSE))</f>
        <v>48.036360000000002</v>
      </c>
      <c r="P167" s="46">
        <f t="shared" ca="1" si="9"/>
        <v>1.7660426471692017E-5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input_425105!A$2</f>
        <v>425105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IFERROR(VLOOKUP(B168,input_425105!L:R,7,FALSE),VLOOKUP(tables_425105!C168,input_425105!A:H,8,FALSE))</f>
        <v>1292</v>
      </c>
      <c r="P168" s="46">
        <f t="shared" ca="1" si="9"/>
        <v>4.7500000002968762E-4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input_425105!A$2</f>
        <v>425105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IFERROR(VLOOKUP(B169,input_425105!L:R,7,FALSE),VLOOKUP(tables_425105!C169,input_425105!A:H,8,FALSE))</f>
        <v>68</v>
      </c>
      <c r="P169" s="46">
        <f t="shared" ca="1" si="9"/>
        <v>2.5000000001562506E-5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input_425105!A$2</f>
        <v>425105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IFERROR(VLOOKUP(B170,input_425105!L:R,7,FALSE),VLOOKUP(tables_425105!C170,input_425105!A:H,8,FALSE))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input_425105!A$2</f>
        <v>425105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IFERROR(VLOOKUP(B171,input_425105!L:R,7,FALSE),VLOOKUP(tables_425105!C171,input_425105!A:H,8,FALSE))</f>
        <v>15071.553379999999</v>
      </c>
      <c r="P171" s="46">
        <f t="shared" ca="1" si="9"/>
        <v>5.5410122724051381E-3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input_425105!A$2</f>
        <v>425105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IFERROR(VLOOKUP(B172,input_425105!L:R,7,FALSE),VLOOKUP(tables_425105!C172,input_425105!A:H,8,FALSE))</f>
        <v>48.036360000000002</v>
      </c>
      <c r="P172" s="46">
        <f t="shared" ca="1" si="9"/>
        <v>1.7660426471692017E-5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input_425105!A$2</f>
        <v>425105</v>
      </c>
      <c r="B173" s="6">
        <v>408</v>
      </c>
      <c r="C173" s="7" t="str">
        <f t="shared" si="8"/>
        <v>PremiumSS4color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IFERROR(VLOOKUP(B173,input_425105!L:R,7,FALSE),VLOOKUP(tables_425105!C173,input_425105!A:H,8,FALSE))</f>
        <v>5537.1428599999999</v>
      </c>
      <c r="P173" s="46">
        <f t="shared" ca="1" si="9"/>
        <v>2.0357142868919387E-3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input_425105!A$2</f>
        <v>425105</v>
      </c>
      <c r="B174" s="6">
        <v>409</v>
      </c>
      <c r="C174" s="7" t="str">
        <f t="shared" si="8"/>
        <v>PremiumSS5color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IFERROR(VLOOKUP(B174,input_425105!L:R,7,FALSE),VLOOKUP(tables_425105!C174,input_425105!A:H,8,FALSE))</f>
        <v>291.42856999999998</v>
      </c>
      <c r="P174" s="46">
        <f t="shared" ca="1" si="9"/>
        <v>1.0714285662434351E-4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input_425105!A$2</f>
        <v>425105</v>
      </c>
      <c r="B175" s="6">
        <v>434</v>
      </c>
      <c r="C175" s="7" t="str">
        <f t="shared" si="8"/>
        <v>PremiumSS4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IFERROR(VLOOKUP(B175,input_425105!L:R,7,FALSE),VLOOKUP(tables_425105!C175,input_425105!A:H,8,FALSE))</f>
        <v>1292</v>
      </c>
      <c r="P175" s="46">
        <f t="shared" ca="1" si="9"/>
        <v>4.7500000002968762E-4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input_425105!A$2</f>
        <v>425105</v>
      </c>
      <c r="B176" s="6">
        <v>435</v>
      </c>
      <c r="C176" s="7" t="str">
        <f t="shared" si="8"/>
        <v>PremiumSS5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IFERROR(VLOOKUP(B176,input_425105!L:R,7,FALSE),VLOOKUP(tables_425105!C176,input_425105!A:H,8,FALSE))</f>
        <v>68</v>
      </c>
      <c r="P176" s="46">
        <f t="shared" ca="1" si="9"/>
        <v>2.5000000001562506E-5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input_425105!A$2</f>
        <v>425105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IFERROR(VLOOKUP(B177,input_425105!L:R,7,FALSE),VLOOKUP(tables_425105!C177,input_425105!A:H,8,FALSE))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input_425105!A$2</f>
        <v>425105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IFERROR(VLOOKUP(B178,input_425105!L:R,7,FALSE),VLOOKUP(tables_425105!C178,input_425105!A:H,8,FALSE))</f>
        <v>15071.553379999999</v>
      </c>
      <c r="P178" s="46">
        <f t="shared" ca="1" si="9"/>
        <v>5.5410122724051381E-3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input_425105!A$2</f>
        <v>425105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IFERROR(VLOOKUP(B179,input_425105!L:R,7,FALSE),VLOOKUP(tables_425105!C179,input_425105!A:H,8,FALSE))</f>
        <v>48.036360000000002</v>
      </c>
      <c r="P179" s="46">
        <f t="shared" ca="1" si="9"/>
        <v>1.7660426471692017E-5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input_425105!A$2</f>
        <v>425105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IFERROR(VLOOKUP(B180,input_425105!L:R,7,FALSE),VLOOKUP(tables_425105!C180,input_425105!A:H,8,FALSE))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input_425105!A$2</f>
        <v>425105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IFERROR(VLOOKUP(B181,input_425105!L:R,7,FALSE),VLOOKUP(tables_425105!C181,input_425105!A:H,8,FALSE))</f>
        <v>15071.553379999999</v>
      </c>
      <c r="P181" s="46">
        <f t="shared" ca="1" si="9"/>
        <v>5.5410122724051381E-3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input_425105!A$2</f>
        <v>425105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IFERROR(VLOOKUP(B182,input_425105!L:R,7,FALSE),VLOOKUP(tables_425105!C182,input_425105!A:H,8,FALSE))</f>
        <v>48.036360000000002</v>
      </c>
      <c r="P182" s="46">
        <f t="shared" ca="1" si="9"/>
        <v>1.7660426471692017E-5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input_425105!A$2</f>
        <v>425105</v>
      </c>
      <c r="B183" s="6">
        <v>442</v>
      </c>
      <c r="C183" s="7" t="str">
        <f t="shared" si="8"/>
        <v>PremiumSS4color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IFERROR(VLOOKUP(B183,input_425105!L:R,7,FALSE),VLOOKUP(tables_425105!C183,input_425105!A:H,8,FALSE))</f>
        <v>5537.1428599999999</v>
      </c>
      <c r="P183" s="46">
        <f t="shared" ca="1" si="9"/>
        <v>2.0357142868919387E-3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input_425105!A$2</f>
        <v>425105</v>
      </c>
      <c r="B184" s="6">
        <v>443</v>
      </c>
      <c r="C184" s="7" t="str">
        <f t="shared" si="8"/>
        <v>PremiumSS5color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IFERROR(VLOOKUP(B184,input_425105!L:R,7,FALSE),VLOOKUP(tables_425105!C184,input_425105!A:H,8,FALSE))</f>
        <v>291.42856999999998</v>
      </c>
      <c r="P184" s="46">
        <f t="shared" ca="1" si="9"/>
        <v>1.0714285662434351E-4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input_425105!A$2</f>
        <v>425105</v>
      </c>
      <c r="B185" s="8">
        <v>462</v>
      </c>
      <c r="C185" s="7" t="str">
        <f t="shared" si="8"/>
        <v>Premium3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IFERROR(VLOOKUP(B185,input_425105!L:R,7,FALSE),VLOOKUP(tables_425105!C185,input_425105!A:H,8,FALSE))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input_425105!A$2</f>
        <v>425105</v>
      </c>
      <c r="B186" s="8">
        <v>463</v>
      </c>
      <c r="C186" s="7" t="str">
        <f t="shared" si="8"/>
        <v>Premium4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IFERROR(VLOOKUP(B186,input_425105!L:R,7,FALSE),VLOOKUP(tables_425105!C186,input_425105!A:H,8,FALSE))</f>
        <v>15071.553379999999</v>
      </c>
      <c r="P186" s="46">
        <f t="shared" ca="1" si="9"/>
        <v>5.5410122724051381E-3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input_425105!A$2</f>
        <v>425105</v>
      </c>
      <c r="B187" s="8">
        <v>464</v>
      </c>
      <c r="C187" s="7" t="str">
        <f t="shared" si="8"/>
        <v>Premium5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IFERROR(VLOOKUP(B187,input_425105!L:R,7,FALSE),VLOOKUP(tables_425105!C187,input_425105!A:H,8,FALSE))</f>
        <v>48.036360000000002</v>
      </c>
      <c r="P187" s="46">
        <f t="shared" ca="1" si="9"/>
        <v>1.7660426471692017E-5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input_425105!A$2</f>
        <v>425105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IFERROR(VLOOKUP(B188,input_425105!L:R,7,FALSE),VLOOKUP(tables_425105!C188,input_425105!A:H,8,FALSE))</f>
        <v>1292</v>
      </c>
      <c r="P188" s="46">
        <f t="shared" ca="1" si="9"/>
        <v>4.7500000002968762E-4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input_425105!A$2</f>
        <v>425105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IFERROR(VLOOKUP(B189,input_425105!L:R,7,FALSE),VLOOKUP(tables_425105!C189,input_425105!A:H,8,FALSE))</f>
        <v>68</v>
      </c>
      <c r="P189" s="46">
        <f t="shared" ca="1" si="9"/>
        <v>2.5000000001562506E-5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input_425105!A$2</f>
        <v>425105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IFERROR(VLOOKUP(B190,input_425105!L:R,7,FALSE),VLOOKUP(tables_425105!C190,input_425105!A:H,8,FALSE))</f>
        <v>1292</v>
      </c>
      <c r="P190" s="46">
        <f t="shared" ca="1" si="9"/>
        <v>4.7500000002968762E-4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input_425105!A$2</f>
        <v>425105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IFERROR(VLOOKUP(B191,input_425105!L:R,7,FALSE),VLOOKUP(tables_425105!C191,input_425105!A:H,8,FALSE))</f>
        <v>68</v>
      </c>
      <c r="P191" s="46">
        <f t="shared" ca="1" si="9"/>
        <v>2.5000000001562506E-5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input_425105!A$2</f>
        <v>425105</v>
      </c>
      <c r="B192" s="6">
        <v>469</v>
      </c>
      <c r="C192" s="7" t="str">
        <f t="shared" si="8"/>
        <v>Premium3color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IFERROR(VLOOKUP(B192,input_425105!L:R,7,FALSE),VLOOKUP(tables_425105!C192,input_425105!A:H,8,FALSE))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input_425105!A$2</f>
        <v>425105</v>
      </c>
      <c r="B193" s="6">
        <v>470</v>
      </c>
      <c r="C193" s="7" t="str">
        <f t="shared" si="8"/>
        <v>Premium4color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IFERROR(VLOOKUP(B193,input_425105!L:R,7,FALSE),VLOOKUP(tables_425105!C193,input_425105!A:H,8,FALSE))</f>
        <v>69047.43217</v>
      </c>
      <c r="P193" s="46">
        <f t="shared" ca="1" si="9"/>
        <v>2.5385085358204221E-2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input_425105!A$2</f>
        <v>425105</v>
      </c>
      <c r="B194" s="6">
        <v>471</v>
      </c>
      <c r="C194" s="7" t="str">
        <f t="shared" ref="C194:C257" si="12">D194&amp;J194&amp;E194&amp;F194&amp;G194</f>
        <v>Premium5color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IFERROR(VLOOKUP(B194,input_425105!L:R,7,FALSE),VLOOKUP(tables_425105!C194,input_425105!A:H,8,FALSE))</f>
        <v>535.11328000000003</v>
      </c>
      <c r="P194" s="46">
        <f t="shared" ref="P194:P257" ca="1" si="13">O194/SUM(O:O)</f>
        <v>1.9673282354170765E-4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input_425105!A$2</f>
        <v>425105</v>
      </c>
      <c r="B195" s="6">
        <v>474</v>
      </c>
      <c r="C195" s="7" t="str">
        <f t="shared" si="12"/>
        <v>PremiumSS4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/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IFERROR(VLOOKUP(B195,input_425105!L:R,7,FALSE),VLOOKUP(tables_425105!C195,input_425105!A:H,8,FALSE))</f>
        <v>1292</v>
      </c>
      <c r="P195" s="46">
        <f t="shared" ca="1" si="13"/>
        <v>4.7500000002968762E-4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input_425105!A$2</f>
        <v>425105</v>
      </c>
      <c r="B196" s="6">
        <v>475</v>
      </c>
      <c r="C196" s="7" t="str">
        <f t="shared" si="12"/>
        <v>PremiumSS5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IFERROR(VLOOKUP(B196,input_425105!L:R,7,FALSE),VLOOKUP(tables_425105!C196,input_425105!A:H,8,FALSE))</f>
        <v>68</v>
      </c>
      <c r="P196" s="46">
        <f t="shared" ca="1" si="13"/>
        <v>2.5000000001562506E-5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input_425105!A$2</f>
        <v>425105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IFERROR(VLOOKUP(B197,input_425105!L:R,7,FALSE),VLOOKUP(tables_425105!C197,input_425105!A:H,8,FALSE))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input_425105!A$2</f>
        <v>425105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IFERROR(VLOOKUP(B198,input_425105!L:R,7,FALSE),VLOOKUP(tables_425105!C198,input_425105!A:H,8,FALSE))</f>
        <v>15071.553379999999</v>
      </c>
      <c r="P198" s="46">
        <f t="shared" ca="1" si="13"/>
        <v>5.5410122724051381E-3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input_425105!A$2</f>
        <v>425105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IFERROR(VLOOKUP(B199,input_425105!L:R,7,FALSE),VLOOKUP(tables_425105!C199,input_425105!A:H,8,FALSE))</f>
        <v>48.036360000000002</v>
      </c>
      <c r="P199" s="46">
        <f t="shared" ca="1" si="13"/>
        <v>1.7660426471692017E-5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input_425105!A$2</f>
        <v>425105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IFERROR(VLOOKUP(B200,input_425105!L:R,7,FALSE),VLOOKUP(tables_425105!C200,input_425105!A:H,8,FALSE))</f>
        <v>1292</v>
      </c>
      <c r="P200" s="46">
        <f t="shared" ca="1" si="13"/>
        <v>4.7500000002968762E-4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input_425105!A$2</f>
        <v>425105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IFERROR(VLOOKUP(B201,input_425105!L:R,7,FALSE),VLOOKUP(tables_425105!C201,input_425105!A:H,8,FALSE))</f>
        <v>68</v>
      </c>
      <c r="P201" s="46">
        <f t="shared" ca="1" si="13"/>
        <v>2.5000000001562506E-5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input_425105!A$2</f>
        <v>425105</v>
      </c>
      <c r="B202" s="6">
        <v>481</v>
      </c>
      <c r="C202" s="7" t="str">
        <f t="shared" si="12"/>
        <v>Premium3color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IFERROR(VLOOKUP(B202,input_425105!L:R,7,FALSE),VLOOKUP(tables_425105!C202,input_425105!A:H,8,FALSE))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input_425105!A$2</f>
        <v>425105</v>
      </c>
      <c r="B203" s="6">
        <v>482</v>
      </c>
      <c r="C203" s="7" t="str">
        <f t="shared" si="12"/>
        <v>Premium4color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IFERROR(VLOOKUP(B203,input_425105!L:R,7,FALSE),VLOOKUP(tables_425105!C203,input_425105!A:H,8,FALSE))</f>
        <v>69047.43217</v>
      </c>
      <c r="P203" s="46">
        <f t="shared" ca="1" si="13"/>
        <v>2.5385085358204221E-2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input_425105!A$2</f>
        <v>425105</v>
      </c>
      <c r="B204" s="6">
        <v>483</v>
      </c>
      <c r="C204" s="7" t="str">
        <f t="shared" si="12"/>
        <v>Premium5color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IFERROR(VLOOKUP(B204,input_425105!L:R,7,FALSE),VLOOKUP(tables_425105!C204,input_425105!A:H,8,FALSE))</f>
        <v>535.11328000000003</v>
      </c>
      <c r="P204" s="46">
        <f t="shared" ca="1" si="13"/>
        <v>1.9673282354170765E-4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input_425105!A$2</f>
        <v>425105</v>
      </c>
      <c r="B205" s="6">
        <v>492</v>
      </c>
      <c r="C205" s="7" t="str">
        <f t="shared" si="12"/>
        <v>PremiumSS4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IFERROR(VLOOKUP(B205,input_425105!L:R,7,FALSE),VLOOKUP(tables_425105!C205,input_425105!A:H,8,FALSE))</f>
        <v>1292</v>
      </c>
      <c r="P205" s="46">
        <f t="shared" ca="1" si="13"/>
        <v>4.7500000002968762E-4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input_425105!A$2</f>
        <v>425105</v>
      </c>
      <c r="B206" s="6">
        <v>493</v>
      </c>
      <c r="C206" s="7" t="str">
        <f t="shared" si="12"/>
        <v>PremiumSS5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IFERROR(VLOOKUP(B206,input_425105!L:R,7,FALSE),VLOOKUP(tables_425105!C206,input_425105!A:H,8,FALSE))</f>
        <v>68</v>
      </c>
      <c r="P206" s="46">
        <f t="shared" ca="1" si="13"/>
        <v>2.5000000001562506E-5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input_425105!A$2</f>
        <v>425105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IFERROR(VLOOKUP(B207,input_425105!L:R,7,FALSE),VLOOKUP(tables_425105!C207,input_425105!A:H,8,FALSE))</f>
        <v>1292</v>
      </c>
      <c r="P207" s="46">
        <f t="shared" ca="1" si="13"/>
        <v>4.7500000002968762E-4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input_425105!A$2</f>
        <v>425105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IFERROR(VLOOKUP(B208,input_425105!L:R,7,FALSE),VLOOKUP(tables_425105!C208,input_425105!A:H,8,FALSE))</f>
        <v>68</v>
      </c>
      <c r="P208" s="46">
        <f t="shared" ca="1" si="13"/>
        <v>2.5000000001562506E-5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input_425105!A$2</f>
        <v>425105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IFERROR(VLOOKUP(B209,input_425105!L:R,7,FALSE),VLOOKUP(tables_425105!C209,input_425105!A:H,8,FALSE))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input_425105!A$2</f>
        <v>425105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IFERROR(VLOOKUP(B210,input_425105!L:R,7,FALSE),VLOOKUP(tables_425105!C210,input_425105!A:H,8,FALSE))</f>
        <v>15071.553379999999</v>
      </c>
      <c r="P210" s="46">
        <f t="shared" ca="1" si="13"/>
        <v>5.5410122724051381E-3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input_425105!A$2</f>
        <v>425105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IFERROR(VLOOKUP(B211,input_425105!L:R,7,FALSE),VLOOKUP(tables_425105!C211,input_425105!A:H,8,FALSE))</f>
        <v>48.036360000000002</v>
      </c>
      <c r="P211" s="46">
        <f t="shared" ca="1" si="13"/>
        <v>1.7660426471692017E-5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input_425105!A$2</f>
        <v>425105</v>
      </c>
      <c r="B212" s="6">
        <v>499</v>
      </c>
      <c r="C212" s="7" t="str">
        <f t="shared" si="12"/>
        <v>PremiumSS4color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IFERROR(VLOOKUP(B212,input_425105!L:R,7,FALSE),VLOOKUP(tables_425105!C212,input_425105!A:H,8,FALSE))</f>
        <v>5537.1428599999999</v>
      </c>
      <c r="P212" s="46">
        <f t="shared" ca="1" si="13"/>
        <v>2.0357142868919387E-3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input_425105!A$2</f>
        <v>425105</v>
      </c>
      <c r="B213" s="6">
        <v>500</v>
      </c>
      <c r="C213" s="7" t="str">
        <f t="shared" si="12"/>
        <v>PremiumSS5color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IFERROR(VLOOKUP(B213,input_425105!L:R,7,FALSE),VLOOKUP(tables_425105!C213,input_425105!A:H,8,FALSE))</f>
        <v>291.42856999999998</v>
      </c>
      <c r="P213" s="46">
        <f t="shared" ca="1" si="13"/>
        <v>1.0714285662434351E-4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input_425105!A$2</f>
        <v>425105</v>
      </c>
      <c r="B214" s="6">
        <v>586</v>
      </c>
      <c r="C214" s="7" t="str">
        <f t="shared" si="12"/>
        <v>PremiumSS4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IFERROR(VLOOKUP(B214,input_425105!L:R,7,FALSE),VLOOKUP(tables_425105!C214,input_425105!A:H,8,FALSE))</f>
        <v>1292</v>
      </c>
      <c r="P214" s="46">
        <f t="shared" ca="1" si="13"/>
        <v>4.7500000002968762E-4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input_425105!A$2</f>
        <v>425105</v>
      </c>
      <c r="B215" s="6">
        <v>587</v>
      </c>
      <c r="C215" s="7" t="str">
        <f t="shared" si="12"/>
        <v>PremiumSS5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IFERROR(VLOOKUP(B215,input_425105!L:R,7,FALSE),VLOOKUP(tables_425105!C215,input_425105!A:H,8,FALSE))</f>
        <v>68</v>
      </c>
      <c r="P215" s="46">
        <f t="shared" ca="1" si="13"/>
        <v>2.5000000001562506E-5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input_425105!A$2</f>
        <v>425105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IFERROR(VLOOKUP(B216,input_425105!L:R,7,FALSE),VLOOKUP(tables_425105!C216,input_425105!A:H,8,FALSE))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input_425105!A$2</f>
        <v>425105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IFERROR(VLOOKUP(B217,input_425105!L:R,7,FALSE),VLOOKUP(tables_425105!C217,input_425105!A:H,8,FALSE))</f>
        <v>15071.553379999999</v>
      </c>
      <c r="P217" s="46">
        <f t="shared" ca="1" si="13"/>
        <v>5.5410122724051381E-3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input_425105!A$2</f>
        <v>425105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IFERROR(VLOOKUP(B218,input_425105!L:R,7,FALSE),VLOOKUP(tables_425105!C218,input_425105!A:H,8,FALSE))</f>
        <v>48.036360000000002</v>
      </c>
      <c r="P218" s="46">
        <f t="shared" ca="1" si="13"/>
        <v>1.7660426471692017E-5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input_425105!A$2</f>
        <v>425105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IFERROR(VLOOKUP(B219,input_425105!L:R,7,FALSE),VLOOKUP(tables_425105!C219,input_425105!A:H,8,FALSE))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input_425105!A$2</f>
        <v>425105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IFERROR(VLOOKUP(B220,input_425105!L:R,7,FALSE),VLOOKUP(tables_425105!C220,input_425105!A:H,8,FALSE))</f>
        <v>15071.553379999999</v>
      </c>
      <c r="P220" s="46">
        <f t="shared" ca="1" si="13"/>
        <v>5.5410122724051381E-3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input_425105!A$2</f>
        <v>425105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IFERROR(VLOOKUP(B221,input_425105!L:R,7,FALSE),VLOOKUP(tables_425105!C221,input_425105!A:H,8,FALSE))</f>
        <v>48.036360000000002</v>
      </c>
      <c r="P221" s="46">
        <f t="shared" ca="1" si="13"/>
        <v>1.7660426471692017E-5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input_425105!A$2</f>
        <v>425105</v>
      </c>
      <c r="B222" s="6">
        <v>594</v>
      </c>
      <c r="C222" s="7" t="str">
        <f t="shared" si="12"/>
        <v>PremiumSS4color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IFERROR(VLOOKUP(B222,input_425105!L:R,7,FALSE),VLOOKUP(tables_425105!C222,input_425105!A:H,8,FALSE))</f>
        <v>5537.1428599999999</v>
      </c>
      <c r="P222" s="46">
        <f t="shared" ca="1" si="13"/>
        <v>2.0357142868919387E-3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input_425105!A$2</f>
        <v>425105</v>
      </c>
      <c r="B223" s="6">
        <v>595</v>
      </c>
      <c r="C223" s="7" t="str">
        <f t="shared" si="12"/>
        <v>PremiumSS5color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IFERROR(VLOOKUP(B223,input_425105!L:R,7,FALSE),VLOOKUP(tables_425105!C223,input_425105!A:H,8,FALSE))</f>
        <v>291.42856999999998</v>
      </c>
      <c r="P223" s="46">
        <f t="shared" ca="1" si="13"/>
        <v>1.0714285662434351E-4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input_425105!A$2</f>
        <v>425105</v>
      </c>
      <c r="B224" s="6">
        <v>596</v>
      </c>
      <c r="C224" s="7" t="str">
        <f t="shared" si="12"/>
        <v>Premium3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IFERROR(VLOOKUP(B224,input_425105!L:R,7,FALSE),VLOOKUP(tables_425105!C224,input_425105!A:H,8,FALSE))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input_425105!A$2</f>
        <v>425105</v>
      </c>
      <c r="B225" s="6">
        <v>597</v>
      </c>
      <c r="C225" s="7" t="str">
        <f t="shared" si="12"/>
        <v>Premium4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IFERROR(VLOOKUP(B225,input_425105!L:R,7,FALSE),VLOOKUP(tables_425105!C225,input_425105!A:H,8,FALSE))</f>
        <v>15071.553379999999</v>
      </c>
      <c r="P225" s="46">
        <f t="shared" ca="1" si="13"/>
        <v>5.5410122724051381E-3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input_425105!A$2</f>
        <v>425105</v>
      </c>
      <c r="B226" s="6">
        <v>598</v>
      </c>
      <c r="C226" s="7" t="str">
        <f t="shared" si="12"/>
        <v>Premium5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IFERROR(VLOOKUP(B226,input_425105!L:R,7,FALSE),VLOOKUP(tables_425105!C226,input_425105!A:H,8,FALSE))</f>
        <v>48.036360000000002</v>
      </c>
      <c r="P226" s="46">
        <f t="shared" ca="1" si="13"/>
        <v>1.7660426471692017E-5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input_425105!A$2</f>
        <v>425105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IFERROR(VLOOKUP(B227,input_425105!L:R,7,FALSE),VLOOKUP(tables_425105!C227,input_425105!A:H,8,FALSE))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input_425105!A$2</f>
        <v>425105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IFERROR(VLOOKUP(B228,input_425105!L:R,7,FALSE),VLOOKUP(tables_425105!C228,input_425105!A:H,8,FALSE))</f>
        <v>15071.553379999999</v>
      </c>
      <c r="P228" s="46">
        <f t="shared" ca="1" si="13"/>
        <v>5.5410122724051381E-3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input_425105!A$2</f>
        <v>425105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IFERROR(VLOOKUP(B229,input_425105!L:R,7,FALSE),VLOOKUP(tables_425105!C229,input_425105!A:H,8,FALSE))</f>
        <v>48.036360000000002</v>
      </c>
      <c r="P229" s="46">
        <f t="shared" ca="1" si="13"/>
        <v>1.7660426471692017E-5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input_425105!A$2</f>
        <v>425105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IFERROR(VLOOKUP(B230,input_425105!L:R,7,FALSE),VLOOKUP(tables_425105!C230,input_425105!A:H,8,FALSE))</f>
        <v>1292</v>
      </c>
      <c r="P230" s="46">
        <f t="shared" ca="1" si="13"/>
        <v>4.7500000002968762E-4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input_425105!A$2</f>
        <v>425105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IFERROR(VLOOKUP(B231,input_425105!L:R,7,FALSE),VLOOKUP(tables_425105!C231,input_425105!A:H,8,FALSE))</f>
        <v>68</v>
      </c>
      <c r="P231" s="46">
        <f t="shared" ca="1" si="13"/>
        <v>2.5000000001562506E-5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input_425105!A$2</f>
        <v>425105</v>
      </c>
      <c r="B232" s="6">
        <v>604</v>
      </c>
      <c r="C232" s="7" t="str">
        <f t="shared" si="12"/>
        <v>Premium3color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IFERROR(VLOOKUP(B232,input_425105!L:R,7,FALSE),VLOOKUP(tables_425105!C232,input_425105!A:H,8,FALSE))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input_425105!A$2</f>
        <v>425105</v>
      </c>
      <c r="B233" s="6">
        <v>605</v>
      </c>
      <c r="C233" s="7" t="str">
        <f t="shared" si="12"/>
        <v>Premium4color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IFERROR(VLOOKUP(B233,input_425105!L:R,7,FALSE),VLOOKUP(tables_425105!C233,input_425105!A:H,8,FALSE))</f>
        <v>69047.43217</v>
      </c>
      <c r="P233" s="46">
        <f t="shared" ca="1" si="13"/>
        <v>2.5385085358204221E-2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input_425105!A$2</f>
        <v>425105</v>
      </c>
      <c r="B234" s="6">
        <v>606</v>
      </c>
      <c r="C234" s="7" t="str">
        <f t="shared" si="12"/>
        <v>Premium5color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IFERROR(VLOOKUP(B234,input_425105!L:R,7,FALSE),VLOOKUP(tables_425105!C234,input_425105!A:H,8,FALSE))</f>
        <v>535.11328000000003</v>
      </c>
      <c r="P234" s="46">
        <f t="shared" ca="1" si="13"/>
        <v>1.9673282354170765E-4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input_425105!A$2</f>
        <v>425105</v>
      </c>
      <c r="B235" s="6">
        <v>658</v>
      </c>
      <c r="C235" s="7" t="str">
        <f t="shared" si="12"/>
        <v>PremiumSS4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IFERROR(VLOOKUP(B235,input_425105!L:R,7,FALSE),VLOOKUP(tables_425105!C235,input_425105!A:H,8,FALSE))</f>
        <v>1292</v>
      </c>
      <c r="P235" s="46">
        <f t="shared" ca="1" si="13"/>
        <v>4.7500000002968762E-4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input_425105!A$2</f>
        <v>425105</v>
      </c>
      <c r="B236" s="6">
        <v>659</v>
      </c>
      <c r="C236" s="7" t="str">
        <f t="shared" si="12"/>
        <v>PremiumSS5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IFERROR(VLOOKUP(B236,input_425105!L:R,7,FALSE),VLOOKUP(tables_425105!C236,input_425105!A:H,8,FALSE))</f>
        <v>68</v>
      </c>
      <c r="P236" s="46">
        <f t="shared" ca="1" si="13"/>
        <v>2.5000000001562506E-5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input_425105!A$2</f>
        <v>425105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IFERROR(VLOOKUP(B237,input_425105!L:R,7,FALSE),VLOOKUP(tables_425105!C237,input_425105!A:H,8,FALSE))</f>
        <v>1292</v>
      </c>
      <c r="P237" s="46">
        <f t="shared" ca="1" si="13"/>
        <v>4.7500000002968762E-4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input_425105!A$2</f>
        <v>425105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IFERROR(VLOOKUP(B238,input_425105!L:R,7,FALSE),VLOOKUP(tables_425105!C238,input_425105!A:H,8,FALSE))</f>
        <v>68</v>
      </c>
      <c r="P238" s="46">
        <f t="shared" ca="1" si="13"/>
        <v>2.5000000001562506E-5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input_425105!A$2</f>
        <v>425105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IFERROR(VLOOKUP(B239,input_425105!L:R,7,FALSE),VLOOKUP(tables_425105!C239,input_425105!A:H,8,FALSE))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input_425105!A$2</f>
        <v>425105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IFERROR(VLOOKUP(B240,input_425105!L:R,7,FALSE),VLOOKUP(tables_425105!C240,input_425105!A:H,8,FALSE))</f>
        <v>15071.553379999999</v>
      </c>
      <c r="P240" s="46">
        <f t="shared" ca="1" si="13"/>
        <v>5.5410122724051381E-3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input_425105!A$2</f>
        <v>425105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IFERROR(VLOOKUP(B241,input_425105!L:R,7,FALSE),VLOOKUP(tables_425105!C241,input_425105!A:H,8,FALSE))</f>
        <v>48.036360000000002</v>
      </c>
      <c r="P241" s="46">
        <f t="shared" ca="1" si="13"/>
        <v>1.7660426471692017E-5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input_425105!A$2</f>
        <v>425105</v>
      </c>
      <c r="B242" s="6">
        <v>665</v>
      </c>
      <c r="C242" s="7" t="str">
        <f t="shared" si="12"/>
        <v>Premium3color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IFERROR(VLOOKUP(B242,input_425105!L:R,7,FALSE),VLOOKUP(tables_425105!C242,input_425105!A:H,8,FALSE))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input_425105!A$2</f>
        <v>425105</v>
      </c>
      <c r="B243" s="6">
        <v>666</v>
      </c>
      <c r="C243" s="7" t="str">
        <f t="shared" si="12"/>
        <v>Premium4color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IFERROR(VLOOKUP(B243,input_425105!L:R,7,FALSE),VLOOKUP(tables_425105!C243,input_425105!A:H,8,FALSE))</f>
        <v>69047.43217</v>
      </c>
      <c r="P243" s="46">
        <f t="shared" ca="1" si="13"/>
        <v>2.5385085358204221E-2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input_425105!A$2</f>
        <v>425105</v>
      </c>
      <c r="B244" s="6">
        <v>667</v>
      </c>
      <c r="C244" s="7" t="str">
        <f t="shared" si="12"/>
        <v>Premium5color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IFERROR(VLOOKUP(B244,input_425105!L:R,7,FALSE),VLOOKUP(tables_425105!C244,input_425105!A:H,8,FALSE))</f>
        <v>535.11328000000003</v>
      </c>
      <c r="P244" s="46">
        <f t="shared" ca="1" si="13"/>
        <v>1.9673282354170765E-4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input_425105!A$2</f>
        <v>425105</v>
      </c>
      <c r="B245" s="60">
        <v>668</v>
      </c>
      <c r="C245" s="7" t="str">
        <f t="shared" si="12"/>
        <v>Premium3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IFERROR(VLOOKUP(B245,input_425105!L:R,7,FALSE),VLOOKUP(tables_425105!C245,input_425105!A:H,8,FALSE))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input_425105!A$2</f>
        <v>425105</v>
      </c>
      <c r="B246" s="60">
        <v>669</v>
      </c>
      <c r="C246" s="7" t="str">
        <f t="shared" si="12"/>
        <v>Premium4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IFERROR(VLOOKUP(B246,input_425105!L:R,7,FALSE),VLOOKUP(tables_425105!C246,input_425105!A:H,8,FALSE))</f>
        <v>15071.553379999999</v>
      </c>
      <c r="P246" s="46">
        <f t="shared" ca="1" si="13"/>
        <v>5.5410122724051381E-3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input_425105!A$2</f>
        <v>425105</v>
      </c>
      <c r="B247" s="60">
        <v>670</v>
      </c>
      <c r="C247" s="7" t="str">
        <f t="shared" si="12"/>
        <v>Premium5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IFERROR(VLOOKUP(B247,input_425105!L:R,7,FALSE),VLOOKUP(tables_425105!C247,input_425105!A:H,8,FALSE))</f>
        <v>48.036360000000002</v>
      </c>
      <c r="P247" s="46">
        <f t="shared" ca="1" si="13"/>
        <v>1.7660426471692017E-5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input_425105!A$2</f>
        <v>425105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IFERROR(VLOOKUP(B248,input_425105!L:R,7,FALSE),VLOOKUP(tables_425105!C248,input_425105!A:H,8,FALSE))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input_425105!A$2</f>
        <v>425105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IFERROR(VLOOKUP(B249,input_425105!L:R,7,FALSE),VLOOKUP(tables_425105!C249,input_425105!A:H,8,FALSE))</f>
        <v>15071.553379999999</v>
      </c>
      <c r="P249" s="46">
        <f t="shared" ca="1" si="13"/>
        <v>5.5410122724051381E-3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input_425105!A$2</f>
        <v>425105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IFERROR(VLOOKUP(B250,input_425105!L:R,7,FALSE),VLOOKUP(tables_425105!C250,input_425105!A:H,8,FALSE))</f>
        <v>48.036360000000002</v>
      </c>
      <c r="P250" s="46">
        <f t="shared" ca="1" si="13"/>
        <v>1.7660426471692017E-5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input_425105!A$2</f>
        <v>425105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IFERROR(VLOOKUP(B251,input_425105!L:R,7,FALSE),VLOOKUP(tables_425105!C251,input_425105!A:H,8,FALSE))</f>
        <v>1292</v>
      </c>
      <c r="P251" s="46">
        <f t="shared" ca="1" si="13"/>
        <v>4.7500000002968762E-4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input_425105!A$2</f>
        <v>425105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IFERROR(VLOOKUP(B252,input_425105!L:R,7,FALSE),VLOOKUP(tables_425105!C252,input_425105!A:H,8,FALSE))</f>
        <v>68</v>
      </c>
      <c r="P252" s="46">
        <f t="shared" ca="1" si="13"/>
        <v>2.5000000001562506E-5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input_425105!A$2</f>
        <v>425105</v>
      </c>
      <c r="B253" s="60">
        <v>676</v>
      </c>
      <c r="C253" s="7" t="str">
        <f t="shared" si="12"/>
        <v>PremiumSS4color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IFERROR(VLOOKUP(B253,input_425105!L:R,7,FALSE),VLOOKUP(tables_425105!C253,input_425105!A:H,8,FALSE))</f>
        <v>5537.1428599999999</v>
      </c>
      <c r="P253" s="46">
        <f t="shared" ca="1" si="13"/>
        <v>2.0357142868919387E-3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input_425105!A$2</f>
        <v>425105</v>
      </c>
      <c r="B254" s="60">
        <v>677</v>
      </c>
      <c r="C254" s="7" t="str">
        <f t="shared" si="12"/>
        <v>PremiumSS5color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IFERROR(VLOOKUP(B254,input_425105!L:R,7,FALSE),VLOOKUP(tables_425105!C254,input_425105!A:H,8,FALSE))</f>
        <v>291.42856999999998</v>
      </c>
      <c r="P254" s="46">
        <f t="shared" ca="1" si="13"/>
        <v>1.0714285662434351E-4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input_425105!A$2</f>
        <v>425105</v>
      </c>
      <c r="B255" s="60">
        <v>728</v>
      </c>
      <c r="C255" s="7" t="str">
        <f t="shared" si="12"/>
        <v>Premium4R3less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IFERROR(VLOOKUP(B255,input_425105!L:R,7,FALSE),VLOOKUP(tables_425105!C255,input_425105!A:H,8,FALSE))</f>
        <v>14257.6</v>
      </c>
      <c r="P255" s="46">
        <f t="shared" ca="1" si="13"/>
        <v>5.241764706209965E-3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input_425105!A$2</f>
        <v>425105</v>
      </c>
      <c r="B256" s="60">
        <v>729</v>
      </c>
      <c r="C256" s="7" t="str">
        <f t="shared" si="12"/>
        <v>Premium5R3less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IFERROR(VLOOKUP(B256,input_425105!L:R,7,FALSE),VLOOKUP(tables_425105!C256,input_425105!A:H,8,FALSE))</f>
        <v>750.4</v>
      </c>
      <c r="P256" s="46">
        <f t="shared" ca="1" si="13"/>
        <v>2.7588235295841919E-4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input_425105!A$2</f>
        <v>425105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IFERROR(VLOOKUP(B257,input_425105!L:R,7,FALSE),VLOOKUP(tables_425105!C257,input_425105!A:H,8,FALSE))</f>
        <v>14257.6</v>
      </c>
      <c r="P257" s="46">
        <f t="shared" ca="1" si="13"/>
        <v>5.241764706209965E-3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input_425105!A$2</f>
        <v>425105</v>
      </c>
      <c r="B258" s="60">
        <v>731</v>
      </c>
      <c r="C258" s="7" t="str">
        <f t="shared" ref="C258:C300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IFERROR(VLOOKUP(B258,input_425105!L:R,7,FALSE),VLOOKUP(tables_425105!C258,input_425105!A:H,8,FALSE))</f>
        <v>750.4</v>
      </c>
      <c r="P258" s="46">
        <f t="shared" ref="P258:P305" ca="1" si="17">O258/SUM(O:O)</f>
        <v>2.7588235295841919E-4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input_425105!A$2</f>
        <v>425105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0" si="19">IF(K259="yellow","color","")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IFERROR(VLOOKUP(B259,input_425105!L:R,7,FALSE),VLOOKUP(tables_425105!C259,input_425105!A:H,8,FALSE))</f>
        <v>1360</v>
      </c>
      <c r="P259" s="46">
        <f t="shared" ca="1" si="17"/>
        <v>5.0000000003125019E-4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input_425105!A$2</f>
        <v>425105</v>
      </c>
      <c r="B260" s="60">
        <v>734</v>
      </c>
      <c r="C260" s="7" t="str">
        <f t="shared" si="16"/>
        <v>PremiumSS5R5onlycolor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IFERROR(VLOOKUP(B260,input_425105!L:R,7,FALSE),VLOOKUP(tables_425105!C260,input_425105!A:H,8,FALSE))</f>
        <v>5828.57143</v>
      </c>
      <c r="P260" s="46">
        <f t="shared" ca="1" si="17"/>
        <v>2.1428571435162819E-3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input_425105!A$2</f>
        <v>425105</v>
      </c>
      <c r="B261" s="60">
        <v>770</v>
      </c>
      <c r="C261" s="7" t="str">
        <f t="shared" si="16"/>
        <v>PremiumSS4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IFERROR(VLOOKUP(B261,input_425105!L:R,7,FALSE),VLOOKUP(tables_425105!C261,input_425105!A:H,8,FALSE))</f>
        <v>1292</v>
      </c>
      <c r="P261" s="46">
        <f t="shared" ca="1" si="17"/>
        <v>4.7500000002968762E-4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input_425105!A$2</f>
        <v>425105</v>
      </c>
      <c r="B262" s="60">
        <v>771</v>
      </c>
      <c r="C262" s="7" t="str">
        <f t="shared" si="16"/>
        <v>PremiumSS5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IFERROR(VLOOKUP(B262,input_425105!L:R,7,FALSE),VLOOKUP(tables_425105!C262,input_425105!A:H,8,FALSE))</f>
        <v>68</v>
      </c>
      <c r="P262" s="46">
        <f t="shared" ca="1" si="17"/>
        <v>2.5000000001562506E-5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input_425105!A$2</f>
        <v>425105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IFERROR(VLOOKUP(B263,input_425105!L:R,7,FALSE),VLOOKUP(tables_425105!C263,input_425105!A:H,8,FALSE))</f>
        <v>1292</v>
      </c>
      <c r="P263" s="46">
        <f t="shared" ca="1" si="17"/>
        <v>4.7500000002968762E-4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input_425105!A$2</f>
        <v>425105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IFERROR(VLOOKUP(B264,input_425105!L:R,7,FALSE),VLOOKUP(tables_425105!C264,input_425105!A:H,8,FALSE))</f>
        <v>68</v>
      </c>
      <c r="P264" s="46">
        <f t="shared" ca="1" si="17"/>
        <v>2.5000000001562506E-5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input_425105!A$2</f>
        <v>425105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IFERROR(VLOOKUP(B265,input_425105!L:R,7,FALSE),VLOOKUP(tables_425105!C265,input_425105!A:H,8,FALSE))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input_425105!A$2</f>
        <v>425105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IFERROR(VLOOKUP(B266,input_425105!L:R,7,FALSE),VLOOKUP(tables_425105!C266,input_425105!A:H,8,FALSE))</f>
        <v>15071.553379999999</v>
      </c>
      <c r="P266" s="46">
        <f t="shared" ca="1" si="17"/>
        <v>5.5410122724051381E-3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input_425105!A$2</f>
        <v>425105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IFERROR(VLOOKUP(B267,input_425105!L:R,7,FALSE),VLOOKUP(tables_425105!C267,input_425105!A:H,8,FALSE))</f>
        <v>48.036360000000002</v>
      </c>
      <c r="P267" s="46">
        <f t="shared" ca="1" si="17"/>
        <v>1.7660426471692017E-5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input_425105!A$2</f>
        <v>425105</v>
      </c>
      <c r="B268" s="60">
        <v>777</v>
      </c>
      <c r="C268" s="7" t="str">
        <f t="shared" si="16"/>
        <v>Premium3color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IFERROR(VLOOKUP(B268,input_425105!L:R,7,FALSE),VLOOKUP(tables_425105!C268,input_425105!A:H,8,FALSE))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input_425105!A$2</f>
        <v>425105</v>
      </c>
      <c r="B269" s="60">
        <v>778</v>
      </c>
      <c r="C269" s="7" t="str">
        <f t="shared" si="16"/>
        <v>Premium4color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IFERROR(VLOOKUP(B269,input_425105!L:R,7,FALSE),VLOOKUP(tables_425105!C269,input_425105!A:H,8,FALSE))</f>
        <v>69047.43217</v>
      </c>
      <c r="P269" s="46">
        <f t="shared" ca="1" si="17"/>
        <v>2.5385085358204221E-2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input_425105!A$2</f>
        <v>425105</v>
      </c>
      <c r="B270" s="60">
        <v>779</v>
      </c>
      <c r="C270" s="7" t="str">
        <f t="shared" si="16"/>
        <v>Premium5color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IFERROR(VLOOKUP(B270,input_425105!L:R,7,FALSE),VLOOKUP(tables_425105!C270,input_425105!A:H,8,FALSE))</f>
        <v>535.11328000000003</v>
      </c>
      <c r="P270" s="46">
        <f t="shared" ca="1" si="17"/>
        <v>1.9673282354170765E-4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input_425105!A$2</f>
        <v>425105</v>
      </c>
      <c r="B271" s="82">
        <v>848</v>
      </c>
      <c r="C271" s="7" t="str">
        <f t="shared" si="16"/>
        <v>PremiumSS5R5only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IFERROR(VLOOKUP(B271,input_425105!L:R,7,FALSE),VLOOKUP(tables_425105!C271,input_425105!A:H,8,FALSE))</f>
        <v>1360</v>
      </c>
      <c r="P271" s="46">
        <f t="shared" ca="1" si="17"/>
        <v>5.0000000003125019E-4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input_425105!A$2</f>
        <v>425105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IFERROR(VLOOKUP(B272,input_425105!L:R,7,FALSE),VLOOKUP(tables_425105!C272,input_425105!A:H,8,FALSE))</f>
        <v>1360</v>
      </c>
      <c r="P272" s="46">
        <f t="shared" ca="1" si="17"/>
        <v>5.0000000003125019E-4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input_425105!A$2</f>
        <v>425105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IFERROR(VLOOKUP(B273,input_425105!L:R,7,FALSE),VLOOKUP(tables_425105!C273,input_425105!A:H,8,FALSE))</f>
        <v>14257.6</v>
      </c>
      <c r="P273" s="46">
        <f t="shared" ca="1" si="17"/>
        <v>5.241764706209965E-3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input_425105!A$2</f>
        <v>425105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IFERROR(VLOOKUP(B274,input_425105!L:R,7,FALSE),VLOOKUP(tables_425105!C274,input_425105!A:H,8,FALSE))</f>
        <v>750.4</v>
      </c>
      <c r="P274" s="46">
        <f t="shared" ca="1" si="17"/>
        <v>2.7588235295841919E-4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input_425105!A$2</f>
        <v>425105</v>
      </c>
      <c r="B275" s="82">
        <v>854</v>
      </c>
      <c r="C275" s="7" t="str">
        <f t="shared" si="16"/>
        <v>Premium4R3lesscolor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IFERROR(VLOOKUP(B275,input_425105!L:R,7,FALSE),VLOOKUP(tables_425105!C275,input_425105!A:H,8,FALSE))</f>
        <v>66103.418179999993</v>
      </c>
      <c r="P275" s="46">
        <f t="shared" ca="1" si="17"/>
        <v>2.430272727357775E-2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input_425105!A$2</f>
        <v>425105</v>
      </c>
      <c r="B276" s="82">
        <v>855</v>
      </c>
      <c r="C276" s="7" t="str">
        <f t="shared" si="16"/>
        <v>Premium5R3lesscolor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IFERROR(VLOOKUP(B276,input_425105!L:R,7,FALSE),VLOOKUP(tables_425105!C276,input_425105!A:H,8,FALSE))</f>
        <v>3479.12727</v>
      </c>
      <c r="P276" s="46">
        <f t="shared" ca="1" si="17"/>
        <v>1.2790909081681788E-3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input_425105!A$2</f>
        <v>425105</v>
      </c>
      <c r="B277" s="82">
        <v>862</v>
      </c>
      <c r="C277" s="7" t="str">
        <f t="shared" si="16"/>
        <v>Premium4R3less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IFERROR(VLOOKUP(B277,input_425105!L:R,7,FALSE),VLOOKUP(tables_425105!C277,input_425105!A:H,8,FALSE))</f>
        <v>14257.6</v>
      </c>
      <c r="P277" s="46">
        <f t="shared" ca="1" si="17"/>
        <v>5.241764706209965E-3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input_425105!A$2</f>
        <v>425105</v>
      </c>
      <c r="B278" s="82">
        <v>863</v>
      </c>
      <c r="C278" s="7" t="str">
        <f t="shared" si="16"/>
        <v>Premium5R3less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IFERROR(VLOOKUP(B278,input_425105!L:R,7,FALSE),VLOOKUP(tables_425105!C278,input_425105!A:H,8,FALSE))</f>
        <v>750.4</v>
      </c>
      <c r="P278" s="46">
        <f t="shared" ca="1" si="17"/>
        <v>2.7588235295841919E-4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input_425105!A$2</f>
        <v>425105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IFERROR(VLOOKUP(B279,input_425105!L:R,7,FALSE),VLOOKUP(tables_425105!C279,input_425105!A:H,8,FALSE))</f>
        <v>14257.6</v>
      </c>
      <c r="P279" s="46">
        <f t="shared" ca="1" si="17"/>
        <v>5.241764706209965E-3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input_425105!A$2</f>
        <v>425105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IFERROR(VLOOKUP(B280,input_425105!L:R,7,FALSE),VLOOKUP(tables_425105!C280,input_425105!A:H,8,FALSE))</f>
        <v>750.4</v>
      </c>
      <c r="P280" s="46">
        <f t="shared" ca="1" si="17"/>
        <v>2.7588235295841919E-4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input_425105!A$2</f>
        <v>425105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IFERROR(VLOOKUP(B281,input_425105!L:R,7,FALSE),VLOOKUP(tables_425105!C281,input_425105!A:H,8,FALSE))</f>
        <v>1360</v>
      </c>
      <c r="P281" s="46">
        <f t="shared" ca="1" si="17"/>
        <v>5.0000000003125019E-4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input_425105!A$2</f>
        <v>425105</v>
      </c>
      <c r="B282" s="82">
        <v>868</v>
      </c>
      <c r="C282" s="7" t="str">
        <f t="shared" si="16"/>
        <v>PremiumSS5R5onlycolor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IFERROR(VLOOKUP(B282,input_425105!L:R,7,FALSE),VLOOKUP(tables_425105!C282,input_425105!A:H,8,FALSE))</f>
        <v>5828.57143</v>
      </c>
      <c r="P282" s="46">
        <f t="shared" ca="1" si="17"/>
        <v>2.1428571435162819E-3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input_425105!A$2</f>
        <v>425105</v>
      </c>
      <c r="B283" s="5">
        <v>742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IFERROR(VLOOKUP(B283,input_425105!L:R,7,FALSE),VLOOKUP(tables_425105!C283,input_425105!A:H,8,FALSE))</f>
        <v>1360</v>
      </c>
      <c r="P283" s="46">
        <f t="shared" ca="1" si="17"/>
        <v>5.0000000003125019E-4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input_425105!A$2</f>
        <v>425105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IFERROR(VLOOKUP(B284,input_425105!L:R,7,FALSE),VLOOKUP(tables_425105!C284,input_425105!A:H,8,FALSE))</f>
        <v>1360</v>
      </c>
      <c r="P284" s="46">
        <f t="shared" ca="1" si="17"/>
        <v>5.0000000003125019E-4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input_425105!A$2</f>
        <v>425105</v>
      </c>
      <c r="B285" s="5">
        <v>746</v>
      </c>
      <c r="C285" s="7" t="str">
        <f t="shared" si="16"/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IFERROR(VLOOKUP(B285,input_425105!L:R,7,FALSE),VLOOKUP(tables_425105!C285,input_425105!A:H,8,FALSE))</f>
        <v>14257.6</v>
      </c>
      <c r="P285" s="46">
        <f t="shared" ca="1" si="17"/>
        <v>5.241764706209965E-3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input_425105!A$2</f>
        <v>425105</v>
      </c>
      <c r="B286" s="5">
        <v>747</v>
      </c>
      <c r="C286" s="7" t="str">
        <f t="shared" si="16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IFERROR(VLOOKUP(B286,input_425105!L:R,7,FALSE),VLOOKUP(tables_425105!C286,input_425105!A:H,8,FALSE))</f>
        <v>750.4</v>
      </c>
      <c r="P286" s="46">
        <f t="shared" ca="1" si="17"/>
        <v>2.7588235295841919E-4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input_425105!A$2</f>
        <v>425105</v>
      </c>
      <c r="B287" s="5">
        <v>748</v>
      </c>
      <c r="C287" s="7" t="str">
        <f t="shared" si="16"/>
        <v>Premium4R3lesscolor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IFERROR(VLOOKUP(B287,input_425105!L:R,7,FALSE),VLOOKUP(tables_425105!C287,input_425105!A:H,8,FALSE))</f>
        <v>66103.418179999993</v>
      </c>
      <c r="P287" s="46">
        <f t="shared" ca="1" si="17"/>
        <v>2.430272727357775E-2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input_425105!A$2</f>
        <v>425105</v>
      </c>
      <c r="B288" s="5">
        <v>749</v>
      </c>
      <c r="C288" s="7" t="str">
        <f t="shared" si="16"/>
        <v>Premium5R3lesscolor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IFERROR(VLOOKUP(B288,input_425105!L:R,7,FALSE),VLOOKUP(tables_425105!C288,input_425105!A:H,8,FALSE))</f>
        <v>3479.12727</v>
      </c>
      <c r="P288" s="46">
        <f t="shared" ca="1" si="17"/>
        <v>1.2790909081681788E-3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input_425105!A$2</f>
        <v>425105</v>
      </c>
      <c r="B289" s="5">
        <v>937</v>
      </c>
      <c r="C289" s="7" t="str">
        <f t="shared" si="16"/>
        <v>PremiumSS5R5only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IFERROR(VLOOKUP(B289,input_425105!L:R,7,FALSE),VLOOKUP(tables_425105!C289,input_425105!A:H,8,FALSE))</f>
        <v>1360</v>
      </c>
      <c r="P289" s="46">
        <f t="shared" ca="1" si="17"/>
        <v>5.0000000003125019E-4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input_425105!A$2</f>
        <v>425105</v>
      </c>
      <c r="B290" s="5">
        <v>939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IFERROR(VLOOKUP(B290,input_425105!L:R,7,FALSE),VLOOKUP(tables_425105!C290,input_425105!A:H,8,FALSE))</f>
        <v>14257.6</v>
      </c>
      <c r="P290" s="46">
        <f t="shared" ca="1" si="17"/>
        <v>5.241764706209965E-3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input_425105!A$2</f>
        <v>425105</v>
      </c>
      <c r="B291" s="5">
        <v>940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IFERROR(VLOOKUP(B291,input_425105!L:R,7,FALSE),VLOOKUP(tables_425105!C291,input_425105!A:H,8,FALSE))</f>
        <v>750.4</v>
      </c>
      <c r="P291" s="46">
        <f t="shared" ca="1" si="17"/>
        <v>2.7588235295841919E-4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input_425105!A$2</f>
        <v>425105</v>
      </c>
      <c r="B292" s="5">
        <v>941</v>
      </c>
      <c r="C292" s="7" t="str">
        <f t="shared" si="16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IFERROR(VLOOKUP(B292,input_425105!L:R,7,FALSE),VLOOKUP(tables_425105!C292,input_425105!A:H,8,FALSE))</f>
        <v>1360</v>
      </c>
      <c r="P292" s="46">
        <f t="shared" ca="1" si="17"/>
        <v>5.0000000003125019E-4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input_425105!A$2</f>
        <v>425105</v>
      </c>
      <c r="B293" s="5">
        <v>943</v>
      </c>
      <c r="C293" s="7" t="str">
        <f t="shared" si="16"/>
        <v>PremiumSS5R5onlycolor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IFERROR(VLOOKUP(B293,input_425105!L:R,7,FALSE),VLOOKUP(tables_425105!C293,input_425105!A:H,8,FALSE))</f>
        <v>5828.57143</v>
      </c>
      <c r="P293" s="46">
        <f t="shared" ca="1" si="17"/>
        <v>2.1428571435162819E-3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input_425105!A$2</f>
        <v>425105</v>
      </c>
      <c r="B294" s="5">
        <v>1012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IFERROR(VLOOKUP(B294,input_425105!L:R,7,FALSE),VLOOKUP(tables_425105!C294,input_425105!A:H,8,FALSE))</f>
        <v>1360</v>
      </c>
      <c r="P294" s="46">
        <f t="shared" ca="1" si="17"/>
        <v>5.0000000003125019E-4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input_425105!A$2</f>
        <v>425105</v>
      </c>
      <c r="B295" s="5">
        <v>1014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IFERROR(VLOOKUP(B295,input_425105!L:R,7,FALSE),VLOOKUP(tables_425105!C295,input_425105!A:H,8,FALSE))</f>
        <v>1360</v>
      </c>
      <c r="P295" s="46">
        <f t="shared" ca="1" si="17"/>
        <v>5.0000000003125019E-4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input_425105!A$2</f>
        <v>425105</v>
      </c>
      <c r="B296" s="5">
        <v>1016</v>
      </c>
      <c r="C296" s="7" t="str">
        <f t="shared" si="16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IFERROR(VLOOKUP(B296,input_425105!L:R,7,FALSE),VLOOKUP(tables_425105!C296,input_425105!A:H,8,FALSE))</f>
        <v>14257.6</v>
      </c>
      <c r="P296" s="46">
        <f t="shared" ca="1" si="17"/>
        <v>5.241764706209965E-3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input_425105!A$2</f>
        <v>425105</v>
      </c>
      <c r="B297" s="5">
        <v>1017</v>
      </c>
      <c r="C297" s="7" t="str">
        <f t="shared" si="16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IFERROR(VLOOKUP(B297,input_425105!L:R,7,FALSE),VLOOKUP(tables_425105!C297,input_425105!A:H,8,FALSE))</f>
        <v>750.4</v>
      </c>
      <c r="P297" s="46">
        <f t="shared" ca="1" si="17"/>
        <v>2.7588235295841919E-4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input_425105!A$2</f>
        <v>425105</v>
      </c>
      <c r="B298" s="5">
        <v>1018</v>
      </c>
      <c r="C298" s="7" t="str">
        <f t="shared" si="16"/>
        <v>PremiumSS5R5onlycolor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IFERROR(VLOOKUP(B298,input_425105!L:R,7,FALSE),VLOOKUP(tables_425105!C298,input_425105!A:H,8,FALSE))</f>
        <v>5828.57143</v>
      </c>
      <c r="P298" s="46">
        <f t="shared" ca="1" si="17"/>
        <v>2.1428571435162819E-3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input_425105!A$2</f>
        <v>425105</v>
      </c>
      <c r="B299" s="5">
        <v>1026</v>
      </c>
      <c r="C299" s="7" t="str">
        <f t="shared" si="16"/>
        <v>Premium4R3less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IFERROR(VLOOKUP(B299,input_425105!L:R,7,FALSE),VLOOKUP(tables_425105!C299,input_425105!A:H,8,FALSE))</f>
        <v>14257.6</v>
      </c>
      <c r="P299" s="46">
        <f t="shared" ca="1" si="17"/>
        <v>5.241764706209965E-3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input_425105!A$2</f>
        <v>425105</v>
      </c>
      <c r="B300" s="5">
        <v>1027</v>
      </c>
      <c r="C300" s="7" t="str">
        <f t="shared" si="16"/>
        <v>Premium5R3less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IFERROR(VLOOKUP(B300,input_425105!L:R,7,FALSE),VLOOKUP(tables_425105!C300,input_425105!A:H,8,FALSE))</f>
        <v>750.4</v>
      </c>
      <c r="P300" s="46">
        <f t="shared" ca="1" si="17"/>
        <v>2.7588235295841919E-4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input_425105!A$2</f>
        <v>425105</v>
      </c>
      <c r="B301" s="5">
        <v>1028</v>
      </c>
      <c r="C301" s="7" t="str">
        <f t="shared" ref="C301:C305" si="20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IFERROR(VLOOKUP(B301,input_425105!L:R,7,FALSE),VLOOKUP(tables_425105!C301,input_425105!A:H,8,FALSE))</f>
        <v>1360</v>
      </c>
      <c r="P301" s="46">
        <f t="shared" ca="1" si="17"/>
        <v>5.0000000003125019E-4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input_425105!A$2</f>
        <v>425105</v>
      </c>
      <c r="B302" s="5">
        <v>1031</v>
      </c>
      <c r="C302" s="7" t="str">
        <f t="shared" si="20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IFERROR(VLOOKUP(B302,input_425105!L:R,7,FALSE),VLOOKUP(tables_425105!C302,input_425105!A:H,8,FALSE))</f>
        <v>1360</v>
      </c>
      <c r="P302" s="46">
        <f t="shared" ca="1" si="17"/>
        <v>5.0000000003125019E-4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input_425105!A$2</f>
        <v>425105</v>
      </c>
      <c r="B303" s="5">
        <v>1033</v>
      </c>
      <c r="C303" s="7" t="str">
        <f t="shared" si="20"/>
        <v>PremiumSS5R5onlycolor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IFERROR(VLOOKUP(B303,input_425105!L:R,7,FALSE),VLOOKUP(tables_425105!C303,input_425105!A:H,8,FALSE))</f>
        <v>5828.57143</v>
      </c>
      <c r="P303" s="46">
        <f t="shared" ca="1" si="17"/>
        <v>2.1428571435162819E-3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input_425105!A$2</f>
        <v>425105</v>
      </c>
      <c r="B304" s="5">
        <v>1067</v>
      </c>
      <c r="C304" s="7" t="str">
        <f t="shared" si="20"/>
        <v>Premium4R3less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IFERROR(VLOOKUP(B304,input_425105!L:R,7,FALSE),VLOOKUP(tables_425105!C304,input_425105!A:H,8,FALSE))</f>
        <v>14257.6</v>
      </c>
      <c r="P304" s="46">
        <f t="shared" ca="1" si="17"/>
        <v>5.241764706209965E-3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input_425105!A$2</f>
        <v>425105</v>
      </c>
      <c r="B305" s="5">
        <v>1068</v>
      </c>
      <c r="C305" s="7" t="str">
        <f t="shared" si="20"/>
        <v>Premium5R3less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IFERROR(VLOOKUP(B305,input_425105!L:R,7,FALSE),VLOOKUP(tables_425105!C305,input_425105!A:H,8,FALSE))</f>
        <v>750.4</v>
      </c>
      <c r="P305" s="46">
        <f t="shared" ca="1" si="17"/>
        <v>2.7588235295841919E-4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input_425105!A$2</f>
        <v>425105</v>
      </c>
      <c r="B306" s="5">
        <v>1069</v>
      </c>
      <c r="C306" s="7" t="str">
        <f t="shared" ref="C306:C310" si="21">D306&amp;J306&amp;E306&amp;F306&amp;G306</f>
        <v>PremiumSS5R5only</v>
      </c>
      <c r="D306" s="7" t="str">
        <f t="shared" ref="D306:D310" si="22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IFERROR(VLOOKUP(B306,input_425105!L:R,7,FALSE),VLOOKUP(tables_425105!C306,input_425105!A:H,8,FALSE))</f>
        <v>1360</v>
      </c>
      <c r="P306" s="46">
        <f t="shared" ref="P306:P310" ca="1" si="23">O306/SUM(O:O)</f>
        <v>5.0000000003125019E-4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input_425105!A$2</f>
        <v>425105</v>
      </c>
      <c r="B307" s="5">
        <v>1072</v>
      </c>
      <c r="C307" s="7" t="str">
        <f t="shared" si="21"/>
        <v>PremiumSS5R5only</v>
      </c>
      <c r="D307" s="7" t="str">
        <f t="shared" si="22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IFERROR(VLOOKUP(B307,input_425105!L:R,7,FALSE),VLOOKUP(tables_425105!C307,input_425105!A:H,8,FALSE))</f>
        <v>1360</v>
      </c>
      <c r="P307" s="46">
        <f t="shared" ca="1" si="23"/>
        <v>5.0000000003125019E-4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input_425105!A$2</f>
        <v>425105</v>
      </c>
      <c r="B308" s="5">
        <v>1074</v>
      </c>
      <c r="C308" s="7" t="str">
        <f t="shared" si="21"/>
        <v>PremiumSS5R5onlycolor</v>
      </c>
      <c r="D308" s="7" t="str">
        <f t="shared" si="22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IFERROR(VLOOKUP(B308,input_425105!L:R,7,FALSE),VLOOKUP(tables_425105!C308,input_425105!A:H,8,FALSE))</f>
        <v>5828.57143</v>
      </c>
      <c r="P308" s="46">
        <f t="shared" ca="1" si="23"/>
        <v>2.1428571435162819E-3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input_425105!A$2</f>
        <v>425105</v>
      </c>
      <c r="B309" s="5">
        <v>1104</v>
      </c>
      <c r="C309" s="7" t="str">
        <f t="shared" si="21"/>
        <v>Premium4R3less</v>
      </c>
      <c r="D309" s="7" t="str">
        <f t="shared" si="22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IFERROR(VLOOKUP(B309,input_425105!L:R,7,FALSE),VLOOKUP(tables_425105!C309,input_425105!A:H,8,FALSE))</f>
        <v>14257.6</v>
      </c>
      <c r="P309" s="46">
        <f t="shared" ca="1" si="23"/>
        <v>5.241764706209965E-3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input_425105!A$2</f>
        <v>425105</v>
      </c>
      <c r="B310" s="5">
        <v>1105</v>
      </c>
      <c r="C310" s="7" t="str">
        <f t="shared" si="21"/>
        <v>Premium5R3less</v>
      </c>
      <c r="D310" s="7" t="str">
        <f t="shared" si="22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IFERROR(VLOOKUP(B310,input_425105!L:R,7,FALSE),VLOOKUP(tables_425105!C310,input_425105!A:H,8,FALSE))</f>
        <v>750.4</v>
      </c>
      <c r="P310" s="46">
        <f t="shared" ca="1" si="23"/>
        <v>2.7588235295841919E-4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input_425105!A$2</f>
        <v>425105</v>
      </c>
      <c r="B311" s="5">
        <v>1106</v>
      </c>
      <c r="C311" s="7" t="str">
        <f t="shared" ref="C311:C319" si="24">D311&amp;J311&amp;E311&amp;F311&amp;G311</f>
        <v>PremiumSS5R5onlycolor</v>
      </c>
      <c r="D311" s="7" t="str">
        <f t="shared" ref="D311:D319" si="25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ref="G311:G319" si="26">IF(K311="yellow","color","")</f>
        <v>color</v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IFERROR(VLOOKUP(B311,input_425105!L:R,7,FALSE),VLOOKUP(tables_425105!C311,input_425105!A:H,8,FALSE))</f>
        <v>5828.57143</v>
      </c>
      <c r="P311" s="46">
        <f t="shared" ref="P311:P319" ca="1" si="27">O311/SUM(O:O)</f>
        <v>2.1428571435162819E-3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input_425105!A$2</f>
        <v>425105</v>
      </c>
      <c r="B312" s="5">
        <v>1102</v>
      </c>
      <c r="C312" s="7" t="str">
        <f t="shared" si="24"/>
        <v>PremiumSS5R5only</v>
      </c>
      <c r="D312" s="7" t="str">
        <f t="shared" si="25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26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IFERROR(VLOOKUP(B312,input_425105!L:R,7,FALSE),VLOOKUP(tables_425105!C312,input_425105!A:H,8,FALSE))</f>
        <v>1360</v>
      </c>
      <c r="P312" s="46">
        <f t="shared" ca="1" si="27"/>
        <v>5.0000000003125019E-4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input_425105!A$2</f>
        <v>425105</v>
      </c>
      <c r="B313" s="5">
        <v>1100</v>
      </c>
      <c r="C313" s="7" t="str">
        <f t="shared" si="24"/>
        <v>PremiumSS5R5only</v>
      </c>
      <c r="D313" s="7" t="str">
        <f t="shared" si="25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26"/>
        <v/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IFERROR(VLOOKUP(B313,input_425105!L:R,7,FALSE),VLOOKUP(tables_425105!C313,input_425105!A:H,8,FALSE))</f>
        <v>1360</v>
      </c>
      <c r="P313" s="46">
        <f t="shared" ca="1" si="27"/>
        <v>5.0000000003125019E-4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input_425105!A$2</f>
        <v>425105</v>
      </c>
      <c r="B314" s="5">
        <v>1137</v>
      </c>
      <c r="C314" s="7" t="str">
        <f t="shared" si="24"/>
        <v>PremiumSS5R5only</v>
      </c>
      <c r="D314" s="7" t="str">
        <f t="shared" si="25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26"/>
        <v/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IFERROR(VLOOKUP(B314,input_425105!L:R,7,FALSE),VLOOKUP(tables_425105!C314,input_425105!A:H,8,FALSE))</f>
        <v>1360</v>
      </c>
      <c r="P314" s="46">
        <f t="shared" ca="1" si="27"/>
        <v>5.0000000003125019E-4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input_425105!A$2</f>
        <v>425105</v>
      </c>
      <c r="B315" s="5">
        <v>1139</v>
      </c>
      <c r="C315" s="7" t="str">
        <f t="shared" si="24"/>
        <v>PremiumSS5R5only</v>
      </c>
      <c r="D315" s="7" t="str">
        <f t="shared" si="25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26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IFERROR(VLOOKUP(B315,input_425105!L:R,7,FALSE),VLOOKUP(tables_425105!C315,input_425105!A:H,8,FALSE))</f>
        <v>1360</v>
      </c>
      <c r="P315" s="46">
        <f t="shared" ca="1" si="27"/>
        <v>5.0000000003125019E-4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input_425105!A$2</f>
        <v>425105</v>
      </c>
      <c r="B316" s="5">
        <v>1141</v>
      </c>
      <c r="C316" s="7" t="str">
        <f t="shared" si="24"/>
        <v>PremiumSS5R5only</v>
      </c>
      <c r="D316" s="7" t="str">
        <f t="shared" si="25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26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IFERROR(VLOOKUP(B316,input_425105!L:R,7,FALSE),VLOOKUP(tables_425105!C316,input_425105!A:H,8,FALSE))</f>
        <v>1360</v>
      </c>
      <c r="P316" s="46">
        <f t="shared" ca="1" si="27"/>
        <v>5.0000000003125019E-4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input_425105!A$2</f>
        <v>425105</v>
      </c>
      <c r="B317" s="5">
        <v>1143</v>
      </c>
      <c r="C317" s="7" t="str">
        <f t="shared" si="24"/>
        <v>Premium4R3lesscolor</v>
      </c>
      <c r="D317" s="7" t="str">
        <f t="shared" si="25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26"/>
        <v>color</v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IFERROR(VLOOKUP(B317,input_425105!L:R,7,FALSE),VLOOKUP(tables_425105!C317,input_425105!A:H,8,FALSE))</f>
        <v>66103.418179999993</v>
      </c>
      <c r="P317" s="46">
        <f t="shared" ca="1" si="27"/>
        <v>2.430272727357775E-2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input_425105!A$2</f>
        <v>425105</v>
      </c>
      <c r="B318" s="5">
        <v>1144</v>
      </c>
      <c r="C318" s="7" t="str">
        <f t="shared" si="24"/>
        <v>Premium5R3lesscolor</v>
      </c>
      <c r="D318" s="7" t="str">
        <f t="shared" si="25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26"/>
        <v>color</v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IFERROR(VLOOKUP(B318,input_425105!L:R,7,FALSE),VLOOKUP(tables_425105!C318,input_425105!A:H,8,FALSE))</f>
        <v>3479.12727</v>
      </c>
      <c r="P318" s="46">
        <f t="shared" ca="1" si="27"/>
        <v>1.2790909081681788E-3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input_425105!A$2</f>
        <v>425105</v>
      </c>
      <c r="B319" s="1">
        <v>874</v>
      </c>
      <c r="C319" s="7" t="str">
        <f t="shared" si="24"/>
        <v>PremiumSSS5R3lesscolor</v>
      </c>
      <c r="D319" s="7" t="str">
        <f t="shared" si="25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26"/>
        <v>color</v>
      </c>
      <c r="H319" s="7" t="str">
        <f>VLOOKUP(B319,[1]characters!$A:$C,3,FALSE)</f>
        <v>フレネル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attack</v>
      </c>
      <c r="M319" s="7" t="str">
        <f>VLOOKUP(B319,[1]characters!$A:$M,13,FALSE)</f>
        <v>academia</v>
      </c>
      <c r="N319" s="7" t="str">
        <f>VLOOKUP(B319,[1]characters!$A:$G,7,FALSE)</f>
        <v>男性</v>
      </c>
      <c r="O319" s="45">
        <f ca="1">IFERROR(VLOOKUP(B319,input_425105!L:R,7,FALSE),VLOOKUP(tables_425105!C319,input_425105!A:H,8,FALSE))</f>
        <v>32640</v>
      </c>
      <c r="P319" s="46">
        <f t="shared" ca="1" si="27"/>
        <v>1.2000000000750004E-2</v>
      </c>
      <c r="Q319" s="88"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abSelected="1" topLeftCell="A9" workbookViewId="0">
      <selection activeCell="B43" sqref="B4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425100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VLOOKUP(L3,tables_425100!B:C,2,FALSE)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VLOOKUP(L4,tables_425100!B:C,2,FALSE)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5.0000000000000012E-4</v>
      </c>
      <c r="F5">
        <f>(COUNTIF(tables_425100!C:C,input_425100!A28)+COUNTIF(tables_425100!C:C,input_425100!A29))</f>
        <v>40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VLOOKUP(L5,tables_425100!B:C,2,FALSE)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2.142857142857143E-3</v>
      </c>
      <c r="F6">
        <f>(COUNTIF(tables_425100!C:C,input_425100!A43)+COUNTIF(tables_425100!C:C,input_425100!A44))</f>
        <v>14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VLOOKUP(L6,tables_425100!B:C,2,FALSE)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5.4705882352941177E-3</v>
      </c>
      <c r="F7">
        <f>(COUNTIF(tables_425100!C:C,input_425100!A25)+COUNTIF(tables_425100!C:C,input_425100!A18)+COUNTIF(tables_425100!C:C,input_425100!A20)+COUNTIF(tables_425100!C:C,input_425100!A22))</f>
        <v>68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VLOOKUP(L7,tables_425100!B:C,2,FALSE)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2.5363636363636363E-2</v>
      </c>
      <c r="F8">
        <f>(COUNTIF(tables_425100!C:C,input_425100!A40)+COUNTIF(tables_425100!C:C,input_425100!A33)+COUNTIF(tables_425100!C:C,input_425100!A35)+COUNTIF(tables_425100!C:C,input_425100!A37))</f>
        <v>22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VLOOKUP(L8,tables_425100!B:C,2,FALSE)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VLOOKUP(L9,tables_425100!B:C,2,FALSE)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VLOOKUP(L10,tables_425100!B:C,2,FALSE)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VLOOKUP(L11,tables_425100!B:C,2,FALSE)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VLOOKUP(L12,tables_425100!B:C,2,FALSE)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VLOOKUP(L13,tables_425100!B:C,2,FALSE)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VLOOKUP(L14,tables_425100!B:C,2,FALSE)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VLOOKUP(L15,tables_425100!B:C,2,FALSE)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VLOOKUP(L16,tables_425100!B:C,2,FALSE)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COUNTIF(tables_425100!C:C,input_425100!A17)-COUNTIF(Q:Q,A17)</f>
        <v>14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E$7*E18-B17+0.0032</f>
        <v>8.5258823529411762E-2</v>
      </c>
      <c r="C18" s="86">
        <f t="shared" si="2"/>
        <v>0</v>
      </c>
      <c r="D18" s="75">
        <f t="shared" si="3"/>
        <v>8.5258823529411762E-2</v>
      </c>
      <c r="E18">
        <f>COUNTIF(tables_425100!C:C,input_425100!A18)-COUNTIF(Q:Q,A18)</f>
        <v>15</v>
      </c>
      <c r="F18" s="43">
        <f>IFERROR(B18/E18,0)</f>
        <v>5.6839215686274504E-3</v>
      </c>
      <c r="G18">
        <f t="shared" si="4"/>
        <v>231904</v>
      </c>
      <c r="H18">
        <f t="shared" si="5"/>
        <v>15460.266670000001</v>
      </c>
      <c r="I18">
        <f t="shared" si="6"/>
        <v>0.26667000000088592</v>
      </c>
      <c r="J18">
        <f t="shared" si="7"/>
        <v>3.7499531255734722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COUNTIF(tables_425100!C:C,input_425100!A19)-COUNTIF(Q:Q,A19)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E$7*E20*B$6+0.0032+E50-0.0104</f>
        <v>0.21140086898345486</v>
      </c>
      <c r="C20" s="86">
        <f t="shared" si="2"/>
        <v>0</v>
      </c>
      <c r="D20" s="75">
        <f t="shared" si="3"/>
        <v>0.21140086898345486</v>
      </c>
      <c r="E20">
        <f>COUNTIF(tables_425100!C:C,input_425100!A20)-COUNTIF(Q:Q,A20)</f>
        <v>39</v>
      </c>
      <c r="F20" s="43">
        <f t="shared" si="8"/>
        <v>5.4205351021398684E-3</v>
      </c>
      <c r="G20">
        <f t="shared" si="4"/>
        <v>575010.36363499728</v>
      </c>
      <c r="H20">
        <f t="shared" si="5"/>
        <v>14743.85548</v>
      </c>
      <c r="I20">
        <f t="shared" si="6"/>
        <v>0.85548000000017055</v>
      </c>
      <c r="J20">
        <f t="shared" si="7"/>
        <v>1.1689343994012726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E$7*E21*B$7-E50+0.007</f>
        <v>1.7520721930157279E-3</v>
      </c>
      <c r="C21" s="86">
        <f t="shared" si="2"/>
        <v>0</v>
      </c>
      <c r="D21" s="75">
        <f t="shared" si="3"/>
        <v>1.7520721930157279E-3</v>
      </c>
      <c r="E21">
        <f>COUNTIF(tables_425100!C:C,input_425100!A21)-COUNTIF(Q:Q,A21)</f>
        <v>39</v>
      </c>
      <c r="F21" s="43">
        <f t="shared" si="8"/>
        <v>4.4924928026044302E-5</v>
      </c>
      <c r="G21">
        <f t="shared" si="4"/>
        <v>4765.6363650027797</v>
      </c>
      <c r="H21">
        <f t="shared" si="5"/>
        <v>122.19580000000001</v>
      </c>
      <c r="I21">
        <f t="shared" si="6"/>
        <v>0.19580000000000553</v>
      </c>
      <c r="J21">
        <f t="shared" si="7"/>
        <v>5.1072522982633899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5.7167647058823531E-2</v>
      </c>
      <c r="C22" s="86">
        <f t="shared" si="2"/>
        <v>0</v>
      </c>
      <c r="D22" s="75">
        <f t="shared" si="3"/>
        <v>5.7167647058823531E-2</v>
      </c>
      <c r="E22">
        <f>COUNTIF(tables_425100!C:C,input_425100!A22)-COUNTIF(Q:Q,A22)</f>
        <v>11</v>
      </c>
      <c r="F22" s="43">
        <f t="shared" si="8"/>
        <v>5.1970588235294123E-3</v>
      </c>
      <c r="G22">
        <f t="shared" si="4"/>
        <v>155496</v>
      </c>
      <c r="H22">
        <f t="shared" si="5"/>
        <v>14136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3.0088235294117652E-3</v>
      </c>
      <c r="C23" s="86">
        <f t="shared" si="2"/>
        <v>0</v>
      </c>
      <c r="D23" s="75">
        <f t="shared" si="3"/>
        <v>3.0088235294117652E-3</v>
      </c>
      <c r="E23">
        <f>COUNTIF(tables_425100!C:C,input_425100!A23)-COUNTIF(Q:Q,A23)</f>
        <v>11</v>
      </c>
      <c r="F23" s="43">
        <f t="shared" si="8"/>
        <v>2.7352941176470594E-4</v>
      </c>
      <c r="G23">
        <f t="shared" si="4"/>
        <v>8184.0000000000009</v>
      </c>
      <c r="H23">
        <f t="shared" si="5"/>
        <v>744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COUNTIF(tables_425100!C:C,input_425100!A24)-COUNTIF(Q:Q,A24)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1.5591176470588233E-2</v>
      </c>
      <c r="C25" s="86">
        <f t="shared" si="2"/>
        <v>0</v>
      </c>
      <c r="D25" s="75">
        <f t="shared" si="3"/>
        <v>1.5591176470588233E-2</v>
      </c>
      <c r="E25">
        <f>COUNTIF(tables_425100!C:C,input_425100!A25)-COUNTIF(Q:Q,A25)</f>
        <v>3</v>
      </c>
      <c r="F25" s="43">
        <f t="shared" si="8"/>
        <v>5.1970588235294114E-3</v>
      </c>
      <c r="G25">
        <f t="shared" si="4"/>
        <v>42407.999999999993</v>
      </c>
      <c r="H25">
        <f t="shared" si="5"/>
        <v>14136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8.2058823529411766E-4</v>
      </c>
      <c r="C26" s="86">
        <f t="shared" si="2"/>
        <v>0</v>
      </c>
      <c r="D26" s="75">
        <f t="shared" si="3"/>
        <v>8.2058823529411766E-4</v>
      </c>
      <c r="E26">
        <f>COUNTIF(tables_425100!C:C,input_425100!A26)-COUNTIF(Q:Q,A26)</f>
        <v>3</v>
      </c>
      <c r="F26" s="43">
        <f t="shared" si="8"/>
        <v>2.7352941176470589E-4</v>
      </c>
      <c r="G26">
        <f t="shared" si="4"/>
        <v>2232</v>
      </c>
      <c r="H26">
        <f t="shared" si="5"/>
        <v>744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E$5*E27*(B$5+B$6)+0.005</f>
        <v>1.4975000000000002E-2</v>
      </c>
      <c r="C27" s="86">
        <f t="shared" si="2"/>
        <v>0</v>
      </c>
      <c r="D27" s="75">
        <f t="shared" si="3"/>
        <v>1.4975000000000002E-2</v>
      </c>
      <c r="E27">
        <f>COUNTIF(tables_425100!C:C,input_425100!A27)-COUNTIF(Q:Q,A27)</f>
        <v>21</v>
      </c>
      <c r="F27" s="43">
        <f>IFERROR(B27/E27,0)</f>
        <v>7.1309523809523815E-4</v>
      </c>
      <c r="G27">
        <f t="shared" si="4"/>
        <v>40732.000000000007</v>
      </c>
      <c r="H27">
        <f t="shared" si="5"/>
        <v>1939.61905</v>
      </c>
      <c r="I27">
        <f t="shared" si="6"/>
        <v>0.61905000000001564</v>
      </c>
      <c r="J27">
        <f t="shared" si="7"/>
        <v>1.6153784023907192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5.2500000000000018E-4</v>
      </c>
      <c r="C28" s="86">
        <f t="shared" si="2"/>
        <v>0</v>
      </c>
      <c r="D28" s="75">
        <f t="shared" si="3"/>
        <v>5.2500000000000018E-4</v>
      </c>
      <c r="E28">
        <f>COUNTIF(tables_425100!C:C,input_425100!A28)-COUNTIF(Q:Q,A28)</f>
        <v>21</v>
      </c>
      <c r="F28" s="43">
        <f t="shared" si="8"/>
        <v>2.5000000000000008E-5</v>
      </c>
      <c r="G28">
        <f t="shared" si="4"/>
        <v>1428.0000000000005</v>
      </c>
      <c r="H28">
        <f t="shared" si="5"/>
        <v>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9.5000000000000015E-3</v>
      </c>
      <c r="C29" s="86">
        <f t="shared" si="2"/>
        <v>0</v>
      </c>
      <c r="D29" s="75">
        <f t="shared" si="3"/>
        <v>9.5000000000000015E-3</v>
      </c>
      <c r="E29">
        <f>COUNTIF(tables_425100!C:C,input_425100!A29)-COUNTIF(Q:Q,A29)</f>
        <v>19</v>
      </c>
      <c r="F29" s="43">
        <f t="shared" si="8"/>
        <v>5.0000000000000012E-4</v>
      </c>
      <c r="G29">
        <f t="shared" si="4"/>
        <v>25840.000000000004</v>
      </c>
      <c r="H29">
        <f t="shared" si="5"/>
        <v>1360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COUNTIF(tables_425100!C:C,input_425100!A30)-COUNTIF(Q:Q,A30)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COUNTIF(tables_425100!C:C,input_425100!A31)-COUNTIF(Q:Q,A31)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COUNTIF(tables_425100!C:C,input_425100!A32)-COUNTIF(Q:Q,A32)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E$8*E33-B32-0.0016-0.0032</f>
        <v>0.12201818181818182</v>
      </c>
      <c r="C33" s="86">
        <f t="shared" si="2"/>
        <v>0</v>
      </c>
      <c r="D33" s="75">
        <f t="shared" si="3"/>
        <v>0.12201818181818182</v>
      </c>
      <c r="E33">
        <f>COUNTIF(tables_425100!C:C,input_425100!A33)-COUNTIF(Q:Q,A33)</f>
        <v>5</v>
      </c>
      <c r="F33" s="43">
        <f>IFERROR(B33/E33,0)</f>
        <v>2.4403636363636363E-2</v>
      </c>
      <c r="G33">
        <f t="shared" si="4"/>
        <v>331889.45454545453</v>
      </c>
      <c r="H33">
        <f t="shared" si="5"/>
        <v>66377.890910000002</v>
      </c>
      <c r="I33">
        <f t="shared" si="6"/>
        <v>0.89091000000189524</v>
      </c>
      <c r="J33">
        <f t="shared" si="7"/>
        <v>1.1224478342345161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COUNTIF(tables_425100!C:C,input_425100!A34)-COUNTIF(Q:Q,A34)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E$8*E35*B$6+E50-0.016+0.0148</f>
        <v>0.32795648395671684</v>
      </c>
      <c r="C35" s="86">
        <f t="shared" si="2"/>
        <v>0</v>
      </c>
      <c r="D35" s="75">
        <f t="shared" si="3"/>
        <v>0.32795648395671684</v>
      </c>
      <c r="E35">
        <f>COUNTIF(tables_425100!C:C,input_425100!A35)-COUNTIF(Q:Q,A35)</f>
        <v>13</v>
      </c>
      <c r="F35" s="43">
        <f t="shared" si="9"/>
        <v>2.5227421842824373E-2</v>
      </c>
      <c r="G35">
        <f t="shared" si="4"/>
        <v>892041.63636226975</v>
      </c>
      <c r="H35">
        <f t="shared" si="5"/>
        <v>68618.587409999993</v>
      </c>
      <c r="I35">
        <f t="shared" si="6"/>
        <v>0.58740999999281485</v>
      </c>
      <c r="J35">
        <f t="shared" si="7"/>
        <v>1.702388451017572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E$8*E36*B$7-E50+0.003</f>
        <v>3.5707887705558336E-3</v>
      </c>
      <c r="C36" s="86">
        <f t="shared" si="2"/>
        <v>0</v>
      </c>
      <c r="D36" s="75">
        <f t="shared" si="3"/>
        <v>3.5707887705558336E-3</v>
      </c>
      <c r="E36">
        <f>COUNTIF(tables_425100!C:C,input_425100!A36)-COUNTIF(Q:Q,A36)</f>
        <v>13</v>
      </c>
      <c r="F36" s="43">
        <f t="shared" si="9"/>
        <v>2.7467605927352566E-4</v>
      </c>
      <c r="G36">
        <f t="shared" si="4"/>
        <v>9712.545455911868</v>
      </c>
      <c r="H36">
        <f t="shared" si="5"/>
        <v>747.11887999999999</v>
      </c>
      <c r="I36">
        <f t="shared" si="6"/>
        <v>0.1188799999999901</v>
      </c>
      <c r="J36">
        <f t="shared" si="7"/>
        <v>8.4118438761783576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7.2286363636363635E-2</v>
      </c>
      <c r="C37" s="86">
        <f t="shared" si="2"/>
        <v>0</v>
      </c>
      <c r="D37" s="75">
        <f t="shared" si="3"/>
        <v>7.2286363636363635E-2</v>
      </c>
      <c r="E37">
        <f>COUNTIF(tables_425100!C:C,input_425100!A37)-COUNTIF(Q:Q,A37)</f>
        <v>3</v>
      </c>
      <c r="F37" s="43">
        <f t="shared" si="9"/>
        <v>2.4095454545454545E-2</v>
      </c>
      <c r="G37">
        <f t="shared" si="4"/>
        <v>196618.90909090909</v>
      </c>
      <c r="H37">
        <f t="shared" si="5"/>
        <v>65539.636360000004</v>
      </c>
      <c r="I37">
        <f t="shared" si="6"/>
        <v>0.63636000000406057</v>
      </c>
      <c r="J37">
        <f t="shared" si="7"/>
        <v>1.5714375510616931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3.8045454545454545E-3</v>
      </c>
      <c r="C38" s="86">
        <f t="shared" si="2"/>
        <v>0</v>
      </c>
      <c r="D38" s="75">
        <f t="shared" si="3"/>
        <v>3.8045454545454545E-3</v>
      </c>
      <c r="E38">
        <f>COUNTIF(tables_425100!C:C,input_425100!A38)-COUNTIF(Q:Q,A38)</f>
        <v>3</v>
      </c>
      <c r="F38" s="43">
        <f t="shared" si="9"/>
        <v>1.2681818181818183E-3</v>
      </c>
      <c r="G38">
        <f t="shared" si="4"/>
        <v>10348.363636363636</v>
      </c>
      <c r="H38">
        <f t="shared" si="5"/>
        <v>3449.4545499999999</v>
      </c>
      <c r="I38">
        <f t="shared" si="6"/>
        <v>0.45454999999992651</v>
      </c>
      <c r="J38">
        <f t="shared" si="7"/>
        <v>2.1999780002203533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COUNTIF(tables_425100!C:C,input_425100!A39)-COUNTIF(Q:Q,A39)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2.4095454545454545E-2</v>
      </c>
      <c r="C40" s="86">
        <f t="shared" si="2"/>
        <v>0</v>
      </c>
      <c r="D40" s="75">
        <f t="shared" si="3"/>
        <v>2.4095454545454545E-2</v>
      </c>
      <c r="E40">
        <f>COUNTIF(tables_425100!C:C,input_425100!A40)-COUNTIF(Q:Q,A40)</f>
        <v>1</v>
      </c>
      <c r="F40" s="43">
        <f t="shared" si="9"/>
        <v>2.4095454545454545E-2</v>
      </c>
      <c r="G40">
        <f t="shared" si="4"/>
        <v>65539.636363636368</v>
      </c>
      <c r="H40">
        <f t="shared" si="5"/>
        <v>65539.636360000004</v>
      </c>
      <c r="I40">
        <f t="shared" si="6"/>
        <v>0.63636000000406057</v>
      </c>
      <c r="J40">
        <f t="shared" si="7"/>
        <v>1.5714375510616931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1.2681818181818183E-3</v>
      </c>
      <c r="C41" s="86">
        <f t="shared" si="2"/>
        <v>0</v>
      </c>
      <c r="D41" s="75">
        <f t="shared" si="3"/>
        <v>1.2681818181818183E-3</v>
      </c>
      <c r="E41">
        <f>COUNTIF(tables_425100!C:C,input_425100!A41)-COUNTIF(Q:Q,A41)</f>
        <v>1</v>
      </c>
      <c r="F41" s="43">
        <f t="shared" si="9"/>
        <v>1.2681818181818183E-3</v>
      </c>
      <c r="G41">
        <f t="shared" si="4"/>
        <v>3449.4545454545455</v>
      </c>
      <c r="H41">
        <f t="shared" si="5"/>
        <v>3449.4545499999999</v>
      </c>
      <c r="I41">
        <f t="shared" si="6"/>
        <v>0.45454999999992651</v>
      </c>
      <c r="J41">
        <f t="shared" si="7"/>
        <v>2.1999780002203533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E$6*E42*(B$5+B$6)+0.005</f>
        <v>1.925E-2</v>
      </c>
      <c r="C42" s="86">
        <f t="shared" si="2"/>
        <v>0</v>
      </c>
      <c r="D42" s="75">
        <f t="shared" si="3"/>
        <v>1.925E-2</v>
      </c>
      <c r="E42">
        <f>COUNTIF(tables_425100!C:C,input_425100!A42)-COUNTIF(Q:Q,A42)</f>
        <v>7</v>
      </c>
      <c r="F42" s="43">
        <f>IFERROR(B42/E42,0)</f>
        <v>2.7499999999999998E-3</v>
      </c>
      <c r="G42">
        <f t="shared" si="4"/>
        <v>52360</v>
      </c>
      <c r="H42">
        <f t="shared" si="5"/>
        <v>7480</v>
      </c>
      <c r="I42">
        <f t="shared" si="6"/>
        <v>0</v>
      </c>
      <c r="J42">
        <f t="shared" si="7"/>
        <v>1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7.5000000000000012E-4</v>
      </c>
      <c r="C43" s="86">
        <f t="shared" si="2"/>
        <v>0</v>
      </c>
      <c r="D43" s="75">
        <f t="shared" si="3"/>
        <v>7.5000000000000012E-4</v>
      </c>
      <c r="E43">
        <f>COUNTIF(tables_425100!C:C,input_425100!A43)-COUNTIF(Q:Q,A43)</f>
        <v>7</v>
      </c>
      <c r="F43" s="43">
        <f t="shared" ref="F43:F46" si="10">IFERROR(B43/E43,0)</f>
        <v>1.0714285714285716E-4</v>
      </c>
      <c r="G43">
        <f t="shared" si="4"/>
        <v>2040.0000000000002</v>
      </c>
      <c r="H43">
        <f t="shared" si="5"/>
        <v>291.42856999999998</v>
      </c>
      <c r="I43">
        <f t="shared" si="6"/>
        <v>0.42856999999997925</v>
      </c>
      <c r="J43">
        <f t="shared" si="7"/>
        <v>2.33334111113715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E$6*E44-0.01</f>
        <v>5.000000000000001E-3</v>
      </c>
      <c r="C44" s="86">
        <f t="shared" si="2"/>
        <v>0</v>
      </c>
      <c r="D44" s="75">
        <f t="shared" si="3"/>
        <v>5.000000000000001E-3</v>
      </c>
      <c r="E44">
        <f>COUNTIF(tables_425100!C:C,input_425100!A44)-COUNTIF(Q:Q,A44)</f>
        <v>7</v>
      </c>
      <c r="F44" s="43">
        <f t="shared" si="10"/>
        <v>7.1428571428571439E-4</v>
      </c>
      <c r="G44">
        <f t="shared" si="4"/>
        <v>13600.000000000002</v>
      </c>
      <c r="H44">
        <f t="shared" si="5"/>
        <v>1942.8571400000001</v>
      </c>
      <c r="I44">
        <f t="shared" si="6"/>
        <v>0.85714000000007218</v>
      </c>
      <c r="J44">
        <f t="shared" si="7"/>
        <v>1.1666705555684203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COUNTIF(tables_425100!C:C,input_425100!A45)-COUNTIF(Q:Q,A45)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6">
        <f t="shared" si="2"/>
        <v>0</v>
      </c>
      <c r="D46" s="75">
        <f t="shared" si="3"/>
        <v>0.02</v>
      </c>
      <c r="E46">
        <f>COUNTIF(tables_425100!C:C,input_425100!A46)-COUNTIF(Q:Q,A46)</f>
        <v>1</v>
      </c>
      <c r="F46" s="43">
        <f t="shared" si="10"/>
        <v>0.02</v>
      </c>
      <c r="G46">
        <f t="shared" si="4"/>
        <v>54400</v>
      </c>
      <c r="H46">
        <f t="shared" si="5"/>
        <v>54400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3.1831149731615604E-2</v>
      </c>
    </row>
    <row r="50" spans="1:7" x14ac:dyDescent="0.15">
      <c r="A50" t="s">
        <v>74</v>
      </c>
      <c r="E50">
        <f>E49/2</f>
        <v>1.5915574865807802E-2</v>
      </c>
    </row>
    <row r="51" spans="1:7" x14ac:dyDescent="0.15">
      <c r="A51" s="31">
        <f>LCM(F5-I5,F7-I6)*1000*2*2</f>
        <v>2720000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SUMIF(tables_425100!C:C,input_425100!A55,tables_425100!O:O)</f>
        <v>0</v>
      </c>
      <c r="C55" s="54">
        <f t="shared" ref="C55:C61" ca="1" si="11">B55/B$62</f>
        <v>0</v>
      </c>
      <c r="E55">
        <v>3</v>
      </c>
      <c r="F55">
        <f ca="1">SUMIF(tables_425100!J:J,input_425100!E55,tables_425100!O:O)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SUMIF(tables_425100!C:C,input_425100!A56,tables_425100!O:O)</f>
        <v>575010.36372000061</v>
      </c>
      <c r="C56" s="54">
        <f t="shared" ca="1" si="11"/>
        <v>0.92454909146236353</v>
      </c>
      <c r="E56">
        <v>4</v>
      </c>
      <c r="F56">
        <f ca="1">SUMIF(tables_425100!J:J,input_425100!E56,tables_425100!O:O)</f>
        <v>2584000.0001399987</v>
      </c>
      <c r="G56">
        <f ca="1">F56/A51</f>
        <v>0.95000000005147012</v>
      </c>
    </row>
    <row r="57" spans="1:7" x14ac:dyDescent="0.15">
      <c r="A57" s="33" t="s">
        <v>109</v>
      </c>
      <c r="B57">
        <f ca="1">SUMIF(tables_425100!C:C,input_425100!A57,tables_425100!O:O)</f>
        <v>40732.00005000001</v>
      </c>
      <c r="C57" s="54">
        <f t="shared" ca="1" si="11"/>
        <v>6.5492269384574517E-2</v>
      </c>
      <c r="E57">
        <v>5</v>
      </c>
      <c r="F57">
        <f ca="1">SUMIF(tables_425100!J:J,input_425100!E57,tables_425100!O:O)</f>
        <v>135999.99981000004</v>
      </c>
      <c r="G57">
        <f ca="1">F57/A51</f>
        <v>4.9999999930147074E-2</v>
      </c>
    </row>
    <row r="58" spans="1:7" x14ac:dyDescent="0.15">
      <c r="A58" s="33" t="s">
        <v>113</v>
      </c>
      <c r="B58">
        <f>SUMIF(tables_425100!C:C,input_425100!A58,tables_425100!O:O)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SUMIF(tables_425100!C:C,input_425100!A59,tables_425100!O:O)</f>
        <v>4765.6362000000017</v>
      </c>
      <c r="C59" s="54">
        <f t="shared" ca="1" si="11"/>
        <v>7.6625829671057386E-3</v>
      </c>
      <c r="E59" t="s">
        <v>55</v>
      </c>
      <c r="F59" s="55"/>
    </row>
    <row r="60" spans="1:7" x14ac:dyDescent="0.15">
      <c r="A60" s="33" t="s">
        <v>110</v>
      </c>
      <c r="B60">
        <f ca="1">SUMIF(tables_425100!C:C,input_425100!A60,tables_425100!O:O)</f>
        <v>1428</v>
      </c>
      <c r="C60" s="54">
        <f t="shared" ca="1" si="11"/>
        <v>2.2960561859562403E-3</v>
      </c>
      <c r="E60" t="s">
        <v>210</v>
      </c>
      <c r="F60" s="55">
        <f ca="1">SUMIF(tables_425100!I:I,input_425100!E60,tables_425100!P:P)</f>
        <v>0.20727700537145732</v>
      </c>
    </row>
    <row r="61" spans="1:7" x14ac:dyDescent="0.15">
      <c r="A61" s="33" t="s">
        <v>111</v>
      </c>
      <c r="B61">
        <f>SUMIF(tables_425100!C:C,input_425100!A61,tables_425100!O:O)</f>
        <v>0</v>
      </c>
      <c r="C61" s="54">
        <f t="shared" ca="1" si="11"/>
        <v>0</v>
      </c>
      <c r="E61" t="s">
        <v>211</v>
      </c>
      <c r="F61" s="55">
        <f ca="1">SUMIF(tables_425100!I:I,input_425100!E61,tables_425100!P:P)</f>
        <v>0.20950777456635125</v>
      </c>
    </row>
    <row r="62" spans="1:7" x14ac:dyDescent="0.15">
      <c r="A62" s="39" t="s">
        <v>60</v>
      </c>
      <c r="B62">
        <f ca="1">SUM(B55:B61)</f>
        <v>621935.99997000059</v>
      </c>
      <c r="C62" s="55">
        <f ca="1">SUM(C55:C61)</f>
        <v>1</v>
      </c>
      <c r="E62" t="s">
        <v>212</v>
      </c>
      <c r="F62" s="55">
        <f ca="1">SUMIF(tables_425100!I:I,input_425100!E62,tables_425100!P:P)</f>
        <v>0.51321522005355125</v>
      </c>
    </row>
    <row r="63" spans="1:7" x14ac:dyDescent="0.15">
      <c r="E63" t="s">
        <v>213</v>
      </c>
      <c r="F63" s="55">
        <f ca="1">SUMIF(tables_425100!I:I,input_425100!E63,tables_425100!P:P)</f>
        <v>4.850000000824458E-2</v>
      </c>
    </row>
    <row r="64" spans="1:7" x14ac:dyDescent="0.15">
      <c r="E64" t="s">
        <v>295</v>
      </c>
      <c r="F64" s="55">
        <f ca="1">SUMIF(tables_425100!I:I,input_425100!E64,tables_425100!P:P)</f>
        <v>1.5000000000275737E-3</v>
      </c>
    </row>
    <row r="65" spans="5:6" x14ac:dyDescent="0.15">
      <c r="E65" t="s">
        <v>297</v>
      </c>
      <c r="F65" s="55">
        <f ca="1">SUMIF(tables_425100!I:I,input_425100!E65,tables_425100!P:P)</f>
        <v>2.0000000000367651E-2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9"/>
  <sheetViews>
    <sheetView showGridLines="0" zoomScale="70" zoomScaleNormal="70" zoomScalePageLayoutView="70" workbookViewId="0">
      <pane ySplit="1" topLeftCell="A2" activePane="bottomLeft" state="frozen"/>
      <selection activeCell="Q291" sqref="Q291"/>
      <selection pane="bottomLeft" activeCell="O2" sqref="O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input_425100!A$2</f>
        <v>425100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IFERROR(VLOOKUP(B2,input_425100!L:R,7,FALSE),VLOOKUP(tables_425100!C2,input_425100!A:H,8,FALSE))</f>
        <v>15460.266670000001</v>
      </c>
      <c r="P2" s="46">
        <f t="shared" ref="P2:P65" ca="1" si="1">O2/SUM(O:O)</f>
        <v>5.6839215699574265E-3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input_425100!A$2</f>
        <v>425100</v>
      </c>
      <c r="B3" s="6">
        <v>128</v>
      </c>
      <c r="C3" s="7" t="str">
        <f t="shared" si="0"/>
        <v>PremiumW3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IFERROR(VLOOKUP(B3,input_425100!L:R,7,FALSE),VLOOKUP(tables_425100!C3,input_425100!A:H,8,FALSE))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input_425100!A$2</f>
        <v>425100</v>
      </c>
      <c r="B4" s="6">
        <v>129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IFERROR(VLOOKUP(B4,input_425100!L:R,7,FALSE),VLOOKUP(tables_425100!C4,input_425100!A:H,8,FALSE))</f>
        <v>15460.266670000001</v>
      </c>
      <c r="P4" s="46">
        <f t="shared" ca="1" si="1"/>
        <v>5.6839215699574265E-3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input_425100!A$2</f>
        <v>425100</v>
      </c>
      <c r="B5" s="6">
        <v>130</v>
      </c>
      <c r="C5" s="7" t="str">
        <f t="shared" si="0"/>
        <v>PremiumW3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IFERROR(VLOOKUP(B5,input_425100!L:R,7,FALSE),VLOOKUP(tables_425100!C5,input_425100!A:H,8,FALSE))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input_425100!A$2</f>
        <v>425100</v>
      </c>
      <c r="B6" s="6">
        <v>131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IFERROR(VLOOKUP(B6,input_425100!L:R,7,FALSE),VLOOKUP(tables_425100!C6,input_425100!A:H,8,FALSE))</f>
        <v>15460.266670000001</v>
      </c>
      <c r="P6" s="46">
        <f t="shared" ca="1" si="1"/>
        <v>5.6839215699574265E-3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input_425100!A$2</f>
        <v>425100</v>
      </c>
      <c r="B7" s="6">
        <v>132</v>
      </c>
      <c r="C7" s="7" t="str">
        <f t="shared" si="0"/>
        <v>PremiumW3color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IFERROR(VLOOKUP(B7,input_425100!L:R,7,FALSE),VLOOKUP(tables_425100!C7,input_425100!A:H,8,FALSE))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input_425100!A$2</f>
        <v>425100</v>
      </c>
      <c r="B8" s="6">
        <v>133</v>
      </c>
      <c r="C8" s="7" t="str">
        <f t="shared" si="0"/>
        <v>PremiumW4color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IFERROR(VLOOKUP(B8,input_425100!L:R,7,FALSE),VLOOKUP(tables_425100!C8,input_425100!A:H,8,FALSE))</f>
        <v>66377.890910000002</v>
      </c>
      <c r="P8" s="46">
        <f t="shared" ca="1" si="1"/>
        <v>2.4403636364419189E-2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input_425100!A$2</f>
        <v>425100</v>
      </c>
      <c r="B9" s="6">
        <v>134</v>
      </c>
      <c r="C9" s="7" t="str">
        <f t="shared" si="0"/>
        <v>PremiumW3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IFERROR(VLOOKUP(B9,input_425100!L:R,7,FALSE),VLOOKUP(tables_425100!C9,input_425100!A:H,8,FALSE))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input_425100!A$2</f>
        <v>425100</v>
      </c>
      <c r="B10" s="6">
        <v>135</v>
      </c>
      <c r="C10" s="7" t="str">
        <f t="shared" si="0"/>
        <v>PremiumW4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IFERROR(VLOOKUP(B10,input_425100!L:R,7,FALSE),VLOOKUP(tables_425100!C10,input_425100!A:H,8,FALSE))</f>
        <v>15460.266670000001</v>
      </c>
      <c r="P10" s="46">
        <f t="shared" ca="1" si="1"/>
        <v>5.6839215699574265E-3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input_425100!A$2</f>
        <v>425100</v>
      </c>
      <c r="B11" s="8">
        <v>136</v>
      </c>
      <c r="C11" s="7" t="str">
        <f t="shared" si="0"/>
        <v>PremiumW3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IFERROR(VLOOKUP(B11,input_425100!L:R,7,FALSE),VLOOKUP(tables_425100!C11,input_425100!A:H,8,FALSE))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input_425100!A$2</f>
        <v>425100</v>
      </c>
      <c r="B12" s="8">
        <v>137</v>
      </c>
      <c r="C12" s="7" t="str">
        <f t="shared" si="0"/>
        <v>PremiumW4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IFERROR(VLOOKUP(B12,input_425100!L:R,7,FALSE),VLOOKUP(tables_425100!C12,input_425100!A:H,8,FALSE))</f>
        <v>15460.266670000001</v>
      </c>
      <c r="P12" s="46">
        <f t="shared" ca="1" si="1"/>
        <v>5.6839215699574265E-3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input_425100!A$2</f>
        <v>425100</v>
      </c>
      <c r="B13" s="6">
        <v>138</v>
      </c>
      <c r="C13" s="7" t="str">
        <f t="shared" si="0"/>
        <v>PremiumW3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IFERROR(VLOOKUP(B13,input_425100!L:R,7,FALSE),VLOOKUP(tables_425100!C13,input_425100!A:H,8,FALSE))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input_425100!A$2</f>
        <v>425100</v>
      </c>
      <c r="B14" s="6">
        <v>139</v>
      </c>
      <c r="C14" s="7" t="str">
        <f t="shared" si="0"/>
        <v>PremiumW4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IFERROR(VLOOKUP(B14,input_425100!L:R,7,FALSE),VLOOKUP(tables_425100!C14,input_425100!A:H,8,FALSE))</f>
        <v>15460.266670000001</v>
      </c>
      <c r="P14" s="46">
        <f t="shared" ca="1" si="1"/>
        <v>5.6839215699574265E-3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input_425100!A$2</f>
        <v>425100</v>
      </c>
      <c r="B15" s="10">
        <v>140</v>
      </c>
      <c r="C15" s="7" t="str">
        <f t="shared" si="0"/>
        <v>PremiumW3color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IFERROR(VLOOKUP(B15,input_425100!L:R,7,FALSE),VLOOKUP(tables_425100!C15,input_425100!A:H,8,FALSE))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input_425100!A$2</f>
        <v>425100</v>
      </c>
      <c r="B16" s="11">
        <v>141</v>
      </c>
      <c r="C16" s="7" t="str">
        <f t="shared" si="0"/>
        <v>PremiumW4color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IFERROR(VLOOKUP(B16,input_425100!L:R,7,FALSE),VLOOKUP(tables_425100!C16,input_425100!A:H,8,FALSE))</f>
        <v>66377.890910000002</v>
      </c>
      <c r="P16" s="46">
        <f t="shared" ca="1" si="1"/>
        <v>2.4403636364419189E-2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input_425100!A$2</f>
        <v>425100</v>
      </c>
      <c r="B17" s="6">
        <v>142</v>
      </c>
      <c r="C17" s="7" t="str">
        <f t="shared" si="0"/>
        <v>PremiumW3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IFERROR(VLOOKUP(B17,input_425100!L:R,7,FALSE),VLOOKUP(tables_425100!C17,input_425100!A:H,8,FALSE))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input_425100!A$2</f>
        <v>425100</v>
      </c>
      <c r="B18" s="6">
        <v>143</v>
      </c>
      <c r="C18" s="7" t="str">
        <f t="shared" si="0"/>
        <v>PremiumW4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IFERROR(VLOOKUP(B18,input_425100!L:R,7,FALSE),VLOOKUP(tables_425100!C18,input_425100!A:H,8,FALSE))</f>
        <v>15460.266670000001</v>
      </c>
      <c r="P18" s="46">
        <f t="shared" ca="1" si="1"/>
        <v>5.6839215699574265E-3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input_425100!A$2</f>
        <v>425100</v>
      </c>
      <c r="B19" s="10">
        <v>144</v>
      </c>
      <c r="C19" s="7" t="str">
        <f t="shared" si="0"/>
        <v>PremiumW3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IFERROR(VLOOKUP(B19,input_425100!L:R,7,FALSE),VLOOKUP(tables_425100!C19,input_425100!A:H,8,FALSE))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input_425100!A$2</f>
        <v>425100</v>
      </c>
      <c r="B20" s="6">
        <v>145</v>
      </c>
      <c r="C20" s="7" t="str">
        <f t="shared" si="0"/>
        <v>PremiumW4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IFERROR(VLOOKUP(B20,input_425100!L:R,7,FALSE),VLOOKUP(tables_425100!C20,input_425100!A:H,8,FALSE))</f>
        <v>15460.266670000001</v>
      </c>
      <c r="P20" s="46">
        <f t="shared" ca="1" si="1"/>
        <v>5.6839215699574265E-3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input_425100!A$2</f>
        <v>425100</v>
      </c>
      <c r="B21" s="6">
        <v>146</v>
      </c>
      <c r="C21" s="7" t="str">
        <f t="shared" si="0"/>
        <v>PremiumW3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IFERROR(VLOOKUP(B21,input_425100!L:R,7,FALSE),VLOOKUP(tables_425100!C21,input_425100!A:H,8,FALSE))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input_425100!A$2</f>
        <v>425100</v>
      </c>
      <c r="B22" s="6">
        <v>147</v>
      </c>
      <c r="C22" s="7" t="str">
        <f t="shared" si="0"/>
        <v>PremiumW4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IFERROR(VLOOKUP(B22,input_425100!L:R,7,FALSE),VLOOKUP(tables_425100!C22,input_425100!A:H,8,FALSE))</f>
        <v>15460.266670000001</v>
      </c>
      <c r="P22" s="46">
        <f t="shared" ca="1" si="1"/>
        <v>5.6839215699574265E-3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input_425100!A$2</f>
        <v>425100</v>
      </c>
      <c r="B23" s="6">
        <v>148</v>
      </c>
      <c r="C23" s="7" t="str">
        <f t="shared" si="0"/>
        <v>PremiumW3color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IFERROR(VLOOKUP(B23,input_425100!L:R,7,FALSE),VLOOKUP(tables_425100!C23,input_425100!A:H,8,FALSE))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input_425100!A$2</f>
        <v>425100</v>
      </c>
      <c r="B24" s="6">
        <v>149</v>
      </c>
      <c r="C24" s="7" t="str">
        <f t="shared" si="0"/>
        <v>PremiumW4color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IFERROR(VLOOKUP(B24,input_425100!L:R,7,FALSE),VLOOKUP(tables_425100!C24,input_425100!A:H,8,FALSE))</f>
        <v>66377.890910000002</v>
      </c>
      <c r="P24" s="46">
        <f t="shared" ca="1" si="1"/>
        <v>2.4403636364419189E-2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input_425100!A$2</f>
        <v>425100</v>
      </c>
      <c r="B25" s="6">
        <v>150</v>
      </c>
      <c r="C25" s="7" t="str">
        <f t="shared" si="0"/>
        <v>PremiumW3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IFERROR(VLOOKUP(B25,input_425100!L:R,7,FALSE),VLOOKUP(tables_425100!C25,input_425100!A:H,8,FALSE))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input_425100!A$2</f>
        <v>425100</v>
      </c>
      <c r="B26" s="6">
        <v>151</v>
      </c>
      <c r="C26" s="7" t="str">
        <f t="shared" si="0"/>
        <v>PremiumW4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IFERROR(VLOOKUP(B26,input_425100!L:R,7,FALSE),VLOOKUP(tables_425100!C26,input_425100!A:H,8,FALSE))</f>
        <v>15460.266670000001</v>
      </c>
      <c r="P26" s="46">
        <f t="shared" ca="1" si="1"/>
        <v>5.6839215699574265E-3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input_425100!A$2</f>
        <v>425100</v>
      </c>
      <c r="B27" s="6">
        <v>152</v>
      </c>
      <c r="C27" s="7" t="str">
        <f t="shared" si="0"/>
        <v>PremiumW3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IFERROR(VLOOKUP(B27,input_425100!L:R,7,FALSE),VLOOKUP(tables_425100!C27,input_425100!A:H,8,FALSE))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input_425100!A$2</f>
        <v>425100</v>
      </c>
      <c r="B28" s="6">
        <v>153</v>
      </c>
      <c r="C28" s="7" t="str">
        <f t="shared" si="0"/>
        <v>PremiumW4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IFERROR(VLOOKUP(B28,input_425100!L:R,7,FALSE),VLOOKUP(tables_425100!C28,input_425100!A:H,8,FALSE))</f>
        <v>15460.266670000001</v>
      </c>
      <c r="P28" s="46">
        <f t="shared" ca="1" si="1"/>
        <v>5.6839215699574265E-3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input_425100!A$2</f>
        <v>425100</v>
      </c>
      <c r="B29" s="6">
        <v>154</v>
      </c>
      <c r="C29" s="7" t="str">
        <f t="shared" si="0"/>
        <v>PremiumW3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IFERROR(VLOOKUP(B29,input_425100!L:R,7,FALSE),VLOOKUP(tables_425100!C29,input_425100!A:H,8,FALSE))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input_425100!A$2</f>
        <v>425100</v>
      </c>
      <c r="B30" s="6">
        <v>155</v>
      </c>
      <c r="C30" s="7" t="str">
        <f t="shared" si="0"/>
        <v>PremiumW4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IFERROR(VLOOKUP(B30,input_425100!L:R,7,FALSE),VLOOKUP(tables_425100!C30,input_425100!A:H,8,FALSE))</f>
        <v>15460.266670000001</v>
      </c>
      <c r="P30" s="46">
        <f t="shared" ca="1" si="1"/>
        <v>5.6839215699574265E-3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input_425100!A$2</f>
        <v>425100</v>
      </c>
      <c r="B31" s="6">
        <v>156</v>
      </c>
      <c r="C31" s="7" t="str">
        <f t="shared" si="0"/>
        <v>PremiumW3color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IFERROR(VLOOKUP(B31,input_425100!L:R,7,FALSE),VLOOKUP(tables_425100!C31,input_425100!A:H,8,FALSE))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input_425100!A$2</f>
        <v>425100</v>
      </c>
      <c r="B32" s="6">
        <v>157</v>
      </c>
      <c r="C32" s="7" t="str">
        <f t="shared" si="0"/>
        <v>PremiumW4color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IFERROR(VLOOKUP(B32,input_425100!L:R,7,FALSE),VLOOKUP(tables_425100!C32,input_425100!A:H,8,FALSE))</f>
        <v>66377.890910000002</v>
      </c>
      <c r="P32" s="46">
        <f t="shared" ca="1" si="1"/>
        <v>2.4403636364419189E-2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input_425100!A$2</f>
        <v>425100</v>
      </c>
      <c r="B33" s="6">
        <v>158</v>
      </c>
      <c r="C33" s="7" t="str">
        <f t="shared" si="0"/>
        <v>PremiumW3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IFERROR(VLOOKUP(B33,input_425100!L:R,7,FALSE),VLOOKUP(tables_425100!C33,input_425100!A:H,8,FALSE))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input_425100!A$2</f>
        <v>425100</v>
      </c>
      <c r="B34" s="6">
        <v>159</v>
      </c>
      <c r="C34" s="7" t="str">
        <f t="shared" si="0"/>
        <v>PremiumW4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IFERROR(VLOOKUP(B34,input_425100!L:R,7,FALSE),VLOOKUP(tables_425100!C34,input_425100!A:H,8,FALSE))</f>
        <v>15460.266670000001</v>
      </c>
      <c r="P34" s="46">
        <f t="shared" ca="1" si="1"/>
        <v>5.6839215699574265E-3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input_425100!A$2</f>
        <v>425100</v>
      </c>
      <c r="B35" s="6">
        <v>160</v>
      </c>
      <c r="C35" s="7" t="str">
        <f t="shared" si="0"/>
        <v>PremiumW3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IFERROR(VLOOKUP(B35,input_425100!L:R,7,FALSE),VLOOKUP(tables_425100!C35,input_425100!A:H,8,FALSE))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input_425100!A$2</f>
        <v>425100</v>
      </c>
      <c r="B36" s="6">
        <v>161</v>
      </c>
      <c r="C36" s="7" t="str">
        <f t="shared" si="0"/>
        <v>PremiumW4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IFERROR(VLOOKUP(B36,input_425100!L:R,7,FALSE),VLOOKUP(tables_425100!C36,input_425100!A:H,8,FALSE))</f>
        <v>15460.266670000001</v>
      </c>
      <c r="P36" s="46">
        <f t="shared" ca="1" si="1"/>
        <v>5.6839215699574265E-3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input_425100!A$2</f>
        <v>425100</v>
      </c>
      <c r="B37" s="6">
        <v>162</v>
      </c>
      <c r="C37" s="7" t="str">
        <f t="shared" si="0"/>
        <v>PremiumW3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IFERROR(VLOOKUP(B37,input_425100!L:R,7,FALSE),VLOOKUP(tables_425100!C37,input_425100!A:H,8,FALSE))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input_425100!A$2</f>
        <v>425100</v>
      </c>
      <c r="B38" s="6">
        <v>163</v>
      </c>
      <c r="C38" s="7" t="str">
        <f t="shared" si="0"/>
        <v>PremiumW4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IFERROR(VLOOKUP(B38,input_425100!L:R,7,FALSE),VLOOKUP(tables_425100!C38,input_425100!A:H,8,FALSE))</f>
        <v>15460.266670000001</v>
      </c>
      <c r="P38" s="46">
        <f t="shared" ca="1" si="1"/>
        <v>5.6839215699574265E-3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input_425100!A$2</f>
        <v>425100</v>
      </c>
      <c r="B39" s="6">
        <v>164</v>
      </c>
      <c r="C39" s="7" t="str">
        <f t="shared" si="0"/>
        <v>PremiumW3color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IFERROR(VLOOKUP(B39,input_425100!L:R,7,FALSE),VLOOKUP(tables_425100!C39,input_425100!A:H,8,FALSE))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input_425100!A$2</f>
        <v>425100</v>
      </c>
      <c r="B40" s="6">
        <v>165</v>
      </c>
      <c r="C40" s="7" t="str">
        <f t="shared" si="0"/>
        <v>PremiumW4color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IFERROR(VLOOKUP(B40,input_425100!L:R,7,FALSE),VLOOKUP(tables_425100!C40,input_425100!A:H,8,FALSE))</f>
        <v>66377.890910000002</v>
      </c>
      <c r="P40" s="46">
        <f t="shared" ca="1" si="1"/>
        <v>2.4403636364419189E-2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input_425100!A$2</f>
        <v>425100</v>
      </c>
      <c r="B41" s="6">
        <v>166</v>
      </c>
      <c r="C41" s="7" t="str">
        <f t="shared" si="0"/>
        <v>Premium3R6release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>R6release</v>
      </c>
      <c r="G41" s="7" t="str">
        <f t="shared" si="3"/>
        <v/>
      </c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IFERROR(VLOOKUP(B41,input_425100!L:R,7,FALSE),VLOOKUP(tables_425100!C41,input_425100!A:H,8,FALSE))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input_425100!A$2</f>
        <v>425100</v>
      </c>
      <c r="B42" s="6">
        <v>167</v>
      </c>
      <c r="C42" s="7" t="str">
        <f t="shared" si="0"/>
        <v>Premium4R6release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IFERROR(VLOOKUP(B42,input_425100!L:R,7,FALSE),VLOOKUP(tables_425100!C42,input_425100!A:H,8,FALSE))</f>
        <v>14136</v>
      </c>
      <c r="P42" s="46">
        <f t="shared" ca="1" si="1"/>
        <v>5.1970588236249469E-3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input_425100!A$2</f>
        <v>425100</v>
      </c>
      <c r="B43" s="6">
        <v>168</v>
      </c>
      <c r="C43" s="7" t="str">
        <f t="shared" si="0"/>
        <v>Premium5R6release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IFERROR(VLOOKUP(B43,input_425100!L:R,7,FALSE),VLOOKUP(tables_425100!C43,input_425100!A:H,8,FALSE))</f>
        <v>744</v>
      </c>
      <c r="P43" s="46">
        <f t="shared" ca="1" si="1"/>
        <v>2.7352941176973404E-4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input_425100!A$2</f>
        <v>425100</v>
      </c>
      <c r="B44" s="6">
        <v>169</v>
      </c>
      <c r="C44" s="7" t="str">
        <f t="shared" si="0"/>
        <v>Premium3R6release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IFERROR(VLOOKUP(B44,input_425100!L:R,7,FALSE),VLOOKUP(tables_425100!C44,input_425100!A:H,8,FALSE))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input_425100!A$2</f>
        <v>425100</v>
      </c>
      <c r="B45" s="6">
        <v>170</v>
      </c>
      <c r="C45" s="7" t="str">
        <f t="shared" si="0"/>
        <v>Premium4R6release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IFERROR(VLOOKUP(B45,input_425100!L:R,7,FALSE),VLOOKUP(tables_425100!C45,input_425100!A:H,8,FALSE))</f>
        <v>14136</v>
      </c>
      <c r="P45" s="46">
        <f t="shared" ca="1" si="1"/>
        <v>5.1970588236249469E-3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input_425100!A$2</f>
        <v>425100</v>
      </c>
      <c r="B46" s="6">
        <v>171</v>
      </c>
      <c r="C46" s="7" t="str">
        <f t="shared" si="0"/>
        <v>Premium5R6release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IFERROR(VLOOKUP(B46,input_425100!L:R,7,FALSE),VLOOKUP(tables_425100!C46,input_425100!A:H,8,FALSE))</f>
        <v>744</v>
      </c>
      <c r="P46" s="46">
        <f t="shared" ca="1" si="1"/>
        <v>2.7352941176973404E-4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input_425100!A$2</f>
        <v>425100</v>
      </c>
      <c r="B47" s="6">
        <v>172</v>
      </c>
      <c r="C47" s="7" t="str">
        <f t="shared" si="0"/>
        <v>Premium3R6release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IFERROR(VLOOKUP(B47,input_425100!L:R,7,FALSE),VLOOKUP(tables_425100!C47,input_425100!A:H,8,FALSE))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input_425100!A$2</f>
        <v>425100</v>
      </c>
      <c r="B48" s="6">
        <v>173</v>
      </c>
      <c r="C48" s="7" t="str">
        <f t="shared" si="0"/>
        <v>Premium4R6release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IFERROR(VLOOKUP(B48,input_425100!L:R,7,FALSE),VLOOKUP(tables_425100!C48,input_425100!A:H,8,FALSE))</f>
        <v>14136</v>
      </c>
      <c r="P48" s="46">
        <f t="shared" ca="1" si="1"/>
        <v>5.1970588236249469E-3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input_425100!A$2</f>
        <v>425100</v>
      </c>
      <c r="B49" s="6">
        <v>174</v>
      </c>
      <c r="C49" s="7" t="str">
        <f t="shared" si="0"/>
        <v>Premium5R6release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IFERROR(VLOOKUP(B49,input_425100!L:R,7,FALSE),VLOOKUP(tables_425100!C49,input_425100!A:H,8,FALSE))</f>
        <v>744</v>
      </c>
      <c r="P49" s="46">
        <f t="shared" ca="1" si="1"/>
        <v>2.7352941176973404E-4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input_425100!A$2</f>
        <v>425100</v>
      </c>
      <c r="B50" s="6">
        <v>175</v>
      </c>
      <c r="C50" s="7" t="str">
        <f t="shared" si="0"/>
        <v>Premium3color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 t="str">
        <f t="shared" si="3"/>
        <v>color</v>
      </c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IFERROR(VLOOKUP(B50,input_425100!L:R,7,FALSE),VLOOKUP(tables_425100!C50,input_425100!A:H,8,FALSE))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input_425100!A$2</f>
        <v>425100</v>
      </c>
      <c r="B51" s="6">
        <v>176</v>
      </c>
      <c r="C51" s="7" t="str">
        <f t="shared" si="0"/>
        <v>Premium4color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IFERROR(VLOOKUP(B51,input_425100!L:R,7,FALSE),VLOOKUP(tables_425100!C51,input_425100!A:H,8,FALSE))</f>
        <v>68618.587409999993</v>
      </c>
      <c r="P51" s="46">
        <f t="shared" ca="1" si="1"/>
        <v>2.5227421842375506E-2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input_425100!A$2</f>
        <v>425100</v>
      </c>
      <c r="B52" s="6">
        <v>177</v>
      </c>
      <c r="C52" s="7" t="str">
        <f t="shared" si="0"/>
        <v>Premium5color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IFERROR(VLOOKUP(B52,input_425100!L:R,7,FALSE),VLOOKUP(tables_425100!C52,input_425100!A:H,8,FALSE))</f>
        <v>747.11887999999999</v>
      </c>
      <c r="P52" s="46">
        <f t="shared" ca="1" si="1"/>
        <v>2.7467605882857863E-4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input_425100!A$2</f>
        <v>425100</v>
      </c>
      <c r="B53" s="6">
        <v>178</v>
      </c>
      <c r="C53" s="7" t="str">
        <f t="shared" si="0"/>
        <v>Premium3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IFERROR(VLOOKUP(B53,input_425100!L:R,7,FALSE),VLOOKUP(tables_425100!C53,input_425100!A:H,8,FALSE))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input_425100!A$2</f>
        <v>425100</v>
      </c>
      <c r="B54" s="6">
        <v>179</v>
      </c>
      <c r="C54" s="7" t="str">
        <f t="shared" si="0"/>
        <v>Premium4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IFERROR(VLOOKUP(B54,input_425100!L:R,7,FALSE),VLOOKUP(tables_425100!C54,input_425100!A:H,8,FALSE))</f>
        <v>14743.85548</v>
      </c>
      <c r="P54" s="46">
        <f t="shared" ca="1" si="1"/>
        <v>5.4205351030408196E-3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input_425100!A$2</f>
        <v>425100</v>
      </c>
      <c r="B55" s="6">
        <v>180</v>
      </c>
      <c r="C55" s="7" t="str">
        <f t="shared" si="0"/>
        <v>Premium5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IFERROR(VLOOKUP(B55,input_425100!L:R,7,FALSE),VLOOKUP(tables_425100!C55,input_425100!A:H,8,FALSE))</f>
        <v>122.19580000000001</v>
      </c>
      <c r="P55" s="46">
        <f t="shared" ca="1" si="1"/>
        <v>4.4924926471414071E-5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input_425100!A$2</f>
        <v>425100</v>
      </c>
      <c r="B56" s="6">
        <v>181</v>
      </c>
      <c r="C56" s="7" t="str">
        <f t="shared" si="0"/>
        <v>Premium3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IFERROR(VLOOKUP(B56,input_425100!L:R,7,FALSE),VLOOKUP(tables_425100!C56,input_425100!A:H,8,FALSE))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input_425100!A$2</f>
        <v>425100</v>
      </c>
      <c r="B57" s="6">
        <v>182</v>
      </c>
      <c r="C57" s="7" t="str">
        <f t="shared" si="0"/>
        <v>Premium4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IFERROR(VLOOKUP(B57,input_425100!L:R,7,FALSE),VLOOKUP(tables_425100!C57,input_425100!A:H,8,FALSE))</f>
        <v>14743.85548</v>
      </c>
      <c r="P57" s="46">
        <f t="shared" ca="1" si="1"/>
        <v>5.4205351030408196E-3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input_425100!A$2</f>
        <v>425100</v>
      </c>
      <c r="B58" s="6">
        <v>183</v>
      </c>
      <c r="C58" s="7" t="str">
        <f t="shared" si="0"/>
        <v>Premium5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IFERROR(VLOOKUP(B58,input_425100!L:R,7,FALSE),VLOOKUP(tables_425100!C58,input_425100!A:H,8,FALSE))</f>
        <v>122.19580000000001</v>
      </c>
      <c r="P58" s="46">
        <f t="shared" ca="1" si="1"/>
        <v>4.4924926471414071E-5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input_425100!A$2</f>
        <v>425100</v>
      </c>
      <c r="B59" s="6">
        <v>184</v>
      </c>
      <c r="C59" s="7" t="str">
        <f t="shared" si="0"/>
        <v>Premium3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IFERROR(VLOOKUP(B59,input_425100!L:R,7,FALSE),VLOOKUP(tables_425100!C59,input_425100!A:H,8,FALSE))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input_425100!A$2</f>
        <v>425100</v>
      </c>
      <c r="B60" s="6">
        <v>185</v>
      </c>
      <c r="C60" s="7" t="str">
        <f t="shared" si="0"/>
        <v>Premium4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IFERROR(VLOOKUP(B60,input_425100!L:R,7,FALSE),VLOOKUP(tables_425100!C60,input_425100!A:H,8,FALSE))</f>
        <v>14743.85548</v>
      </c>
      <c r="P60" s="46">
        <f t="shared" ca="1" si="1"/>
        <v>5.4205351030408196E-3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input_425100!A$2</f>
        <v>425100</v>
      </c>
      <c r="B61" s="8">
        <v>186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IFERROR(VLOOKUP(B61,input_425100!L:R,7,FALSE),VLOOKUP(tables_425100!C61,input_425100!A:H,8,FALSE))</f>
        <v>122.19580000000001</v>
      </c>
      <c r="P61" s="46">
        <f t="shared" ca="1" si="1"/>
        <v>4.4924926471414071E-5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input_425100!A$2</f>
        <v>425100</v>
      </c>
      <c r="B62" s="8">
        <v>187</v>
      </c>
      <c r="C62" s="7" t="str">
        <f t="shared" si="0"/>
        <v>Premium3color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IFERROR(VLOOKUP(B62,input_425100!L:R,7,FALSE),VLOOKUP(tables_425100!C62,input_425100!A:H,8,FALSE))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input_425100!A$2</f>
        <v>425100</v>
      </c>
      <c r="B63" s="8">
        <v>188</v>
      </c>
      <c r="C63" s="7" t="str">
        <f t="shared" si="0"/>
        <v>Premium4color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IFERROR(VLOOKUP(B63,input_425100!L:R,7,FALSE),VLOOKUP(tables_425100!C63,input_425100!A:H,8,FALSE))</f>
        <v>68618.587409999993</v>
      </c>
      <c r="P63" s="46">
        <f t="shared" ca="1" si="1"/>
        <v>2.5227421842375506E-2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input_425100!A$2</f>
        <v>425100</v>
      </c>
      <c r="B64" s="8">
        <v>189</v>
      </c>
      <c r="C64" s="7" t="str">
        <f t="shared" si="0"/>
        <v>Premium5color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IFERROR(VLOOKUP(B64,input_425100!L:R,7,FALSE),VLOOKUP(tables_425100!C64,input_425100!A:H,8,FALSE))</f>
        <v>747.11887999999999</v>
      </c>
      <c r="P64" s="46">
        <f t="shared" ca="1" si="1"/>
        <v>2.7467605882857863E-4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input_425100!A$2</f>
        <v>425100</v>
      </c>
      <c r="B65" s="6">
        <v>190</v>
      </c>
      <c r="C65" s="7" t="str">
        <f t="shared" si="0"/>
        <v>Premium3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IFERROR(VLOOKUP(B65,input_425100!L:R,7,FALSE),VLOOKUP(tables_425100!C65,input_425100!A:H,8,FALSE))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input_425100!A$2</f>
        <v>425100</v>
      </c>
      <c r="B66" s="6">
        <v>191</v>
      </c>
      <c r="C66" s="7" t="str">
        <f t="shared" ref="C66:C129" si="4">D66&amp;J66&amp;E66&amp;F66&amp;G66</f>
        <v>Premium4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IFERROR(VLOOKUP(B66,input_425100!L:R,7,FALSE),VLOOKUP(tables_425100!C66,input_425100!A:H,8,FALSE))</f>
        <v>14743.85548</v>
      </c>
      <c r="P66" s="46">
        <f t="shared" ref="P66:P129" ca="1" si="5">O66/SUM(O:O)</f>
        <v>5.4205351030408196E-3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input_425100!A$2</f>
        <v>425100</v>
      </c>
      <c r="B67" s="6">
        <v>192</v>
      </c>
      <c r="C67" s="7" t="str">
        <f t="shared" si="4"/>
        <v>Premium5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IFERROR(VLOOKUP(B67,input_425100!L:R,7,FALSE),VLOOKUP(tables_425100!C67,input_425100!A:H,8,FALSE))</f>
        <v>122.19580000000001</v>
      </c>
      <c r="P67" s="46">
        <f t="shared" ca="1" si="5"/>
        <v>4.4924926471414071E-5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input_425100!A$2</f>
        <v>425100</v>
      </c>
      <c r="B68" s="6">
        <v>193</v>
      </c>
      <c r="C68" s="7" t="str">
        <f t="shared" si="4"/>
        <v>Premium3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IFERROR(VLOOKUP(B68,input_425100!L:R,7,FALSE),VLOOKUP(tables_425100!C68,input_425100!A:H,8,FALSE))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input_425100!A$2</f>
        <v>425100</v>
      </c>
      <c r="B69" s="10">
        <v>194</v>
      </c>
      <c r="C69" s="7" t="str">
        <f t="shared" si="4"/>
        <v>Premium4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IFERROR(VLOOKUP(B69,input_425100!L:R,7,FALSE),VLOOKUP(tables_425100!C69,input_425100!A:H,8,FALSE))</f>
        <v>14743.85548</v>
      </c>
      <c r="P69" s="46">
        <f t="shared" ca="1" si="5"/>
        <v>5.4205351030408196E-3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input_425100!A$2</f>
        <v>425100</v>
      </c>
      <c r="B70" s="6">
        <v>195</v>
      </c>
      <c r="C70" s="7" t="str">
        <f t="shared" si="4"/>
        <v>Premium5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IFERROR(VLOOKUP(B70,input_425100!L:R,7,FALSE),VLOOKUP(tables_425100!C70,input_425100!A:H,8,FALSE))</f>
        <v>122.19580000000001</v>
      </c>
      <c r="P70" s="46">
        <f t="shared" ca="1" si="5"/>
        <v>4.4924926471414071E-5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input_425100!A$2</f>
        <v>425100</v>
      </c>
      <c r="B71" s="10">
        <v>196</v>
      </c>
      <c r="C71" s="7" t="str">
        <f t="shared" si="4"/>
        <v>Premium3color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IFERROR(VLOOKUP(B71,input_425100!L:R,7,FALSE),VLOOKUP(tables_425100!C71,input_425100!A:H,8,FALSE))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input_425100!A$2</f>
        <v>425100</v>
      </c>
      <c r="B72" s="11">
        <v>197</v>
      </c>
      <c r="C72" s="7" t="str">
        <f t="shared" si="4"/>
        <v>Premium4color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IFERROR(VLOOKUP(B72,input_425100!L:R,7,FALSE),VLOOKUP(tables_425100!C72,input_425100!A:H,8,FALSE))</f>
        <v>68618.587409999993</v>
      </c>
      <c r="P72" s="46">
        <f t="shared" ca="1" si="5"/>
        <v>2.5227421842375506E-2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input_425100!A$2</f>
        <v>425100</v>
      </c>
      <c r="B73" s="6">
        <v>198</v>
      </c>
      <c r="C73" s="7" t="str">
        <f t="shared" si="4"/>
        <v>Premium5color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IFERROR(VLOOKUP(B73,input_425100!L:R,7,FALSE),VLOOKUP(tables_425100!C73,input_425100!A:H,8,FALSE))</f>
        <v>747.11887999999999</v>
      </c>
      <c r="P73" s="46">
        <f t="shared" ca="1" si="5"/>
        <v>2.7467605882857863E-4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input_425100!A$2</f>
        <v>425100</v>
      </c>
      <c r="B74" s="6">
        <v>199</v>
      </c>
      <c r="C74" s="7" t="str">
        <f t="shared" si="4"/>
        <v>Premium3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IFERROR(VLOOKUP(B74,input_425100!L:R,7,FALSE),VLOOKUP(tables_425100!C74,input_425100!A:H,8,FALSE))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input_425100!A$2</f>
        <v>425100</v>
      </c>
      <c r="B75" s="6">
        <v>200</v>
      </c>
      <c r="C75" s="7" t="str">
        <f t="shared" si="4"/>
        <v>Premium4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IFERROR(VLOOKUP(B75,input_425100!L:R,7,FALSE),VLOOKUP(tables_425100!C75,input_425100!A:H,8,FALSE))</f>
        <v>14743.85548</v>
      </c>
      <c r="P75" s="46">
        <f t="shared" ca="1" si="5"/>
        <v>5.4205351030408196E-3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input_425100!A$2</f>
        <v>425100</v>
      </c>
      <c r="B76" s="5">
        <v>201</v>
      </c>
      <c r="C76" s="7" t="str">
        <f t="shared" si="4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IFERROR(VLOOKUP(B76,input_425100!L:R,7,FALSE),VLOOKUP(tables_425100!C76,input_425100!A:H,8,FALSE))</f>
        <v>122.19580000000001</v>
      </c>
      <c r="P76" s="46">
        <f t="shared" ca="1" si="5"/>
        <v>4.4924926471414071E-5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input_425100!A$2</f>
        <v>425100</v>
      </c>
      <c r="B77" s="5">
        <v>202</v>
      </c>
      <c r="C77" s="7" t="str">
        <f t="shared" si="4"/>
        <v>Premium3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IFERROR(VLOOKUP(B77,input_425100!L:R,7,FALSE),VLOOKUP(tables_425100!C77,input_425100!A:H,8,FALSE))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input_425100!A$2</f>
        <v>425100</v>
      </c>
      <c r="B78" s="5">
        <v>203</v>
      </c>
      <c r="C78" s="7" t="str">
        <f t="shared" si="4"/>
        <v>Premium4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IFERROR(VLOOKUP(B78,input_425100!L:R,7,FALSE),VLOOKUP(tables_425100!C78,input_425100!A:H,8,FALSE))</f>
        <v>14743.85548</v>
      </c>
      <c r="P78" s="46">
        <f t="shared" ca="1" si="5"/>
        <v>5.4205351030408196E-3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input_425100!A$2</f>
        <v>425100</v>
      </c>
      <c r="B79" s="5">
        <v>204</v>
      </c>
      <c r="C79" s="7" t="str">
        <f t="shared" si="4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IFERROR(VLOOKUP(B79,input_425100!L:R,7,FALSE),VLOOKUP(tables_425100!C79,input_425100!A:H,8,FALSE))</f>
        <v>122.19580000000001</v>
      </c>
      <c r="P79" s="46">
        <f t="shared" ca="1" si="5"/>
        <v>4.4924926471414071E-5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input_425100!A$2</f>
        <v>425100</v>
      </c>
      <c r="B80" s="5">
        <v>205</v>
      </c>
      <c r="C80" s="7" t="str">
        <f t="shared" si="4"/>
        <v>Premium3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IFERROR(VLOOKUP(B80,input_425100!L:R,7,FALSE),VLOOKUP(tables_425100!C80,input_425100!A:H,8,FALSE))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input_425100!A$2</f>
        <v>425100</v>
      </c>
      <c r="B81" s="5">
        <v>206</v>
      </c>
      <c r="C81" s="7" t="str">
        <f t="shared" si="4"/>
        <v>Premium4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IFERROR(VLOOKUP(B81,input_425100!L:R,7,FALSE),VLOOKUP(tables_425100!C81,input_425100!A:H,8,FALSE))</f>
        <v>14743.85548</v>
      </c>
      <c r="P81" s="46">
        <f t="shared" ca="1" si="5"/>
        <v>5.4205351030408196E-3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input_425100!A$2</f>
        <v>425100</v>
      </c>
      <c r="B82" s="5">
        <v>207</v>
      </c>
      <c r="C82" s="7" t="str">
        <f t="shared" si="4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IFERROR(VLOOKUP(B82,input_425100!L:R,7,FALSE),VLOOKUP(tables_425100!C82,input_425100!A:H,8,FALSE))</f>
        <v>122.19580000000001</v>
      </c>
      <c r="P82" s="46">
        <f t="shared" ca="1" si="5"/>
        <v>4.4924926471414071E-5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input_425100!A$2</f>
        <v>425100</v>
      </c>
      <c r="B83" s="5">
        <v>208</v>
      </c>
      <c r="C83" s="7" t="str">
        <f t="shared" si="4"/>
        <v>Premium3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IFERROR(VLOOKUP(B83,input_425100!L:R,7,FALSE),VLOOKUP(tables_425100!C83,input_425100!A:H,8,FALSE))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input_425100!A$2</f>
        <v>425100</v>
      </c>
      <c r="B84" s="5">
        <v>209</v>
      </c>
      <c r="C84" s="7" t="str">
        <f t="shared" si="4"/>
        <v>Premium4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IFERROR(VLOOKUP(B84,input_425100!L:R,7,FALSE),VLOOKUP(tables_425100!C84,input_425100!A:H,8,FALSE))</f>
        <v>14743.85548</v>
      </c>
      <c r="P84" s="46">
        <f t="shared" ca="1" si="5"/>
        <v>5.4205351030408196E-3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input_425100!A$2</f>
        <v>425100</v>
      </c>
      <c r="B85" s="5">
        <v>210</v>
      </c>
      <c r="C85" s="7" t="str">
        <f t="shared" si="4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IFERROR(VLOOKUP(B85,input_425100!L:R,7,FALSE),VLOOKUP(tables_425100!C85,input_425100!A:H,8,FALSE))</f>
        <v>122.19580000000001</v>
      </c>
      <c r="P85" s="46">
        <f t="shared" ca="1" si="5"/>
        <v>4.4924926471414071E-5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input_425100!A$2</f>
        <v>425100</v>
      </c>
      <c r="B86" s="5">
        <v>211</v>
      </c>
      <c r="C86" s="7" t="str">
        <f t="shared" si="4"/>
        <v>Premium3color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IFERROR(VLOOKUP(B86,input_425100!L:R,7,FALSE),VLOOKUP(tables_425100!C86,input_425100!A:H,8,FALSE))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input_425100!A$2</f>
        <v>425100</v>
      </c>
      <c r="B87" s="5">
        <v>212</v>
      </c>
      <c r="C87" s="7" t="str">
        <f t="shared" si="4"/>
        <v>Premium4color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IFERROR(VLOOKUP(B87,input_425100!L:R,7,FALSE),VLOOKUP(tables_425100!C87,input_425100!A:H,8,FALSE))</f>
        <v>68618.587409999993</v>
      </c>
      <c r="P87" s="46">
        <f t="shared" ca="1" si="5"/>
        <v>2.5227421842375506E-2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input_425100!A$2</f>
        <v>425100</v>
      </c>
      <c r="B88" s="5">
        <v>213</v>
      </c>
      <c r="C88" s="7" t="str">
        <f t="shared" si="4"/>
        <v>Premium5color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IFERROR(VLOOKUP(B88,input_425100!L:R,7,FALSE),VLOOKUP(tables_425100!C88,input_425100!A:H,8,FALSE))</f>
        <v>747.11887999999999</v>
      </c>
      <c r="P88" s="46">
        <f t="shared" ca="1" si="5"/>
        <v>2.7467605882857863E-4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input_425100!A$2</f>
        <v>425100</v>
      </c>
      <c r="B89" s="5">
        <v>214</v>
      </c>
      <c r="C89" s="7" t="str">
        <f t="shared" si="4"/>
        <v>Premium3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IFERROR(VLOOKUP(B89,input_425100!L:R,7,FALSE),VLOOKUP(tables_425100!C89,input_425100!A:H,8,FALSE))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input_425100!A$2</f>
        <v>425100</v>
      </c>
      <c r="B90" s="5">
        <v>215</v>
      </c>
      <c r="C90" s="7" t="str">
        <f t="shared" si="4"/>
        <v>Premium4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IFERROR(VLOOKUP(B90,input_425100!L:R,7,FALSE),VLOOKUP(tables_425100!C90,input_425100!A:H,8,FALSE))</f>
        <v>14743.85548</v>
      </c>
      <c r="P90" s="46">
        <f t="shared" ca="1" si="5"/>
        <v>5.4205351030408196E-3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input_425100!A$2</f>
        <v>425100</v>
      </c>
      <c r="B91" s="5">
        <v>216</v>
      </c>
      <c r="C91" s="7" t="str">
        <f t="shared" si="4"/>
        <v>Premium5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IFERROR(VLOOKUP(B91,input_425100!L:R,7,FALSE),VLOOKUP(tables_425100!C91,input_425100!A:H,8,FALSE))</f>
        <v>122.19580000000001</v>
      </c>
      <c r="P91" s="46">
        <f t="shared" ca="1" si="5"/>
        <v>4.4924926471414071E-5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input_425100!A$2</f>
        <v>425100</v>
      </c>
      <c r="B92" s="5">
        <v>217</v>
      </c>
      <c r="C92" s="7" t="str">
        <f t="shared" si="4"/>
        <v>Premium3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IFERROR(VLOOKUP(B92,input_425100!L:R,7,FALSE),VLOOKUP(tables_425100!C92,input_425100!A:H,8,FALSE))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input_425100!A$2</f>
        <v>425100</v>
      </c>
      <c r="B93" s="5">
        <v>218</v>
      </c>
      <c r="C93" s="7" t="str">
        <f t="shared" si="4"/>
        <v>Premium4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IFERROR(VLOOKUP(B93,input_425100!L:R,7,FALSE),VLOOKUP(tables_425100!C93,input_425100!A:H,8,FALSE))</f>
        <v>14743.85548</v>
      </c>
      <c r="P93" s="46">
        <f t="shared" ca="1" si="5"/>
        <v>5.4205351030408196E-3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input_425100!A$2</f>
        <v>425100</v>
      </c>
      <c r="B94" s="5">
        <v>219</v>
      </c>
      <c r="C94" s="7" t="str">
        <f t="shared" si="4"/>
        <v>Premium5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IFERROR(VLOOKUP(B94,input_425100!L:R,7,FALSE),VLOOKUP(tables_425100!C94,input_425100!A:H,8,FALSE))</f>
        <v>122.19580000000001</v>
      </c>
      <c r="P94" s="46">
        <f t="shared" ca="1" si="5"/>
        <v>4.4924926471414071E-5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input_425100!A$2</f>
        <v>425100</v>
      </c>
      <c r="B95" s="5">
        <v>220</v>
      </c>
      <c r="C95" s="7" t="str">
        <f t="shared" si="4"/>
        <v>Premium3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IFERROR(VLOOKUP(B95,input_425100!L:R,7,FALSE),VLOOKUP(tables_425100!C95,input_425100!A:H,8,FALSE))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input_425100!A$2</f>
        <v>425100</v>
      </c>
      <c r="B96" s="5">
        <v>221</v>
      </c>
      <c r="C96" s="7" t="str">
        <f t="shared" si="4"/>
        <v>Premium4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IFERROR(VLOOKUP(B96,input_425100!L:R,7,FALSE),VLOOKUP(tables_425100!C96,input_425100!A:H,8,FALSE))</f>
        <v>14743.85548</v>
      </c>
      <c r="P96" s="46">
        <f t="shared" ca="1" si="5"/>
        <v>5.4205351030408196E-3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input_425100!A$2</f>
        <v>425100</v>
      </c>
      <c r="B97" s="5">
        <v>222</v>
      </c>
      <c r="C97" s="7" t="str">
        <f t="shared" si="4"/>
        <v>Premium5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IFERROR(VLOOKUP(B97,input_425100!L:R,7,FALSE),VLOOKUP(tables_425100!C97,input_425100!A:H,8,FALSE))</f>
        <v>122.19580000000001</v>
      </c>
      <c r="P97" s="46">
        <f t="shared" ca="1" si="5"/>
        <v>4.4924926471414071E-5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input_425100!A$2</f>
        <v>425100</v>
      </c>
      <c r="B98" s="5">
        <v>223</v>
      </c>
      <c r="C98" s="7" t="str">
        <f t="shared" si="4"/>
        <v>Premium3color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IFERROR(VLOOKUP(B98,input_425100!L:R,7,FALSE),VLOOKUP(tables_425100!C98,input_425100!A:H,8,FALSE))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input_425100!A$2</f>
        <v>425100</v>
      </c>
      <c r="B99" s="5">
        <v>224</v>
      </c>
      <c r="C99" s="7" t="str">
        <f t="shared" si="4"/>
        <v>Premium4color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IFERROR(VLOOKUP(B99,input_425100!L:R,7,FALSE),VLOOKUP(tables_425100!C99,input_425100!A:H,8,FALSE))</f>
        <v>68618.587409999993</v>
      </c>
      <c r="P99" s="46">
        <f t="shared" ca="1" si="5"/>
        <v>2.5227421842375506E-2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input_425100!A$2</f>
        <v>425100</v>
      </c>
      <c r="B100" s="5">
        <v>225</v>
      </c>
      <c r="C100" s="7" t="str">
        <f t="shared" si="4"/>
        <v>Premium5color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IFERROR(VLOOKUP(B100,input_425100!L:R,7,FALSE),VLOOKUP(tables_425100!C100,input_425100!A:H,8,FALSE))</f>
        <v>747.11887999999999</v>
      </c>
      <c r="P100" s="46">
        <f t="shared" ca="1" si="5"/>
        <v>2.7467605882857863E-4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input_425100!A$2</f>
        <v>425100</v>
      </c>
      <c r="B101" s="5">
        <v>226</v>
      </c>
      <c r="C101" s="7" t="str">
        <f t="shared" si="4"/>
        <v>Premium3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IFERROR(VLOOKUP(B101,input_425100!L:R,7,FALSE),VLOOKUP(tables_425100!C101,input_425100!A:H,8,FALSE))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input_425100!A$2</f>
        <v>425100</v>
      </c>
      <c r="B102" s="5">
        <v>227</v>
      </c>
      <c r="C102" s="7" t="str">
        <f t="shared" si="4"/>
        <v>Premium4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IFERROR(VLOOKUP(B102,input_425100!L:R,7,FALSE),VLOOKUP(tables_425100!C102,input_425100!A:H,8,FALSE))</f>
        <v>14743.85548</v>
      </c>
      <c r="P102" s="46">
        <f t="shared" ca="1" si="5"/>
        <v>5.4205351030408196E-3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input_425100!A$2</f>
        <v>425100</v>
      </c>
      <c r="B103" s="5">
        <v>228</v>
      </c>
      <c r="C103" s="7" t="str">
        <f t="shared" si="4"/>
        <v>Premium5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IFERROR(VLOOKUP(B103,input_425100!L:R,7,FALSE),VLOOKUP(tables_425100!C103,input_425100!A:H,8,FALSE))</f>
        <v>122.19580000000001</v>
      </c>
      <c r="P103" s="46">
        <f t="shared" ca="1" si="5"/>
        <v>4.4924926471414071E-5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input_425100!A$2</f>
        <v>425100</v>
      </c>
      <c r="B104" s="5">
        <v>229</v>
      </c>
      <c r="C104" s="7" t="str">
        <f t="shared" si="4"/>
        <v>Premium3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IFERROR(VLOOKUP(B104,input_425100!L:R,7,FALSE),VLOOKUP(tables_425100!C104,input_425100!A:H,8,FALSE))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input_425100!A$2</f>
        <v>425100</v>
      </c>
      <c r="B105" s="5">
        <v>230</v>
      </c>
      <c r="C105" s="7" t="str">
        <f t="shared" si="4"/>
        <v>Premium4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IFERROR(VLOOKUP(B105,input_425100!L:R,7,FALSE),VLOOKUP(tables_425100!C105,input_425100!A:H,8,FALSE))</f>
        <v>14743.85548</v>
      </c>
      <c r="P105" s="46">
        <f t="shared" ca="1" si="5"/>
        <v>5.4205351030408196E-3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input_425100!A$2</f>
        <v>425100</v>
      </c>
      <c r="B106" s="5">
        <v>231</v>
      </c>
      <c r="C106" s="7" t="str">
        <f t="shared" si="4"/>
        <v>Premium5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IFERROR(VLOOKUP(B106,input_425100!L:R,7,FALSE),VLOOKUP(tables_425100!C106,input_425100!A:H,8,FALSE))</f>
        <v>122.19580000000001</v>
      </c>
      <c r="P106" s="46">
        <f t="shared" ca="1" si="5"/>
        <v>4.4924926471414071E-5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input_425100!A$2</f>
        <v>425100</v>
      </c>
      <c r="B107" s="5">
        <v>232</v>
      </c>
      <c r="C107" s="7" t="str">
        <f t="shared" si="4"/>
        <v>Premium3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IFERROR(VLOOKUP(B107,input_425100!L:R,7,FALSE),VLOOKUP(tables_425100!C107,input_425100!A:H,8,FALSE))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input_425100!A$2</f>
        <v>425100</v>
      </c>
      <c r="B108" s="5">
        <v>233</v>
      </c>
      <c r="C108" s="7" t="str">
        <f t="shared" si="4"/>
        <v>Premium4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IFERROR(VLOOKUP(B108,input_425100!L:R,7,FALSE),VLOOKUP(tables_425100!C108,input_425100!A:H,8,FALSE))</f>
        <v>14743.85548</v>
      </c>
      <c r="P108" s="46">
        <f t="shared" ca="1" si="5"/>
        <v>5.4205351030408196E-3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input_425100!A$2</f>
        <v>425100</v>
      </c>
      <c r="B109" s="5">
        <v>234</v>
      </c>
      <c r="C109" s="7" t="str">
        <f t="shared" si="4"/>
        <v>Premium5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IFERROR(VLOOKUP(B109,input_425100!L:R,7,FALSE),VLOOKUP(tables_425100!C109,input_425100!A:H,8,FALSE))</f>
        <v>122.19580000000001</v>
      </c>
      <c r="P109" s="46">
        <f t="shared" ca="1" si="5"/>
        <v>4.4924926471414071E-5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input_425100!A$2</f>
        <v>425100</v>
      </c>
      <c r="B110" s="5">
        <v>235</v>
      </c>
      <c r="C110" s="7" t="str">
        <f t="shared" si="4"/>
        <v>Premium3R6releasecolor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>R6release</v>
      </c>
      <c r="G110" s="7" t="str">
        <f t="shared" si="7"/>
        <v>color</v>
      </c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IFERROR(VLOOKUP(B110,input_425100!L:R,7,FALSE),VLOOKUP(tables_425100!C110,input_425100!A:H,8,FALSE))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input_425100!A$2</f>
        <v>425100</v>
      </c>
      <c r="B111" s="5">
        <v>236</v>
      </c>
      <c r="C111" s="7" t="str">
        <f t="shared" si="4"/>
        <v>Premium4R6releasecolor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IFERROR(VLOOKUP(B111,input_425100!L:R,7,FALSE),VLOOKUP(tables_425100!C111,input_425100!A:H,8,FALSE))</f>
        <v>65539.636360000004</v>
      </c>
      <c r="P111" s="46">
        <f t="shared" ca="1" si="5"/>
        <v>2.4095454544560583E-2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input_425100!A$2</f>
        <v>425100</v>
      </c>
      <c r="B112" s="5">
        <v>237</v>
      </c>
      <c r="C112" s="7" t="str">
        <f t="shared" si="4"/>
        <v>Premium5R6releasecolor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IFERROR(VLOOKUP(B112,input_425100!L:R,7,FALSE),VLOOKUP(tables_425100!C112,input_425100!A:H,8,FALSE))</f>
        <v>3449.4545499999999</v>
      </c>
      <c r="P112" s="46">
        <f t="shared" ca="1" si="5"/>
        <v>1.2681818198762534E-3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input_425100!A$2</f>
        <v>425100</v>
      </c>
      <c r="B113" s="5">
        <v>238</v>
      </c>
      <c r="C113" s="7" t="str">
        <f t="shared" si="4"/>
        <v>Premium3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 t="str">
        <f t="shared" si="7"/>
        <v/>
      </c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IFERROR(VLOOKUP(B113,input_425100!L:R,7,FALSE),VLOOKUP(tables_425100!C113,input_425100!A:H,8,FALSE))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input_425100!A$2</f>
        <v>425100</v>
      </c>
      <c r="B114" s="5">
        <v>239</v>
      </c>
      <c r="C114" s="7" t="str">
        <f t="shared" si="4"/>
        <v>Premium4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IFERROR(VLOOKUP(B114,input_425100!L:R,7,FALSE),VLOOKUP(tables_425100!C114,input_425100!A:H,8,FALSE))</f>
        <v>14743.85548</v>
      </c>
      <c r="P114" s="46">
        <f t="shared" ca="1" si="5"/>
        <v>5.4205351030408196E-3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input_425100!A$2</f>
        <v>425100</v>
      </c>
      <c r="B115" s="5">
        <v>240</v>
      </c>
      <c r="C115" s="7" t="str">
        <f t="shared" si="4"/>
        <v>Premium5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IFERROR(VLOOKUP(B115,input_425100!L:R,7,FALSE),VLOOKUP(tables_425100!C115,input_425100!A:H,8,FALSE))</f>
        <v>122.19580000000001</v>
      </c>
      <c r="P115" s="46">
        <f t="shared" ca="1" si="5"/>
        <v>4.4924926471414071E-5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input_425100!A$2</f>
        <v>425100</v>
      </c>
      <c r="B116" s="5">
        <v>241</v>
      </c>
      <c r="C116" s="7" t="str">
        <f t="shared" si="4"/>
        <v>Premium3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IFERROR(VLOOKUP(B116,input_425100!L:R,7,FALSE),VLOOKUP(tables_425100!C116,input_425100!A:H,8,FALSE))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input_425100!A$2</f>
        <v>425100</v>
      </c>
      <c r="B117" s="5">
        <v>242</v>
      </c>
      <c r="C117" s="7" t="str">
        <f t="shared" si="4"/>
        <v>Premium4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IFERROR(VLOOKUP(B117,input_425100!L:R,7,FALSE),VLOOKUP(tables_425100!C117,input_425100!A:H,8,FALSE))</f>
        <v>14743.85548</v>
      </c>
      <c r="P117" s="46">
        <f t="shared" ca="1" si="5"/>
        <v>5.4205351030408196E-3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input_425100!A$2</f>
        <v>425100</v>
      </c>
      <c r="B118" s="5">
        <v>243</v>
      </c>
      <c r="C118" s="7" t="str">
        <f t="shared" si="4"/>
        <v>Premium5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IFERROR(VLOOKUP(B118,input_425100!L:R,7,FALSE),VLOOKUP(tables_425100!C118,input_425100!A:H,8,FALSE))</f>
        <v>122.19580000000001</v>
      </c>
      <c r="P118" s="46">
        <f t="shared" ca="1" si="5"/>
        <v>4.4924926471414071E-5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input_425100!A$2</f>
        <v>425100</v>
      </c>
      <c r="B119" s="5">
        <v>244</v>
      </c>
      <c r="C119" s="7" t="str">
        <f t="shared" si="4"/>
        <v>Premium3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IFERROR(VLOOKUP(B119,input_425100!L:R,7,FALSE),VLOOKUP(tables_425100!C119,input_425100!A:H,8,FALSE))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input_425100!A$2</f>
        <v>425100</v>
      </c>
      <c r="B120" s="5">
        <v>245</v>
      </c>
      <c r="C120" s="7" t="str">
        <f t="shared" si="4"/>
        <v>Premium4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IFERROR(VLOOKUP(B120,input_425100!L:R,7,FALSE),VLOOKUP(tables_425100!C120,input_425100!A:H,8,FALSE))</f>
        <v>14743.85548</v>
      </c>
      <c r="P120" s="46">
        <f t="shared" ca="1" si="5"/>
        <v>5.4205351030408196E-3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input_425100!A$2</f>
        <v>425100</v>
      </c>
      <c r="B121" s="5">
        <v>246</v>
      </c>
      <c r="C121" s="7" t="str">
        <f t="shared" si="4"/>
        <v>Premium5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IFERROR(VLOOKUP(B121,input_425100!L:R,7,FALSE),VLOOKUP(tables_425100!C121,input_425100!A:H,8,FALSE))</f>
        <v>122.19580000000001</v>
      </c>
      <c r="P121" s="46">
        <f t="shared" ca="1" si="5"/>
        <v>4.4924926471414071E-5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input_425100!A$2</f>
        <v>425100</v>
      </c>
      <c r="B122" s="5">
        <v>247</v>
      </c>
      <c r="C122" s="7" t="str">
        <f t="shared" si="4"/>
        <v>Premium3color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IFERROR(VLOOKUP(B122,input_425100!L:R,7,FALSE),VLOOKUP(tables_425100!C122,input_425100!A:H,8,FALSE))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input_425100!A$2</f>
        <v>425100</v>
      </c>
      <c r="B123" s="5">
        <v>248</v>
      </c>
      <c r="C123" s="7" t="str">
        <f t="shared" si="4"/>
        <v>Premium4color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IFERROR(VLOOKUP(B123,input_425100!L:R,7,FALSE),VLOOKUP(tables_425100!C123,input_425100!A:H,8,FALSE))</f>
        <v>68618.587409999993</v>
      </c>
      <c r="P123" s="46">
        <f t="shared" ca="1" si="5"/>
        <v>2.5227421842375506E-2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input_425100!A$2</f>
        <v>425100</v>
      </c>
      <c r="B124" s="6">
        <v>249</v>
      </c>
      <c r="C124" s="7" t="str">
        <f t="shared" si="4"/>
        <v>Premium5color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IFERROR(VLOOKUP(B124,input_425100!L:R,7,FALSE),VLOOKUP(tables_425100!C124,input_425100!A:H,8,FALSE))</f>
        <v>747.11887999999999</v>
      </c>
      <c r="P124" s="46">
        <f t="shared" ca="1" si="5"/>
        <v>2.7467605882857863E-4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input_425100!A$2</f>
        <v>425100</v>
      </c>
      <c r="B125" s="6">
        <v>250</v>
      </c>
      <c r="C125" s="7" t="str">
        <f t="shared" si="4"/>
        <v>Premium3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IFERROR(VLOOKUP(B125,input_425100!L:R,7,FALSE),VLOOKUP(tables_425100!C125,input_425100!A:H,8,FALSE))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input_425100!A$2</f>
        <v>425100</v>
      </c>
      <c r="B126" s="6">
        <v>251</v>
      </c>
      <c r="C126" s="7" t="str">
        <f t="shared" si="4"/>
        <v>Premium4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IFERROR(VLOOKUP(B126,input_425100!L:R,7,FALSE),VLOOKUP(tables_425100!C126,input_425100!A:H,8,FALSE))</f>
        <v>14743.85548</v>
      </c>
      <c r="P126" s="46">
        <f t="shared" ca="1" si="5"/>
        <v>5.4205351030408196E-3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input_425100!A$2</f>
        <v>425100</v>
      </c>
      <c r="B127" s="6">
        <v>252</v>
      </c>
      <c r="C127" s="7" t="str">
        <f t="shared" si="4"/>
        <v>Premium5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IFERROR(VLOOKUP(B127,input_425100!L:R,7,FALSE),VLOOKUP(tables_425100!C127,input_425100!A:H,8,FALSE))</f>
        <v>122.19580000000001</v>
      </c>
      <c r="P127" s="46">
        <f t="shared" ca="1" si="5"/>
        <v>4.4924926471414071E-5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input_425100!A$2</f>
        <v>425100</v>
      </c>
      <c r="B128" s="6">
        <v>253</v>
      </c>
      <c r="C128" s="7" t="str">
        <f t="shared" si="4"/>
        <v>Premium3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IFERROR(VLOOKUP(B128,input_425100!L:R,7,FALSE),VLOOKUP(tables_425100!C128,input_425100!A:H,8,FALSE))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input_425100!A$2</f>
        <v>425100</v>
      </c>
      <c r="B129" s="6">
        <v>254</v>
      </c>
      <c r="C129" s="7" t="str">
        <f t="shared" si="4"/>
        <v>Premium4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IFERROR(VLOOKUP(B129,input_425100!L:R,7,FALSE),VLOOKUP(tables_425100!C129,input_425100!A:H,8,FALSE))</f>
        <v>14743.85548</v>
      </c>
      <c r="P129" s="46">
        <f t="shared" ca="1" si="5"/>
        <v>5.4205351030408196E-3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input_425100!A$2</f>
        <v>425100</v>
      </c>
      <c r="B130" s="6">
        <v>255</v>
      </c>
      <c r="C130" s="7" t="str">
        <f t="shared" ref="C130:C193" si="8">D130&amp;J130&amp;E130&amp;F130&amp;G130</f>
        <v>Premium5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IFERROR(VLOOKUP(B130,input_425100!L:R,7,FALSE),VLOOKUP(tables_425100!C130,input_425100!A:H,8,FALSE))</f>
        <v>122.19580000000001</v>
      </c>
      <c r="P130" s="46">
        <f t="shared" ref="P130:P193" ca="1" si="9">O130/SUM(O:O)</f>
        <v>4.4924926471414071E-5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input_425100!A$2</f>
        <v>425100</v>
      </c>
      <c r="B131" s="6">
        <v>256</v>
      </c>
      <c r="C131" s="7" t="str">
        <f t="shared" si="8"/>
        <v>Premium3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IFERROR(VLOOKUP(B131,input_425100!L:R,7,FALSE),VLOOKUP(tables_425100!C131,input_425100!A:H,8,FALSE))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input_425100!A$2</f>
        <v>425100</v>
      </c>
      <c r="B132" s="6">
        <v>257</v>
      </c>
      <c r="C132" s="7" t="str">
        <f t="shared" si="8"/>
        <v>Premium4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IFERROR(VLOOKUP(B132,input_425100!L:R,7,FALSE),VLOOKUP(tables_425100!C132,input_425100!A:H,8,FALSE))</f>
        <v>14743.85548</v>
      </c>
      <c r="P132" s="46">
        <f t="shared" ca="1" si="9"/>
        <v>5.4205351030408196E-3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input_425100!A$2</f>
        <v>425100</v>
      </c>
      <c r="B133" s="6">
        <v>258</v>
      </c>
      <c r="C133" s="7" t="str">
        <f t="shared" si="8"/>
        <v>Premium5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IFERROR(VLOOKUP(B133,input_425100!L:R,7,FALSE),VLOOKUP(tables_425100!C133,input_425100!A:H,8,FALSE))</f>
        <v>122.19580000000001</v>
      </c>
      <c r="P133" s="46">
        <f t="shared" ca="1" si="9"/>
        <v>4.4924926471414071E-5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input_425100!A$2</f>
        <v>425100</v>
      </c>
      <c r="B134" s="6">
        <v>259</v>
      </c>
      <c r="C134" s="7" t="str">
        <f t="shared" si="8"/>
        <v>Premium3color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IFERROR(VLOOKUP(B134,input_425100!L:R,7,FALSE),VLOOKUP(tables_425100!C134,input_425100!A:H,8,FALSE))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input_425100!A$2</f>
        <v>425100</v>
      </c>
      <c r="B135" s="8">
        <v>260</v>
      </c>
      <c r="C135" s="7" t="str">
        <f t="shared" si="8"/>
        <v>Premium4color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IFERROR(VLOOKUP(B135,input_425100!L:R,7,FALSE),VLOOKUP(tables_425100!C135,input_425100!A:H,8,FALSE))</f>
        <v>68618.587409999993</v>
      </c>
      <c r="P135" s="46">
        <f t="shared" ca="1" si="9"/>
        <v>2.5227421842375506E-2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input_425100!A$2</f>
        <v>425100</v>
      </c>
      <c r="B136" s="8">
        <v>261</v>
      </c>
      <c r="C136" s="7" t="str">
        <f t="shared" si="8"/>
        <v>Premium5color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IFERROR(VLOOKUP(B136,input_425100!L:R,7,FALSE),VLOOKUP(tables_425100!C136,input_425100!A:H,8,FALSE))</f>
        <v>747.11887999999999</v>
      </c>
      <c r="P136" s="46">
        <f t="shared" ca="1" si="9"/>
        <v>2.7467605882857863E-4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input_425100!A$2</f>
        <v>425100</v>
      </c>
      <c r="B137" s="6">
        <v>320</v>
      </c>
      <c r="C137" s="7" t="str">
        <f t="shared" si="8"/>
        <v>PremiumSS4</v>
      </c>
      <c r="D137" s="7" t="str">
        <f t="shared" si="10"/>
        <v>PremiumSS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IFERROR(VLOOKUP(B137,input_425100!L:R,7,FALSE),VLOOKUP(tables_425100!C137,input_425100!A:H,8,FALSE))</f>
        <v>1939.61905</v>
      </c>
      <c r="P137" s="46">
        <f t="shared" ca="1" si="9"/>
        <v>7.1309523898369673E-4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input_425100!A$2</f>
        <v>425100</v>
      </c>
      <c r="B138" s="6">
        <v>321</v>
      </c>
      <c r="C138" s="7" t="str">
        <f t="shared" si="8"/>
        <v>PremiumSS5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IFERROR(VLOOKUP(B138,input_425100!L:R,7,FALSE),VLOOKUP(tables_425100!C138,input_425100!A:H,8,FALSE))</f>
        <v>68</v>
      </c>
      <c r="P138" s="46">
        <f t="shared" ca="1" si="9"/>
        <v>2.5000000000459564E-5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input_425100!A$2</f>
        <v>425100</v>
      </c>
      <c r="B139" s="6">
        <v>322</v>
      </c>
      <c r="C139" s="7" t="str">
        <f t="shared" si="8"/>
        <v>PremiumSS4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IFERROR(VLOOKUP(B139,input_425100!L:R,7,FALSE),VLOOKUP(tables_425100!C139,input_425100!A:H,8,FALSE))</f>
        <v>1939.61905</v>
      </c>
      <c r="P139" s="46">
        <f t="shared" ca="1" si="9"/>
        <v>7.1309523898369673E-4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input_425100!A$2</f>
        <v>425100</v>
      </c>
      <c r="B140" s="6">
        <v>323</v>
      </c>
      <c r="C140" s="7" t="str">
        <f t="shared" si="8"/>
        <v>PremiumSS5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IFERROR(VLOOKUP(B140,input_425100!L:R,7,FALSE),VLOOKUP(tables_425100!C140,input_425100!A:H,8,FALSE))</f>
        <v>68</v>
      </c>
      <c r="P140" s="46">
        <f t="shared" ca="1" si="9"/>
        <v>2.5000000000459564E-5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input_425100!A$2</f>
        <v>425100</v>
      </c>
      <c r="B141" s="6">
        <v>324</v>
      </c>
      <c r="C141" s="7" t="str">
        <f t="shared" si="8"/>
        <v>PremiumSS4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IFERROR(VLOOKUP(B141,input_425100!L:R,7,FALSE),VLOOKUP(tables_425100!C141,input_425100!A:H,8,FALSE))</f>
        <v>1939.61905</v>
      </c>
      <c r="P141" s="46">
        <f t="shared" ca="1" si="9"/>
        <v>7.1309523898369673E-4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input_425100!A$2</f>
        <v>425100</v>
      </c>
      <c r="B142" s="6">
        <v>325</v>
      </c>
      <c r="C142" s="7" t="str">
        <f t="shared" si="8"/>
        <v>PremiumSS5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IFERROR(VLOOKUP(B142,input_425100!L:R,7,FALSE),VLOOKUP(tables_425100!C142,input_425100!A:H,8,FALSE))</f>
        <v>68</v>
      </c>
      <c r="P142" s="46">
        <f t="shared" ca="1" si="9"/>
        <v>2.5000000000459564E-5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input_425100!A$2</f>
        <v>425100</v>
      </c>
      <c r="B143" s="6">
        <v>326</v>
      </c>
      <c r="C143" s="7" t="str">
        <f t="shared" si="8"/>
        <v>PremiumSS4color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IFERROR(VLOOKUP(B143,input_425100!L:R,7,FALSE),VLOOKUP(tables_425100!C143,input_425100!A:H,8,FALSE))</f>
        <v>7480</v>
      </c>
      <c r="P143" s="46">
        <f t="shared" ca="1" si="9"/>
        <v>2.7500000000505519E-3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input_425100!A$2</f>
        <v>425100</v>
      </c>
      <c r="B144" s="6">
        <v>327</v>
      </c>
      <c r="C144" s="7" t="str">
        <f t="shared" si="8"/>
        <v>PremiumSS5color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IFERROR(VLOOKUP(B144,input_425100!L:R,7,FALSE),VLOOKUP(tables_425100!C144,input_425100!A:H,8,FALSE))</f>
        <v>291.42856999999998</v>
      </c>
      <c r="P144" s="46">
        <f t="shared" ca="1" si="9"/>
        <v>1.071428566196166E-4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input_425100!A$2</f>
        <v>425100</v>
      </c>
      <c r="B145" s="6">
        <v>380</v>
      </c>
      <c r="C145" s="7" t="str">
        <f t="shared" si="8"/>
        <v>Premium3</v>
      </c>
      <c r="D145" s="7" t="str">
        <f t="shared" si="10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IFERROR(VLOOKUP(B145,input_425100!L:R,7,FALSE),VLOOKUP(tables_425100!C145,input_425100!A:H,8,FALSE))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input_425100!A$2</f>
        <v>425100</v>
      </c>
      <c r="B146" s="6">
        <v>381</v>
      </c>
      <c r="C146" s="7" t="str">
        <f t="shared" si="8"/>
        <v>Premium4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IFERROR(VLOOKUP(B146,input_425100!L:R,7,FALSE),VLOOKUP(tables_425100!C146,input_425100!A:H,8,FALSE))</f>
        <v>14743.85548</v>
      </c>
      <c r="P146" s="46">
        <f t="shared" ca="1" si="9"/>
        <v>5.4205351030408196E-3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input_425100!A$2</f>
        <v>425100</v>
      </c>
      <c r="B147" s="6">
        <v>382</v>
      </c>
      <c r="C147" s="7" t="str">
        <f t="shared" si="8"/>
        <v>Premium5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IFERROR(VLOOKUP(B147,input_425100!L:R,7,FALSE),VLOOKUP(tables_425100!C147,input_425100!A:H,8,FALSE))</f>
        <v>122.19580000000001</v>
      </c>
      <c r="P147" s="46">
        <f t="shared" ca="1" si="9"/>
        <v>4.4924926471414071E-5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input_425100!A$2</f>
        <v>425100</v>
      </c>
      <c r="B148" s="6">
        <v>383</v>
      </c>
      <c r="C148" s="7" t="str">
        <f t="shared" si="8"/>
        <v>PremiumSS4</v>
      </c>
      <c r="D148" s="7" t="str">
        <f t="shared" si="10"/>
        <v>PremiumSS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IFERROR(VLOOKUP(B148,input_425100!L:R,7,FALSE),VLOOKUP(tables_425100!C148,input_425100!A:H,8,FALSE))</f>
        <v>1939.61905</v>
      </c>
      <c r="P148" s="46">
        <f t="shared" ca="1" si="9"/>
        <v>7.1309523898369673E-4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input_425100!A$2</f>
        <v>425100</v>
      </c>
      <c r="B149" s="6">
        <v>384</v>
      </c>
      <c r="C149" s="7" t="str">
        <f t="shared" si="8"/>
        <v>PremiumSS5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IFERROR(VLOOKUP(B149,input_425100!L:R,7,FALSE),VLOOKUP(tables_425100!C149,input_425100!A:H,8,FALSE))</f>
        <v>68</v>
      </c>
      <c r="P149" s="46">
        <f t="shared" ca="1" si="9"/>
        <v>2.5000000000459564E-5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input_425100!A$2</f>
        <v>425100</v>
      </c>
      <c r="B150" s="6">
        <v>385</v>
      </c>
      <c r="C150" s="7" t="str">
        <f t="shared" si="8"/>
        <v>PremiumSS4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IFERROR(VLOOKUP(B150,input_425100!L:R,7,FALSE),VLOOKUP(tables_425100!C150,input_425100!A:H,8,FALSE))</f>
        <v>1939.61905</v>
      </c>
      <c r="P150" s="46">
        <f t="shared" ca="1" si="9"/>
        <v>7.1309523898369673E-4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input_425100!A$2</f>
        <v>425100</v>
      </c>
      <c r="B151" s="6">
        <v>386</v>
      </c>
      <c r="C151" s="7" t="str">
        <f t="shared" si="8"/>
        <v>PremiumSS5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IFERROR(VLOOKUP(B151,input_425100!L:R,7,FALSE),VLOOKUP(tables_425100!C151,input_425100!A:H,8,FALSE))</f>
        <v>68</v>
      </c>
      <c r="P151" s="46">
        <f t="shared" ca="1" si="9"/>
        <v>2.5000000000459564E-5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input_425100!A$2</f>
        <v>425100</v>
      </c>
      <c r="B152" s="6">
        <v>387</v>
      </c>
      <c r="C152" s="7" t="str">
        <f t="shared" si="8"/>
        <v>Premium3color</v>
      </c>
      <c r="D152" s="7" t="str">
        <f t="shared" si="10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IFERROR(VLOOKUP(B152,input_425100!L:R,7,FALSE),VLOOKUP(tables_425100!C152,input_425100!A:H,8,FALSE))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input_425100!A$2</f>
        <v>425100</v>
      </c>
      <c r="B153" s="6">
        <v>388</v>
      </c>
      <c r="C153" s="7" t="str">
        <f t="shared" si="8"/>
        <v>Premium4color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IFERROR(VLOOKUP(B153,input_425100!L:R,7,FALSE),VLOOKUP(tables_425100!C153,input_425100!A:H,8,FALSE))</f>
        <v>68618.587409999993</v>
      </c>
      <c r="P153" s="46">
        <f t="shared" ca="1" si="9"/>
        <v>2.5227421842375506E-2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input_425100!A$2</f>
        <v>425100</v>
      </c>
      <c r="B154" s="6">
        <v>389</v>
      </c>
      <c r="C154" s="7" t="str">
        <f t="shared" si="8"/>
        <v>Premium5color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IFERROR(VLOOKUP(B154,input_425100!L:R,7,FALSE),VLOOKUP(tables_425100!C154,input_425100!A:H,8,FALSE))</f>
        <v>747.11887999999999</v>
      </c>
      <c r="P154" s="46">
        <f t="shared" ca="1" si="9"/>
        <v>2.7467605882857863E-4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input_425100!A$2</f>
        <v>425100</v>
      </c>
      <c r="B155" s="6">
        <v>390</v>
      </c>
      <c r="C155" s="7" t="str">
        <f t="shared" si="8"/>
        <v>PremiumSS4</v>
      </c>
      <c r="D155" s="7" t="str">
        <f t="shared" si="10"/>
        <v>PremiumSS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IFERROR(VLOOKUP(B155,input_425100!L:R,7,FALSE),VLOOKUP(tables_425100!C155,input_425100!A:H,8,FALSE))</f>
        <v>1939.61905</v>
      </c>
      <c r="P155" s="46">
        <f t="shared" ca="1" si="9"/>
        <v>7.1309523898369673E-4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input_425100!A$2</f>
        <v>425100</v>
      </c>
      <c r="B156" s="6">
        <v>391</v>
      </c>
      <c r="C156" s="7" t="str">
        <f t="shared" si="8"/>
        <v>PremiumSS5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IFERROR(VLOOKUP(B156,input_425100!L:R,7,FALSE),VLOOKUP(tables_425100!C156,input_425100!A:H,8,FALSE))</f>
        <v>68</v>
      </c>
      <c r="P156" s="46">
        <f t="shared" ca="1" si="9"/>
        <v>2.5000000000459564E-5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input_425100!A$2</f>
        <v>425100</v>
      </c>
      <c r="B157" s="6">
        <v>392</v>
      </c>
      <c r="C157" s="7" t="str">
        <f t="shared" si="8"/>
        <v>Premium3</v>
      </c>
      <c r="D157" s="7" t="str">
        <f t="shared" si="10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IFERROR(VLOOKUP(B157,input_425100!L:R,7,FALSE),VLOOKUP(tables_425100!C157,input_425100!A:H,8,FALSE))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input_425100!A$2</f>
        <v>425100</v>
      </c>
      <c r="B158" s="6">
        <v>393</v>
      </c>
      <c r="C158" s="7" t="str">
        <f t="shared" si="8"/>
        <v>Premium4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IFERROR(VLOOKUP(B158,input_425100!L:R,7,FALSE),VLOOKUP(tables_425100!C158,input_425100!A:H,8,FALSE))</f>
        <v>14743.85548</v>
      </c>
      <c r="P158" s="46">
        <f t="shared" ca="1" si="9"/>
        <v>5.4205351030408196E-3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input_425100!A$2</f>
        <v>425100</v>
      </c>
      <c r="B159" s="6">
        <v>394</v>
      </c>
      <c r="C159" s="7" t="str">
        <f t="shared" si="8"/>
        <v>Premium5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IFERROR(VLOOKUP(B159,input_425100!L:R,7,FALSE),VLOOKUP(tables_425100!C159,input_425100!A:H,8,FALSE))</f>
        <v>122.19580000000001</v>
      </c>
      <c r="P159" s="46">
        <f t="shared" ca="1" si="9"/>
        <v>4.4924926471414071E-5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input_425100!A$2</f>
        <v>425100</v>
      </c>
      <c r="B160" s="6">
        <v>395</v>
      </c>
      <c r="C160" s="7" t="str">
        <f t="shared" si="8"/>
        <v>Premium3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IFERROR(VLOOKUP(B160,input_425100!L:R,7,FALSE),VLOOKUP(tables_425100!C160,input_425100!A:H,8,FALSE))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input_425100!A$2</f>
        <v>425100</v>
      </c>
      <c r="B161" s="6">
        <v>396</v>
      </c>
      <c r="C161" s="7" t="str">
        <f t="shared" si="8"/>
        <v>Premium4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IFERROR(VLOOKUP(B161,input_425100!L:R,7,FALSE),VLOOKUP(tables_425100!C161,input_425100!A:H,8,FALSE))</f>
        <v>14743.85548</v>
      </c>
      <c r="P161" s="46">
        <f t="shared" ca="1" si="9"/>
        <v>5.4205351030408196E-3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input_425100!A$2</f>
        <v>425100</v>
      </c>
      <c r="B162" s="6">
        <v>397</v>
      </c>
      <c r="C162" s="7" t="str">
        <f t="shared" si="8"/>
        <v>Premium5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IFERROR(VLOOKUP(B162,input_425100!L:R,7,FALSE),VLOOKUP(tables_425100!C162,input_425100!A:H,8,FALSE))</f>
        <v>122.19580000000001</v>
      </c>
      <c r="P162" s="46">
        <f t="shared" ca="1" si="9"/>
        <v>4.4924926471414071E-5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input_425100!A$2</f>
        <v>425100</v>
      </c>
      <c r="B163" s="6">
        <v>398</v>
      </c>
      <c r="C163" s="7" t="str">
        <f t="shared" si="8"/>
        <v>PremiumSS4color</v>
      </c>
      <c r="D163" s="7" t="str">
        <f t="shared" si="10"/>
        <v>PremiumSS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IFERROR(VLOOKUP(B163,input_425100!L:R,7,FALSE),VLOOKUP(tables_425100!C163,input_425100!A:H,8,FALSE))</f>
        <v>7480</v>
      </c>
      <c r="P163" s="46">
        <f t="shared" ca="1" si="9"/>
        <v>2.7500000000505519E-3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input_425100!A$2</f>
        <v>425100</v>
      </c>
      <c r="B164" s="6">
        <v>399</v>
      </c>
      <c r="C164" s="7" t="str">
        <f t="shared" si="8"/>
        <v>PremiumSS5color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IFERROR(VLOOKUP(B164,input_425100!L:R,7,FALSE),VLOOKUP(tables_425100!C164,input_425100!A:H,8,FALSE))</f>
        <v>291.42856999999998</v>
      </c>
      <c r="P164" s="46">
        <f t="shared" ca="1" si="9"/>
        <v>1.071428566196166E-4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input_425100!A$2</f>
        <v>425100</v>
      </c>
      <c r="B165" s="6">
        <v>400</v>
      </c>
      <c r="C165" s="7" t="str">
        <f t="shared" si="8"/>
        <v>Premium3</v>
      </c>
      <c r="D165" s="7" t="str">
        <f t="shared" si="10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IFERROR(VLOOKUP(B165,input_425100!L:R,7,FALSE),VLOOKUP(tables_425100!C165,input_425100!A:H,8,FALSE))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input_425100!A$2</f>
        <v>425100</v>
      </c>
      <c r="B166" s="6">
        <v>401</v>
      </c>
      <c r="C166" s="7" t="str">
        <f t="shared" si="8"/>
        <v>Premium4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IFERROR(VLOOKUP(B166,input_425100!L:R,7,FALSE),VLOOKUP(tables_425100!C166,input_425100!A:H,8,FALSE))</f>
        <v>14743.85548</v>
      </c>
      <c r="P166" s="46">
        <f t="shared" ca="1" si="9"/>
        <v>5.4205351030408196E-3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input_425100!A$2</f>
        <v>425100</v>
      </c>
      <c r="B167" s="6">
        <v>402</v>
      </c>
      <c r="C167" s="7" t="str">
        <f t="shared" si="8"/>
        <v>Premium5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IFERROR(VLOOKUP(B167,input_425100!L:R,7,FALSE),VLOOKUP(tables_425100!C167,input_425100!A:H,8,FALSE))</f>
        <v>122.19580000000001</v>
      </c>
      <c r="P167" s="46">
        <f t="shared" ca="1" si="9"/>
        <v>4.4924926471414071E-5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input_425100!A$2</f>
        <v>425100</v>
      </c>
      <c r="B168" s="6">
        <v>403</v>
      </c>
      <c r="C168" s="7" t="str">
        <f t="shared" si="8"/>
        <v>PremiumSS4</v>
      </c>
      <c r="D168" s="7" t="str">
        <f t="shared" si="10"/>
        <v>PremiumSS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IFERROR(VLOOKUP(B168,input_425100!L:R,7,FALSE),VLOOKUP(tables_425100!C168,input_425100!A:H,8,FALSE))</f>
        <v>1939.61905</v>
      </c>
      <c r="P168" s="46">
        <f t="shared" ca="1" si="9"/>
        <v>7.1309523898369673E-4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input_425100!A$2</f>
        <v>425100</v>
      </c>
      <c r="B169" s="6">
        <v>404</v>
      </c>
      <c r="C169" s="7" t="str">
        <f t="shared" si="8"/>
        <v>PremiumSS5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IFERROR(VLOOKUP(B169,input_425100!L:R,7,FALSE),VLOOKUP(tables_425100!C169,input_425100!A:H,8,FALSE))</f>
        <v>68</v>
      </c>
      <c r="P169" s="46">
        <f t="shared" ca="1" si="9"/>
        <v>2.5000000000459564E-5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input_425100!A$2</f>
        <v>425100</v>
      </c>
      <c r="B170" s="6">
        <v>405</v>
      </c>
      <c r="C170" s="7" t="str">
        <f t="shared" si="8"/>
        <v>Premium3</v>
      </c>
      <c r="D170" s="7" t="str">
        <f t="shared" si="10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IFERROR(VLOOKUP(B170,input_425100!L:R,7,FALSE),VLOOKUP(tables_425100!C170,input_425100!A:H,8,FALSE))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input_425100!A$2</f>
        <v>425100</v>
      </c>
      <c r="B171" s="6">
        <v>406</v>
      </c>
      <c r="C171" s="7" t="str">
        <f t="shared" si="8"/>
        <v>Premium4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IFERROR(VLOOKUP(B171,input_425100!L:R,7,FALSE),VLOOKUP(tables_425100!C171,input_425100!A:H,8,FALSE))</f>
        <v>14743.85548</v>
      </c>
      <c r="P171" s="46">
        <f t="shared" ca="1" si="9"/>
        <v>5.4205351030408196E-3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input_425100!A$2</f>
        <v>425100</v>
      </c>
      <c r="B172" s="6">
        <v>407</v>
      </c>
      <c r="C172" s="7" t="str">
        <f t="shared" si="8"/>
        <v>Premium5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IFERROR(VLOOKUP(B172,input_425100!L:R,7,FALSE),VLOOKUP(tables_425100!C172,input_425100!A:H,8,FALSE))</f>
        <v>122.19580000000001</v>
      </c>
      <c r="P172" s="46">
        <f t="shared" ca="1" si="9"/>
        <v>4.4924926471414071E-5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input_425100!A$2</f>
        <v>425100</v>
      </c>
      <c r="B173" s="6">
        <v>408</v>
      </c>
      <c r="C173" s="7" t="str">
        <f t="shared" si="8"/>
        <v>PremiumSS4color</v>
      </c>
      <c r="D173" s="7" t="str">
        <f t="shared" si="10"/>
        <v>PremiumSS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IFERROR(VLOOKUP(B173,input_425100!L:R,7,FALSE),VLOOKUP(tables_425100!C173,input_425100!A:H,8,FALSE))</f>
        <v>7480</v>
      </c>
      <c r="P173" s="46">
        <f t="shared" ca="1" si="9"/>
        <v>2.7500000000505519E-3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input_425100!A$2</f>
        <v>425100</v>
      </c>
      <c r="B174" s="6">
        <v>409</v>
      </c>
      <c r="C174" s="7" t="str">
        <f t="shared" si="8"/>
        <v>PremiumSS5color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IFERROR(VLOOKUP(B174,input_425100!L:R,7,FALSE),VLOOKUP(tables_425100!C174,input_425100!A:H,8,FALSE))</f>
        <v>291.42856999999998</v>
      </c>
      <c r="P174" s="46">
        <f t="shared" ca="1" si="9"/>
        <v>1.071428566196166E-4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input_425100!A$2</f>
        <v>425100</v>
      </c>
      <c r="B175" s="6">
        <v>434</v>
      </c>
      <c r="C175" s="7" t="str">
        <f t="shared" si="8"/>
        <v>PremiumSS4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IFERROR(VLOOKUP(B175,input_425100!L:R,7,FALSE),VLOOKUP(tables_425100!C175,input_425100!A:H,8,FALSE))</f>
        <v>1939.61905</v>
      </c>
      <c r="P175" s="46">
        <f t="shared" ca="1" si="9"/>
        <v>7.1309523898369673E-4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input_425100!A$2</f>
        <v>425100</v>
      </c>
      <c r="B176" s="6">
        <v>435</v>
      </c>
      <c r="C176" s="7" t="str">
        <f t="shared" si="8"/>
        <v>PremiumSS5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IFERROR(VLOOKUP(B176,input_425100!L:R,7,FALSE),VLOOKUP(tables_425100!C176,input_425100!A:H,8,FALSE))</f>
        <v>68</v>
      </c>
      <c r="P176" s="46">
        <f t="shared" ca="1" si="9"/>
        <v>2.5000000000459564E-5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input_425100!A$2</f>
        <v>425100</v>
      </c>
      <c r="B177" s="6">
        <v>436</v>
      </c>
      <c r="C177" s="7" t="str">
        <f t="shared" si="8"/>
        <v>Premium3</v>
      </c>
      <c r="D177" s="7" t="str">
        <f t="shared" si="10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IFERROR(VLOOKUP(B177,input_425100!L:R,7,FALSE),VLOOKUP(tables_425100!C177,input_425100!A:H,8,FALSE))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input_425100!A$2</f>
        <v>425100</v>
      </c>
      <c r="B178" s="6">
        <v>437</v>
      </c>
      <c r="C178" s="7" t="str">
        <f t="shared" si="8"/>
        <v>Premium4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IFERROR(VLOOKUP(B178,input_425100!L:R,7,FALSE),VLOOKUP(tables_425100!C178,input_425100!A:H,8,FALSE))</f>
        <v>14743.85548</v>
      </c>
      <c r="P178" s="46">
        <f t="shared" ca="1" si="9"/>
        <v>5.4205351030408196E-3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input_425100!A$2</f>
        <v>425100</v>
      </c>
      <c r="B179" s="6">
        <v>438</v>
      </c>
      <c r="C179" s="7" t="str">
        <f t="shared" si="8"/>
        <v>Premium5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IFERROR(VLOOKUP(B179,input_425100!L:R,7,FALSE),VLOOKUP(tables_425100!C179,input_425100!A:H,8,FALSE))</f>
        <v>122.19580000000001</v>
      </c>
      <c r="P179" s="46">
        <f t="shared" ca="1" si="9"/>
        <v>4.4924926471414071E-5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input_425100!A$2</f>
        <v>425100</v>
      </c>
      <c r="B180" s="6">
        <v>439</v>
      </c>
      <c r="C180" s="7" t="str">
        <f t="shared" si="8"/>
        <v>Premium3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IFERROR(VLOOKUP(B180,input_425100!L:R,7,FALSE),VLOOKUP(tables_425100!C180,input_425100!A:H,8,FALSE))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input_425100!A$2</f>
        <v>425100</v>
      </c>
      <c r="B181" s="6">
        <v>440</v>
      </c>
      <c r="C181" s="7" t="str">
        <f t="shared" si="8"/>
        <v>Premium4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IFERROR(VLOOKUP(B181,input_425100!L:R,7,FALSE),VLOOKUP(tables_425100!C181,input_425100!A:H,8,FALSE))</f>
        <v>14743.85548</v>
      </c>
      <c r="P181" s="46">
        <f t="shared" ca="1" si="9"/>
        <v>5.4205351030408196E-3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input_425100!A$2</f>
        <v>425100</v>
      </c>
      <c r="B182" s="6">
        <v>441</v>
      </c>
      <c r="C182" s="7" t="str">
        <f t="shared" si="8"/>
        <v>Premium5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IFERROR(VLOOKUP(B182,input_425100!L:R,7,FALSE),VLOOKUP(tables_425100!C182,input_425100!A:H,8,FALSE))</f>
        <v>122.19580000000001</v>
      </c>
      <c r="P182" s="46">
        <f t="shared" ca="1" si="9"/>
        <v>4.4924926471414071E-5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input_425100!A$2</f>
        <v>425100</v>
      </c>
      <c r="B183" s="6">
        <v>442</v>
      </c>
      <c r="C183" s="7" t="str">
        <f t="shared" si="8"/>
        <v>PremiumSS4color</v>
      </c>
      <c r="D183" s="7" t="str">
        <f t="shared" si="10"/>
        <v>PremiumSS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IFERROR(VLOOKUP(B183,input_425100!L:R,7,FALSE),VLOOKUP(tables_425100!C183,input_425100!A:H,8,FALSE))</f>
        <v>7480</v>
      </c>
      <c r="P183" s="46">
        <f t="shared" ca="1" si="9"/>
        <v>2.7500000000505519E-3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input_425100!A$2</f>
        <v>425100</v>
      </c>
      <c r="B184" s="6">
        <v>443</v>
      </c>
      <c r="C184" s="7" t="str">
        <f t="shared" si="8"/>
        <v>PremiumSS5color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IFERROR(VLOOKUP(B184,input_425100!L:R,7,FALSE),VLOOKUP(tables_425100!C184,input_425100!A:H,8,FALSE))</f>
        <v>291.42856999999998</v>
      </c>
      <c r="P184" s="46">
        <f t="shared" ca="1" si="9"/>
        <v>1.071428566196166E-4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input_425100!A$2</f>
        <v>425100</v>
      </c>
      <c r="B185" s="8">
        <v>462</v>
      </c>
      <c r="C185" s="7" t="str">
        <f t="shared" si="8"/>
        <v>Premium3</v>
      </c>
      <c r="D185" s="7" t="str">
        <f t="shared" si="10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IFERROR(VLOOKUP(B185,input_425100!L:R,7,FALSE),VLOOKUP(tables_425100!C185,input_425100!A:H,8,FALSE))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input_425100!A$2</f>
        <v>425100</v>
      </c>
      <c r="B186" s="8">
        <v>463</v>
      </c>
      <c r="C186" s="7" t="str">
        <f t="shared" si="8"/>
        <v>Premium4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IFERROR(VLOOKUP(B186,input_425100!L:R,7,FALSE),VLOOKUP(tables_425100!C186,input_425100!A:H,8,FALSE))</f>
        <v>14743.85548</v>
      </c>
      <c r="P186" s="46">
        <f t="shared" ca="1" si="9"/>
        <v>5.4205351030408196E-3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input_425100!A$2</f>
        <v>425100</v>
      </c>
      <c r="B187" s="8">
        <v>464</v>
      </c>
      <c r="C187" s="7" t="str">
        <f t="shared" si="8"/>
        <v>Premium5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IFERROR(VLOOKUP(B187,input_425100!L:R,7,FALSE),VLOOKUP(tables_425100!C187,input_425100!A:H,8,FALSE))</f>
        <v>122.19580000000001</v>
      </c>
      <c r="P187" s="46">
        <f t="shared" ca="1" si="9"/>
        <v>4.4924926471414071E-5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input_425100!A$2</f>
        <v>425100</v>
      </c>
      <c r="B188" s="8">
        <v>465</v>
      </c>
      <c r="C188" s="7" t="str">
        <f t="shared" si="8"/>
        <v>PremiumSS4</v>
      </c>
      <c r="D188" s="7" t="str">
        <f t="shared" si="10"/>
        <v>PremiumSS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IFERROR(VLOOKUP(B188,input_425100!L:R,7,FALSE),VLOOKUP(tables_425100!C188,input_425100!A:H,8,FALSE))</f>
        <v>1939.61905</v>
      </c>
      <c r="P188" s="46">
        <f t="shared" ca="1" si="9"/>
        <v>7.1309523898369673E-4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input_425100!A$2</f>
        <v>425100</v>
      </c>
      <c r="B189" s="6">
        <v>466</v>
      </c>
      <c r="C189" s="7" t="str">
        <f t="shared" si="8"/>
        <v>PremiumSS5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IFERROR(VLOOKUP(B189,input_425100!L:R,7,FALSE),VLOOKUP(tables_425100!C189,input_425100!A:H,8,FALSE))</f>
        <v>68</v>
      </c>
      <c r="P189" s="46">
        <f t="shared" ca="1" si="9"/>
        <v>2.5000000000459564E-5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input_425100!A$2</f>
        <v>425100</v>
      </c>
      <c r="B190" s="6">
        <v>467</v>
      </c>
      <c r="C190" s="7" t="str">
        <f t="shared" si="8"/>
        <v>PremiumSS4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IFERROR(VLOOKUP(B190,input_425100!L:R,7,FALSE),VLOOKUP(tables_425100!C190,input_425100!A:H,8,FALSE))</f>
        <v>1939.61905</v>
      </c>
      <c r="P190" s="46">
        <f t="shared" ca="1" si="9"/>
        <v>7.1309523898369673E-4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input_425100!A$2</f>
        <v>425100</v>
      </c>
      <c r="B191" s="6">
        <v>468</v>
      </c>
      <c r="C191" s="7" t="str">
        <f t="shared" si="8"/>
        <v>PremiumSS5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IFERROR(VLOOKUP(B191,input_425100!L:R,7,FALSE),VLOOKUP(tables_425100!C191,input_425100!A:H,8,FALSE))</f>
        <v>68</v>
      </c>
      <c r="P191" s="46">
        <f t="shared" ca="1" si="9"/>
        <v>2.5000000000459564E-5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input_425100!A$2</f>
        <v>425100</v>
      </c>
      <c r="B192" s="6">
        <v>469</v>
      </c>
      <c r="C192" s="7" t="str">
        <f t="shared" si="8"/>
        <v>Premium3color</v>
      </c>
      <c r="D192" s="7" t="str">
        <f t="shared" si="10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IFERROR(VLOOKUP(B192,input_425100!L:R,7,FALSE),VLOOKUP(tables_425100!C192,input_425100!A:H,8,FALSE))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input_425100!A$2</f>
        <v>425100</v>
      </c>
      <c r="B193" s="6">
        <v>470</v>
      </c>
      <c r="C193" s="7" t="str">
        <f t="shared" si="8"/>
        <v>Premium4color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IFERROR(VLOOKUP(B193,input_425100!L:R,7,FALSE),VLOOKUP(tables_425100!C193,input_425100!A:H,8,FALSE))</f>
        <v>68618.587409999993</v>
      </c>
      <c r="P193" s="46">
        <f t="shared" ca="1" si="9"/>
        <v>2.5227421842375506E-2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input_425100!A$2</f>
        <v>425100</v>
      </c>
      <c r="B194" s="6">
        <v>471</v>
      </c>
      <c r="C194" s="7" t="str">
        <f t="shared" ref="C194:C257" si="12">D194&amp;J194&amp;E194&amp;F194&amp;G194</f>
        <v>Premium5color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IFERROR(VLOOKUP(B194,input_425100!L:R,7,FALSE),VLOOKUP(tables_425100!C194,input_425100!A:H,8,FALSE))</f>
        <v>747.11887999999999</v>
      </c>
      <c r="P194" s="46">
        <f t="shared" ref="P194:P257" ca="1" si="13">O194/SUM(O:O)</f>
        <v>2.7467605882857863E-4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input_425100!A$2</f>
        <v>425100</v>
      </c>
      <c r="B195" s="6">
        <v>474</v>
      </c>
      <c r="C195" s="7" t="str">
        <f t="shared" si="12"/>
        <v>PremiumSS4</v>
      </c>
      <c r="D195" s="7" t="str">
        <f t="shared" ref="D195:D258" si="14">IF(OR(I195="PremiumSS",I195="PremiumSSw"),"PremiumSS",IF(I195="PremiumSSS",I195,IF(I195="PremiumW",I195,"Premium")))</f>
        <v>PremiumSS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/>
      </c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IFERROR(VLOOKUP(B195,input_425100!L:R,7,FALSE),VLOOKUP(tables_425100!C195,input_425100!A:H,8,FALSE))</f>
        <v>1939.61905</v>
      </c>
      <c r="P195" s="46">
        <f t="shared" ca="1" si="13"/>
        <v>7.1309523898369673E-4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input_425100!A$2</f>
        <v>425100</v>
      </c>
      <c r="B196" s="6">
        <v>475</v>
      </c>
      <c r="C196" s="7" t="str">
        <f t="shared" si="12"/>
        <v>PremiumSS5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IFERROR(VLOOKUP(B196,input_425100!L:R,7,FALSE),VLOOKUP(tables_425100!C196,input_425100!A:H,8,FALSE))</f>
        <v>68</v>
      </c>
      <c r="P196" s="46">
        <f t="shared" ca="1" si="13"/>
        <v>2.5000000000459564E-5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input_425100!A$2</f>
        <v>425100</v>
      </c>
      <c r="B197" s="6">
        <v>476</v>
      </c>
      <c r="C197" s="7" t="str">
        <f t="shared" si="12"/>
        <v>Premium3</v>
      </c>
      <c r="D197" s="7" t="str">
        <f t="shared" si="14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IFERROR(VLOOKUP(B197,input_425100!L:R,7,FALSE),VLOOKUP(tables_425100!C197,input_425100!A:H,8,FALSE))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input_425100!A$2</f>
        <v>425100</v>
      </c>
      <c r="B198" s="6">
        <v>477</v>
      </c>
      <c r="C198" s="7" t="str">
        <f t="shared" si="12"/>
        <v>Premium4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IFERROR(VLOOKUP(B198,input_425100!L:R,7,FALSE),VLOOKUP(tables_425100!C198,input_425100!A:H,8,FALSE))</f>
        <v>14743.85548</v>
      </c>
      <c r="P198" s="46">
        <f t="shared" ca="1" si="13"/>
        <v>5.4205351030408196E-3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input_425100!A$2</f>
        <v>425100</v>
      </c>
      <c r="B199" s="6">
        <v>478</v>
      </c>
      <c r="C199" s="7" t="str">
        <f t="shared" si="12"/>
        <v>Premium5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IFERROR(VLOOKUP(B199,input_425100!L:R,7,FALSE),VLOOKUP(tables_425100!C199,input_425100!A:H,8,FALSE))</f>
        <v>122.19580000000001</v>
      </c>
      <c r="P199" s="46">
        <f t="shared" ca="1" si="13"/>
        <v>4.4924926471414071E-5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input_425100!A$2</f>
        <v>425100</v>
      </c>
      <c r="B200" s="6">
        <v>479</v>
      </c>
      <c r="C200" s="7" t="str">
        <f t="shared" si="12"/>
        <v>PremiumSS4</v>
      </c>
      <c r="D200" s="7" t="str">
        <f t="shared" si="14"/>
        <v>PremiumSS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IFERROR(VLOOKUP(B200,input_425100!L:R,7,FALSE),VLOOKUP(tables_425100!C200,input_425100!A:H,8,FALSE))</f>
        <v>1939.61905</v>
      </c>
      <c r="P200" s="46">
        <f t="shared" ca="1" si="13"/>
        <v>7.1309523898369673E-4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input_425100!A$2</f>
        <v>425100</v>
      </c>
      <c r="B201" s="6">
        <v>480</v>
      </c>
      <c r="C201" s="7" t="str">
        <f t="shared" si="12"/>
        <v>PremiumSS5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IFERROR(VLOOKUP(B201,input_425100!L:R,7,FALSE),VLOOKUP(tables_425100!C201,input_425100!A:H,8,FALSE))</f>
        <v>68</v>
      </c>
      <c r="P201" s="46">
        <f t="shared" ca="1" si="13"/>
        <v>2.5000000000459564E-5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input_425100!A$2</f>
        <v>425100</v>
      </c>
      <c r="B202" s="6">
        <v>481</v>
      </c>
      <c r="C202" s="7" t="str">
        <f t="shared" si="12"/>
        <v>Premium3color</v>
      </c>
      <c r="D202" s="7" t="str">
        <f t="shared" si="14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IFERROR(VLOOKUP(B202,input_425100!L:R,7,FALSE),VLOOKUP(tables_425100!C202,input_425100!A:H,8,FALSE))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input_425100!A$2</f>
        <v>425100</v>
      </c>
      <c r="B203" s="6">
        <v>482</v>
      </c>
      <c r="C203" s="7" t="str">
        <f t="shared" si="12"/>
        <v>Premium4color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IFERROR(VLOOKUP(B203,input_425100!L:R,7,FALSE),VLOOKUP(tables_425100!C203,input_425100!A:H,8,FALSE))</f>
        <v>68618.587409999993</v>
      </c>
      <c r="P203" s="46">
        <f t="shared" ca="1" si="13"/>
        <v>2.5227421842375506E-2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input_425100!A$2</f>
        <v>425100</v>
      </c>
      <c r="B204" s="6">
        <v>483</v>
      </c>
      <c r="C204" s="7" t="str">
        <f t="shared" si="12"/>
        <v>Premium5color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IFERROR(VLOOKUP(B204,input_425100!L:R,7,FALSE),VLOOKUP(tables_425100!C204,input_425100!A:H,8,FALSE))</f>
        <v>747.11887999999999</v>
      </c>
      <c r="P204" s="46">
        <f t="shared" ca="1" si="13"/>
        <v>2.7467605882857863E-4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input_425100!A$2</f>
        <v>425100</v>
      </c>
      <c r="B205" s="6">
        <v>492</v>
      </c>
      <c r="C205" s="7" t="str">
        <f t="shared" si="12"/>
        <v>PremiumSS4</v>
      </c>
      <c r="D205" s="7" t="str">
        <f t="shared" si="14"/>
        <v>PremiumSS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IFERROR(VLOOKUP(B205,input_425100!L:R,7,FALSE),VLOOKUP(tables_425100!C205,input_425100!A:H,8,FALSE))</f>
        <v>1939.61905</v>
      </c>
      <c r="P205" s="46">
        <f t="shared" ca="1" si="13"/>
        <v>7.1309523898369673E-4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input_425100!A$2</f>
        <v>425100</v>
      </c>
      <c r="B206" s="6">
        <v>493</v>
      </c>
      <c r="C206" s="7" t="str">
        <f t="shared" si="12"/>
        <v>PremiumSS5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IFERROR(VLOOKUP(B206,input_425100!L:R,7,FALSE),VLOOKUP(tables_425100!C206,input_425100!A:H,8,FALSE))</f>
        <v>68</v>
      </c>
      <c r="P206" s="46">
        <f t="shared" ca="1" si="13"/>
        <v>2.5000000000459564E-5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input_425100!A$2</f>
        <v>425100</v>
      </c>
      <c r="B207" s="6">
        <v>494</v>
      </c>
      <c r="C207" s="7" t="str">
        <f t="shared" si="12"/>
        <v>PremiumSS4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IFERROR(VLOOKUP(B207,input_425100!L:R,7,FALSE),VLOOKUP(tables_425100!C207,input_425100!A:H,8,FALSE))</f>
        <v>1939.61905</v>
      </c>
      <c r="P207" s="46">
        <f t="shared" ca="1" si="13"/>
        <v>7.1309523898369673E-4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input_425100!A$2</f>
        <v>425100</v>
      </c>
      <c r="B208" s="6">
        <v>495</v>
      </c>
      <c r="C208" s="7" t="str">
        <f t="shared" si="12"/>
        <v>PremiumSS5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IFERROR(VLOOKUP(B208,input_425100!L:R,7,FALSE),VLOOKUP(tables_425100!C208,input_425100!A:H,8,FALSE))</f>
        <v>68</v>
      </c>
      <c r="P208" s="46">
        <f t="shared" ca="1" si="13"/>
        <v>2.5000000000459564E-5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input_425100!A$2</f>
        <v>425100</v>
      </c>
      <c r="B209" s="6">
        <v>496</v>
      </c>
      <c r="C209" s="7" t="str">
        <f t="shared" si="12"/>
        <v>Premium3</v>
      </c>
      <c r="D209" s="7" t="str">
        <f t="shared" si="14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IFERROR(VLOOKUP(B209,input_425100!L:R,7,FALSE),VLOOKUP(tables_425100!C209,input_425100!A:H,8,FALSE))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input_425100!A$2</f>
        <v>425100</v>
      </c>
      <c r="B210" s="6">
        <v>497</v>
      </c>
      <c r="C210" s="7" t="str">
        <f t="shared" si="12"/>
        <v>Premium4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IFERROR(VLOOKUP(B210,input_425100!L:R,7,FALSE),VLOOKUP(tables_425100!C210,input_425100!A:H,8,FALSE))</f>
        <v>14743.85548</v>
      </c>
      <c r="P210" s="46">
        <f t="shared" ca="1" si="13"/>
        <v>5.4205351030408196E-3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input_425100!A$2</f>
        <v>425100</v>
      </c>
      <c r="B211" s="6">
        <v>498</v>
      </c>
      <c r="C211" s="7" t="str">
        <f t="shared" si="12"/>
        <v>Premium5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IFERROR(VLOOKUP(B211,input_425100!L:R,7,FALSE),VLOOKUP(tables_425100!C211,input_425100!A:H,8,FALSE))</f>
        <v>122.19580000000001</v>
      </c>
      <c r="P211" s="46">
        <f t="shared" ca="1" si="13"/>
        <v>4.4924926471414071E-5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input_425100!A$2</f>
        <v>425100</v>
      </c>
      <c r="B212" s="6">
        <v>499</v>
      </c>
      <c r="C212" s="7" t="str">
        <f t="shared" si="12"/>
        <v>PremiumSS4color</v>
      </c>
      <c r="D212" s="7" t="str">
        <f t="shared" si="14"/>
        <v>PremiumSS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IFERROR(VLOOKUP(B212,input_425100!L:R,7,FALSE),VLOOKUP(tables_425100!C212,input_425100!A:H,8,FALSE))</f>
        <v>7480</v>
      </c>
      <c r="P212" s="46">
        <f t="shared" ca="1" si="13"/>
        <v>2.7500000000505519E-3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input_425100!A$2</f>
        <v>425100</v>
      </c>
      <c r="B213" s="6">
        <v>500</v>
      </c>
      <c r="C213" s="7" t="str">
        <f t="shared" si="12"/>
        <v>PremiumSS5color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IFERROR(VLOOKUP(B213,input_425100!L:R,7,FALSE),VLOOKUP(tables_425100!C213,input_425100!A:H,8,FALSE))</f>
        <v>291.42856999999998</v>
      </c>
      <c r="P213" s="46">
        <f t="shared" ca="1" si="13"/>
        <v>1.071428566196166E-4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input_425100!A$2</f>
        <v>425100</v>
      </c>
      <c r="B214" s="6">
        <v>586</v>
      </c>
      <c r="C214" s="7" t="str">
        <f t="shared" si="12"/>
        <v>PremiumSS4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IFERROR(VLOOKUP(B214,input_425100!L:R,7,FALSE),VLOOKUP(tables_425100!C214,input_425100!A:H,8,FALSE))</f>
        <v>1939.61905</v>
      </c>
      <c r="P214" s="46">
        <f t="shared" ca="1" si="13"/>
        <v>7.1309523898369673E-4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input_425100!A$2</f>
        <v>425100</v>
      </c>
      <c r="B215" s="6">
        <v>587</v>
      </c>
      <c r="C215" s="7" t="str">
        <f t="shared" si="12"/>
        <v>PremiumSS5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IFERROR(VLOOKUP(B215,input_425100!L:R,7,FALSE),VLOOKUP(tables_425100!C215,input_425100!A:H,8,FALSE))</f>
        <v>68</v>
      </c>
      <c r="P215" s="46">
        <f t="shared" ca="1" si="13"/>
        <v>2.5000000000459564E-5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input_425100!A$2</f>
        <v>425100</v>
      </c>
      <c r="B216" s="6">
        <v>588</v>
      </c>
      <c r="C216" s="7" t="str">
        <f t="shared" si="12"/>
        <v>Premium3</v>
      </c>
      <c r="D216" s="7" t="str">
        <f t="shared" si="14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IFERROR(VLOOKUP(B216,input_425100!L:R,7,FALSE),VLOOKUP(tables_425100!C216,input_425100!A:H,8,FALSE))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input_425100!A$2</f>
        <v>425100</v>
      </c>
      <c r="B217" s="6">
        <v>589</v>
      </c>
      <c r="C217" s="7" t="str">
        <f t="shared" si="12"/>
        <v>Premium4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IFERROR(VLOOKUP(B217,input_425100!L:R,7,FALSE),VLOOKUP(tables_425100!C217,input_425100!A:H,8,FALSE))</f>
        <v>14743.85548</v>
      </c>
      <c r="P217" s="46">
        <f t="shared" ca="1" si="13"/>
        <v>5.4205351030408196E-3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input_425100!A$2</f>
        <v>425100</v>
      </c>
      <c r="B218" s="6">
        <v>590</v>
      </c>
      <c r="C218" s="7" t="str">
        <f t="shared" si="12"/>
        <v>Premium5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IFERROR(VLOOKUP(B218,input_425100!L:R,7,FALSE),VLOOKUP(tables_425100!C218,input_425100!A:H,8,FALSE))</f>
        <v>122.19580000000001</v>
      </c>
      <c r="P218" s="46">
        <f t="shared" ca="1" si="13"/>
        <v>4.4924926471414071E-5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input_425100!A$2</f>
        <v>425100</v>
      </c>
      <c r="B219" s="6">
        <v>591</v>
      </c>
      <c r="C219" s="7" t="str">
        <f t="shared" si="12"/>
        <v>Premium3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IFERROR(VLOOKUP(B219,input_425100!L:R,7,FALSE),VLOOKUP(tables_425100!C219,input_425100!A:H,8,FALSE))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input_425100!A$2</f>
        <v>425100</v>
      </c>
      <c r="B220" s="6">
        <v>592</v>
      </c>
      <c r="C220" s="7" t="str">
        <f t="shared" si="12"/>
        <v>Premium4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IFERROR(VLOOKUP(B220,input_425100!L:R,7,FALSE),VLOOKUP(tables_425100!C220,input_425100!A:H,8,FALSE))</f>
        <v>14743.85548</v>
      </c>
      <c r="P220" s="46">
        <f t="shared" ca="1" si="13"/>
        <v>5.4205351030408196E-3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input_425100!A$2</f>
        <v>425100</v>
      </c>
      <c r="B221" s="6">
        <v>593</v>
      </c>
      <c r="C221" s="7" t="str">
        <f t="shared" si="12"/>
        <v>Premium5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IFERROR(VLOOKUP(B221,input_425100!L:R,7,FALSE),VLOOKUP(tables_425100!C221,input_425100!A:H,8,FALSE))</f>
        <v>122.19580000000001</v>
      </c>
      <c r="P221" s="46">
        <f t="shared" ca="1" si="13"/>
        <v>4.4924926471414071E-5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input_425100!A$2</f>
        <v>425100</v>
      </c>
      <c r="B222" s="6">
        <v>594</v>
      </c>
      <c r="C222" s="7" t="str">
        <f t="shared" si="12"/>
        <v>PremiumSS4color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IFERROR(VLOOKUP(B222,input_425100!L:R,7,FALSE),VLOOKUP(tables_425100!C222,input_425100!A:H,8,FALSE))</f>
        <v>7480</v>
      </c>
      <c r="P222" s="46">
        <f t="shared" ca="1" si="13"/>
        <v>2.7500000000505519E-3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input_425100!A$2</f>
        <v>425100</v>
      </c>
      <c r="B223" s="6">
        <v>595</v>
      </c>
      <c r="C223" s="7" t="str">
        <f t="shared" si="12"/>
        <v>PremiumSS5color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IFERROR(VLOOKUP(B223,input_425100!L:R,7,FALSE),VLOOKUP(tables_425100!C223,input_425100!A:H,8,FALSE))</f>
        <v>291.42856999999998</v>
      </c>
      <c r="P223" s="46">
        <f t="shared" ca="1" si="13"/>
        <v>1.071428566196166E-4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input_425100!A$2</f>
        <v>425100</v>
      </c>
      <c r="B224" s="6">
        <v>596</v>
      </c>
      <c r="C224" s="7" t="str">
        <f t="shared" si="12"/>
        <v>Premium3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IFERROR(VLOOKUP(B224,input_425100!L:R,7,FALSE),VLOOKUP(tables_425100!C224,input_425100!A:H,8,FALSE))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input_425100!A$2</f>
        <v>425100</v>
      </c>
      <c r="B225" s="6">
        <v>597</v>
      </c>
      <c r="C225" s="7" t="str">
        <f t="shared" si="12"/>
        <v>Premium4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IFERROR(VLOOKUP(B225,input_425100!L:R,7,FALSE),VLOOKUP(tables_425100!C225,input_425100!A:H,8,FALSE))</f>
        <v>14743.85548</v>
      </c>
      <c r="P225" s="46">
        <f t="shared" ca="1" si="13"/>
        <v>5.4205351030408196E-3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input_425100!A$2</f>
        <v>425100</v>
      </c>
      <c r="B226" s="6">
        <v>598</v>
      </c>
      <c r="C226" s="7" t="str">
        <f t="shared" si="12"/>
        <v>Premium5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IFERROR(VLOOKUP(B226,input_425100!L:R,7,FALSE),VLOOKUP(tables_425100!C226,input_425100!A:H,8,FALSE))</f>
        <v>122.19580000000001</v>
      </c>
      <c r="P226" s="46">
        <f t="shared" ca="1" si="13"/>
        <v>4.4924926471414071E-5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input_425100!A$2</f>
        <v>425100</v>
      </c>
      <c r="B227" s="6">
        <v>599</v>
      </c>
      <c r="C227" s="7" t="str">
        <f t="shared" si="12"/>
        <v>Premium3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IFERROR(VLOOKUP(B227,input_425100!L:R,7,FALSE),VLOOKUP(tables_425100!C227,input_425100!A:H,8,FALSE))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input_425100!A$2</f>
        <v>425100</v>
      </c>
      <c r="B228" s="6">
        <v>600</v>
      </c>
      <c r="C228" s="7" t="str">
        <f t="shared" si="12"/>
        <v>Premium4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IFERROR(VLOOKUP(B228,input_425100!L:R,7,FALSE),VLOOKUP(tables_425100!C228,input_425100!A:H,8,FALSE))</f>
        <v>14743.85548</v>
      </c>
      <c r="P228" s="46">
        <f t="shared" ca="1" si="13"/>
        <v>5.4205351030408196E-3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input_425100!A$2</f>
        <v>425100</v>
      </c>
      <c r="B229" s="6">
        <v>601</v>
      </c>
      <c r="C229" s="7" t="str">
        <f t="shared" si="12"/>
        <v>Premium5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IFERROR(VLOOKUP(B229,input_425100!L:R,7,FALSE),VLOOKUP(tables_425100!C229,input_425100!A:H,8,FALSE))</f>
        <v>122.19580000000001</v>
      </c>
      <c r="P229" s="46">
        <f t="shared" ca="1" si="13"/>
        <v>4.4924926471414071E-5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input_425100!A$2</f>
        <v>425100</v>
      </c>
      <c r="B230" s="6">
        <v>602</v>
      </c>
      <c r="C230" s="7" t="str">
        <f t="shared" si="12"/>
        <v>PremiumSS4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IFERROR(VLOOKUP(B230,input_425100!L:R,7,FALSE),VLOOKUP(tables_425100!C230,input_425100!A:H,8,FALSE))</f>
        <v>1939.61905</v>
      </c>
      <c r="P230" s="46">
        <f t="shared" ca="1" si="13"/>
        <v>7.1309523898369673E-4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input_425100!A$2</f>
        <v>425100</v>
      </c>
      <c r="B231" s="6">
        <v>603</v>
      </c>
      <c r="C231" s="7" t="str">
        <f t="shared" si="12"/>
        <v>PremiumSS5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IFERROR(VLOOKUP(B231,input_425100!L:R,7,FALSE),VLOOKUP(tables_425100!C231,input_425100!A:H,8,FALSE))</f>
        <v>68</v>
      </c>
      <c r="P231" s="46">
        <f t="shared" ca="1" si="13"/>
        <v>2.5000000000459564E-5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input_425100!A$2</f>
        <v>425100</v>
      </c>
      <c r="B232" s="6">
        <v>604</v>
      </c>
      <c r="C232" s="7" t="str">
        <f t="shared" si="12"/>
        <v>Premium3color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IFERROR(VLOOKUP(B232,input_425100!L:R,7,FALSE),VLOOKUP(tables_425100!C232,input_425100!A:H,8,FALSE))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input_425100!A$2</f>
        <v>425100</v>
      </c>
      <c r="B233" s="6">
        <v>605</v>
      </c>
      <c r="C233" s="7" t="str">
        <f t="shared" si="12"/>
        <v>Premium4color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IFERROR(VLOOKUP(B233,input_425100!L:R,7,FALSE),VLOOKUP(tables_425100!C233,input_425100!A:H,8,FALSE))</f>
        <v>68618.587409999993</v>
      </c>
      <c r="P233" s="46">
        <f t="shared" ca="1" si="13"/>
        <v>2.5227421842375506E-2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input_425100!A$2</f>
        <v>425100</v>
      </c>
      <c r="B234" s="6">
        <v>606</v>
      </c>
      <c r="C234" s="7" t="str">
        <f t="shared" si="12"/>
        <v>Premium5color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IFERROR(VLOOKUP(B234,input_425100!L:R,7,FALSE),VLOOKUP(tables_425100!C234,input_425100!A:H,8,FALSE))</f>
        <v>747.11887999999999</v>
      </c>
      <c r="P234" s="46">
        <f t="shared" ca="1" si="13"/>
        <v>2.7467605882857863E-4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input_425100!A$2</f>
        <v>425100</v>
      </c>
      <c r="B235" s="6">
        <v>658</v>
      </c>
      <c r="C235" s="7" t="str">
        <f t="shared" si="12"/>
        <v>PremiumSS4</v>
      </c>
      <c r="D235" s="7" t="str">
        <f t="shared" si="14"/>
        <v>PremiumSS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IFERROR(VLOOKUP(B235,input_425100!L:R,7,FALSE),VLOOKUP(tables_425100!C235,input_425100!A:H,8,FALSE))</f>
        <v>1939.61905</v>
      </c>
      <c r="P235" s="46">
        <f t="shared" ca="1" si="13"/>
        <v>7.1309523898369673E-4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input_425100!A$2</f>
        <v>425100</v>
      </c>
      <c r="B236" s="6">
        <v>659</v>
      </c>
      <c r="C236" s="7" t="str">
        <f t="shared" si="12"/>
        <v>PremiumSS5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IFERROR(VLOOKUP(B236,input_425100!L:R,7,FALSE),VLOOKUP(tables_425100!C236,input_425100!A:H,8,FALSE))</f>
        <v>68</v>
      </c>
      <c r="P236" s="46">
        <f t="shared" ca="1" si="13"/>
        <v>2.5000000000459564E-5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input_425100!A$2</f>
        <v>425100</v>
      </c>
      <c r="B237" s="6">
        <v>660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IFERROR(VLOOKUP(B237,input_425100!L:R,7,FALSE),VLOOKUP(tables_425100!C237,input_425100!A:H,8,FALSE))</f>
        <v>1939.61905</v>
      </c>
      <c r="P237" s="46">
        <f t="shared" ca="1" si="13"/>
        <v>7.1309523898369673E-4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input_425100!A$2</f>
        <v>425100</v>
      </c>
      <c r="B238" s="6">
        <v>661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IFERROR(VLOOKUP(B238,input_425100!L:R,7,FALSE),VLOOKUP(tables_425100!C238,input_425100!A:H,8,FALSE))</f>
        <v>68</v>
      </c>
      <c r="P238" s="46">
        <f t="shared" ca="1" si="13"/>
        <v>2.5000000000459564E-5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input_425100!A$2</f>
        <v>425100</v>
      </c>
      <c r="B239" s="6">
        <v>662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IFERROR(VLOOKUP(B239,input_425100!L:R,7,FALSE),VLOOKUP(tables_425100!C239,input_425100!A:H,8,FALSE))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input_425100!A$2</f>
        <v>425100</v>
      </c>
      <c r="B240" s="6">
        <v>663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IFERROR(VLOOKUP(B240,input_425100!L:R,7,FALSE),VLOOKUP(tables_425100!C240,input_425100!A:H,8,FALSE))</f>
        <v>14743.85548</v>
      </c>
      <c r="P240" s="46">
        <f t="shared" ca="1" si="13"/>
        <v>5.4205351030408196E-3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input_425100!A$2</f>
        <v>425100</v>
      </c>
      <c r="B241" s="6">
        <v>664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IFERROR(VLOOKUP(B241,input_425100!L:R,7,FALSE),VLOOKUP(tables_425100!C241,input_425100!A:H,8,FALSE))</f>
        <v>122.19580000000001</v>
      </c>
      <c r="P241" s="46">
        <f t="shared" ca="1" si="13"/>
        <v>4.4924926471414071E-5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input_425100!A$2</f>
        <v>425100</v>
      </c>
      <c r="B242" s="6">
        <v>665</v>
      </c>
      <c r="C242" s="7" t="str">
        <f t="shared" si="12"/>
        <v>Premium3color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IFERROR(VLOOKUP(B242,input_425100!L:R,7,FALSE),VLOOKUP(tables_425100!C242,input_425100!A:H,8,FALSE))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input_425100!A$2</f>
        <v>425100</v>
      </c>
      <c r="B243" s="6">
        <v>666</v>
      </c>
      <c r="C243" s="7" t="str">
        <f t="shared" si="12"/>
        <v>Premium4color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IFERROR(VLOOKUP(B243,input_425100!L:R,7,FALSE),VLOOKUP(tables_425100!C243,input_425100!A:H,8,FALSE))</f>
        <v>68618.587409999993</v>
      </c>
      <c r="P243" s="46">
        <f t="shared" ca="1" si="13"/>
        <v>2.5227421842375506E-2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input_425100!A$2</f>
        <v>425100</v>
      </c>
      <c r="B244" s="6">
        <v>667</v>
      </c>
      <c r="C244" s="7" t="str">
        <f t="shared" si="12"/>
        <v>Premium5color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IFERROR(VLOOKUP(B244,input_425100!L:R,7,FALSE),VLOOKUP(tables_425100!C244,input_425100!A:H,8,FALSE))</f>
        <v>747.11887999999999</v>
      </c>
      <c r="P244" s="46">
        <f t="shared" ca="1" si="13"/>
        <v>2.7467605882857863E-4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input_425100!A$2</f>
        <v>425100</v>
      </c>
      <c r="B245" s="60">
        <v>668</v>
      </c>
      <c r="C245" s="7" t="str">
        <f t="shared" si="12"/>
        <v>Premium3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IFERROR(VLOOKUP(B245,input_425100!L:R,7,FALSE),VLOOKUP(tables_425100!C245,input_425100!A:H,8,FALSE))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input_425100!A$2</f>
        <v>425100</v>
      </c>
      <c r="B246" s="60">
        <v>669</v>
      </c>
      <c r="C246" s="7" t="str">
        <f t="shared" si="12"/>
        <v>Premium4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IFERROR(VLOOKUP(B246,input_425100!L:R,7,FALSE),VLOOKUP(tables_425100!C246,input_425100!A:H,8,FALSE))</f>
        <v>14743.85548</v>
      </c>
      <c r="P246" s="46">
        <f t="shared" ca="1" si="13"/>
        <v>5.4205351030408196E-3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input_425100!A$2</f>
        <v>425100</v>
      </c>
      <c r="B247" s="60">
        <v>670</v>
      </c>
      <c r="C247" s="7" t="str">
        <f t="shared" si="12"/>
        <v>Premium5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IFERROR(VLOOKUP(B247,input_425100!L:R,7,FALSE),VLOOKUP(tables_425100!C247,input_425100!A:H,8,FALSE))</f>
        <v>122.19580000000001</v>
      </c>
      <c r="P247" s="46">
        <f t="shared" ca="1" si="13"/>
        <v>4.4924926471414071E-5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input_425100!A$2</f>
        <v>425100</v>
      </c>
      <c r="B248" s="60">
        <v>671</v>
      </c>
      <c r="C248" s="7" t="str">
        <f t="shared" si="12"/>
        <v>Premium3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IFERROR(VLOOKUP(B248,input_425100!L:R,7,FALSE),VLOOKUP(tables_425100!C248,input_425100!A:H,8,FALSE))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input_425100!A$2</f>
        <v>425100</v>
      </c>
      <c r="B249" s="60">
        <v>672</v>
      </c>
      <c r="C249" s="7" t="str">
        <f t="shared" si="12"/>
        <v>Premium4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IFERROR(VLOOKUP(B249,input_425100!L:R,7,FALSE),VLOOKUP(tables_425100!C249,input_425100!A:H,8,FALSE))</f>
        <v>14743.85548</v>
      </c>
      <c r="P249" s="46">
        <f t="shared" ca="1" si="13"/>
        <v>5.4205351030408196E-3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input_425100!A$2</f>
        <v>425100</v>
      </c>
      <c r="B250" s="60">
        <v>673</v>
      </c>
      <c r="C250" s="7" t="str">
        <f t="shared" si="12"/>
        <v>Premium5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IFERROR(VLOOKUP(B250,input_425100!L:R,7,FALSE),VLOOKUP(tables_425100!C250,input_425100!A:H,8,FALSE))</f>
        <v>122.19580000000001</v>
      </c>
      <c r="P250" s="46">
        <f t="shared" ca="1" si="13"/>
        <v>4.4924926471414071E-5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input_425100!A$2</f>
        <v>425100</v>
      </c>
      <c r="B251" s="60">
        <v>674</v>
      </c>
      <c r="C251" s="7" t="str">
        <f t="shared" si="12"/>
        <v>PremiumSS4</v>
      </c>
      <c r="D251" s="7" t="str">
        <f t="shared" si="14"/>
        <v>PremiumSS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IFERROR(VLOOKUP(B251,input_425100!L:R,7,FALSE),VLOOKUP(tables_425100!C251,input_425100!A:H,8,FALSE))</f>
        <v>1939.61905</v>
      </c>
      <c r="P251" s="46">
        <f t="shared" ca="1" si="13"/>
        <v>7.1309523898369673E-4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input_425100!A$2</f>
        <v>425100</v>
      </c>
      <c r="B252" s="60">
        <v>675</v>
      </c>
      <c r="C252" s="7" t="str">
        <f t="shared" si="12"/>
        <v>PremiumSS5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IFERROR(VLOOKUP(B252,input_425100!L:R,7,FALSE),VLOOKUP(tables_425100!C252,input_425100!A:H,8,FALSE))</f>
        <v>68</v>
      </c>
      <c r="P252" s="46">
        <f t="shared" ca="1" si="13"/>
        <v>2.5000000000459564E-5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input_425100!A$2</f>
        <v>425100</v>
      </c>
      <c r="B253" s="60">
        <v>676</v>
      </c>
      <c r="C253" s="7" t="str">
        <f t="shared" si="12"/>
        <v>PremiumSS4color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IFERROR(VLOOKUP(B253,input_425100!L:R,7,FALSE),VLOOKUP(tables_425100!C253,input_425100!A:H,8,FALSE))</f>
        <v>7480</v>
      </c>
      <c r="P253" s="46">
        <f t="shared" ca="1" si="13"/>
        <v>2.7500000000505519E-3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input_425100!A$2</f>
        <v>425100</v>
      </c>
      <c r="B254" s="60">
        <v>677</v>
      </c>
      <c r="C254" s="7" t="str">
        <f t="shared" si="12"/>
        <v>PremiumSS5color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IFERROR(VLOOKUP(B254,input_425100!L:R,7,FALSE),VLOOKUP(tables_425100!C254,input_425100!A:H,8,FALSE))</f>
        <v>291.42856999999998</v>
      </c>
      <c r="P254" s="46">
        <f t="shared" ca="1" si="13"/>
        <v>1.071428566196166E-4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input_425100!A$2</f>
        <v>425100</v>
      </c>
      <c r="B255" s="60">
        <v>728</v>
      </c>
      <c r="C255" s="7" t="str">
        <f t="shared" si="12"/>
        <v>Premium4R3less</v>
      </c>
      <c r="D255" s="7" t="str">
        <f t="shared" si="14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IFERROR(VLOOKUP(B255,input_425100!L:R,7,FALSE),VLOOKUP(tables_425100!C255,input_425100!A:H,8,FALSE))</f>
        <v>14136</v>
      </c>
      <c r="P255" s="46">
        <f t="shared" ca="1" si="13"/>
        <v>5.1970588236249469E-3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input_425100!A$2</f>
        <v>425100</v>
      </c>
      <c r="B256" s="60">
        <v>729</v>
      </c>
      <c r="C256" s="7" t="str">
        <f t="shared" si="12"/>
        <v>Premium5R3less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IFERROR(VLOOKUP(B256,input_425100!L:R,7,FALSE),VLOOKUP(tables_425100!C256,input_425100!A:H,8,FALSE))</f>
        <v>744</v>
      </c>
      <c r="P256" s="46">
        <f t="shared" ca="1" si="13"/>
        <v>2.7352941176973404E-4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input_425100!A$2</f>
        <v>425100</v>
      </c>
      <c r="B257" s="60">
        <v>730</v>
      </c>
      <c r="C257" s="7" t="str">
        <f t="shared" si="12"/>
        <v>Premium4R3less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IFERROR(VLOOKUP(B257,input_425100!L:R,7,FALSE),VLOOKUP(tables_425100!C257,input_425100!A:H,8,FALSE))</f>
        <v>14136</v>
      </c>
      <c r="P257" s="46">
        <f t="shared" ca="1" si="13"/>
        <v>5.1970588236249469E-3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input_425100!A$2</f>
        <v>425100</v>
      </c>
      <c r="B258" s="60">
        <v>731</v>
      </c>
      <c r="C258" s="7" t="str">
        <f t="shared" ref="C258:C284" si="16">D258&amp;J258&amp;E258&amp;F258&amp;G258</f>
        <v>Premium5R3less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IFERROR(VLOOKUP(B258,input_425100!L:R,7,FALSE),VLOOKUP(tables_425100!C258,input_425100!A:H,8,FALSE))</f>
        <v>744</v>
      </c>
      <c r="P258" s="46">
        <f t="shared" ref="P258:P305" ca="1" si="17">O258/SUM(O:O)</f>
        <v>2.7352941176973404E-4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input_425100!A$2</f>
        <v>425100</v>
      </c>
      <c r="B259" s="60">
        <v>732</v>
      </c>
      <c r="C259" s="7" t="str">
        <f t="shared" si="16"/>
        <v>PremiumSS5R5only</v>
      </c>
      <c r="D259" s="7" t="str">
        <f t="shared" ref="D259:D305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>R5only</v>
      </c>
      <c r="F259" s="7" t="str">
        <f>IF(COUNTIF('R6開放'!A:A,B259)&gt;0,"R6release","")</f>
        <v/>
      </c>
      <c r="G259" s="7" t="str">
        <f t="shared" ref="G259:G319" si="19">IF(K259="yellow","color","")</f>
        <v/>
      </c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IFERROR(VLOOKUP(B259,input_425100!L:R,7,FALSE),VLOOKUP(tables_425100!C259,input_425100!A:H,8,FALSE))</f>
        <v>1360</v>
      </c>
      <c r="P259" s="46">
        <f t="shared" ca="1" si="17"/>
        <v>5.0000000000919123E-4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input_425100!A$2</f>
        <v>425100</v>
      </c>
      <c r="B260" s="60">
        <v>734</v>
      </c>
      <c r="C260" s="7" t="str">
        <f t="shared" si="16"/>
        <v>PremiumSS5R5onlycolor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IFERROR(VLOOKUP(B260,input_425100!L:R,7,FALSE),VLOOKUP(tables_425100!C260,input_425100!A:H,8,FALSE))</f>
        <v>1942.8571400000001</v>
      </c>
      <c r="P260" s="46">
        <f t="shared" ca="1" si="17"/>
        <v>7.1428571324842446E-4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input_425100!A$2</f>
        <v>425100</v>
      </c>
      <c r="B261" s="60">
        <v>770</v>
      </c>
      <c r="C261" s="7" t="str">
        <f t="shared" si="16"/>
        <v>PremiumSS4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IFERROR(VLOOKUP(B261,input_425100!L:R,7,FALSE),VLOOKUP(tables_425100!C261,input_425100!A:H,8,FALSE))</f>
        <v>1939.61905</v>
      </c>
      <c r="P261" s="46">
        <f t="shared" ca="1" si="17"/>
        <v>7.1309523898369673E-4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input_425100!A$2</f>
        <v>425100</v>
      </c>
      <c r="B262" s="60">
        <v>771</v>
      </c>
      <c r="C262" s="7" t="str">
        <f t="shared" si="16"/>
        <v>PremiumSS5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IFERROR(VLOOKUP(B262,input_425100!L:R,7,FALSE),VLOOKUP(tables_425100!C262,input_425100!A:H,8,FALSE))</f>
        <v>68</v>
      </c>
      <c r="P262" s="46">
        <f t="shared" ca="1" si="17"/>
        <v>2.5000000000459564E-5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input_425100!A$2</f>
        <v>425100</v>
      </c>
      <c r="B263" s="60">
        <v>772</v>
      </c>
      <c r="C263" s="7" t="str">
        <f t="shared" si="16"/>
        <v>PremiumSS4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IFERROR(VLOOKUP(B263,input_425100!L:R,7,FALSE),VLOOKUP(tables_425100!C263,input_425100!A:H,8,FALSE))</f>
        <v>1939.61905</v>
      </c>
      <c r="P263" s="46">
        <f t="shared" ca="1" si="17"/>
        <v>7.1309523898369673E-4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input_425100!A$2</f>
        <v>425100</v>
      </c>
      <c r="B264" s="60">
        <v>773</v>
      </c>
      <c r="C264" s="7" t="str">
        <f t="shared" si="16"/>
        <v>PremiumSS5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IFERROR(VLOOKUP(B264,input_425100!L:R,7,FALSE),VLOOKUP(tables_425100!C264,input_425100!A:H,8,FALSE))</f>
        <v>68</v>
      </c>
      <c r="P264" s="46">
        <f t="shared" ca="1" si="17"/>
        <v>2.5000000000459564E-5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input_425100!A$2</f>
        <v>425100</v>
      </c>
      <c r="B265" s="60">
        <v>774</v>
      </c>
      <c r="C265" s="7" t="str">
        <f t="shared" si="16"/>
        <v>Premium3</v>
      </c>
      <c r="D265" s="7" t="str">
        <f t="shared" si="18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IFERROR(VLOOKUP(B265,input_425100!L:R,7,FALSE),VLOOKUP(tables_425100!C265,input_425100!A:H,8,FALSE))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input_425100!A$2</f>
        <v>425100</v>
      </c>
      <c r="B266" s="60">
        <v>775</v>
      </c>
      <c r="C266" s="7" t="str">
        <f t="shared" si="16"/>
        <v>Premium4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IFERROR(VLOOKUP(B266,input_425100!L:R,7,FALSE),VLOOKUP(tables_425100!C266,input_425100!A:H,8,FALSE))</f>
        <v>14743.85548</v>
      </c>
      <c r="P266" s="46">
        <f t="shared" ca="1" si="17"/>
        <v>5.4205351030408196E-3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input_425100!A$2</f>
        <v>425100</v>
      </c>
      <c r="B267" s="60">
        <v>776</v>
      </c>
      <c r="C267" s="7" t="str">
        <f t="shared" si="16"/>
        <v>Premium5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IFERROR(VLOOKUP(B267,input_425100!L:R,7,FALSE),VLOOKUP(tables_425100!C267,input_425100!A:H,8,FALSE))</f>
        <v>122.19580000000001</v>
      </c>
      <c r="P267" s="46">
        <f t="shared" ca="1" si="17"/>
        <v>4.4924926471414071E-5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input_425100!A$2</f>
        <v>425100</v>
      </c>
      <c r="B268" s="60">
        <v>777</v>
      </c>
      <c r="C268" s="7" t="str">
        <f t="shared" si="16"/>
        <v>Premium3color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IFERROR(VLOOKUP(B268,input_425100!L:R,7,FALSE),VLOOKUP(tables_425100!C268,input_425100!A:H,8,FALSE))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input_425100!A$2</f>
        <v>425100</v>
      </c>
      <c r="B269" s="60">
        <v>778</v>
      </c>
      <c r="C269" s="7" t="str">
        <f t="shared" si="16"/>
        <v>Premium4color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IFERROR(VLOOKUP(B269,input_425100!L:R,7,FALSE),VLOOKUP(tables_425100!C269,input_425100!A:H,8,FALSE))</f>
        <v>68618.587409999993</v>
      </c>
      <c r="P269" s="46">
        <f t="shared" ca="1" si="17"/>
        <v>2.5227421842375506E-2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input_425100!A$2</f>
        <v>425100</v>
      </c>
      <c r="B270" s="60">
        <v>779</v>
      </c>
      <c r="C270" s="7" t="str">
        <f t="shared" si="16"/>
        <v>Premium5color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IFERROR(VLOOKUP(B270,input_425100!L:R,7,FALSE),VLOOKUP(tables_425100!C270,input_425100!A:H,8,FALSE))</f>
        <v>747.11887999999999</v>
      </c>
      <c r="P270" s="46">
        <f t="shared" ca="1" si="17"/>
        <v>2.7467605882857863E-4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input_425100!A$2</f>
        <v>425100</v>
      </c>
      <c r="B271" s="82">
        <v>848</v>
      </c>
      <c r="C271" s="7" t="str">
        <f t="shared" si="16"/>
        <v>PremiumSS5R5only</v>
      </c>
      <c r="D271" s="7" t="str">
        <f t="shared" si="18"/>
        <v>PremiumSS</v>
      </c>
      <c r="E271" s="7" t="str">
        <f>IF(COUNTIF('R6追加前'!A:A,B271)=0,IF(OR(I271="PremiumSS",I271="PremiumSSw"),"R5only","R3less"),"")</f>
        <v>R5only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IFERROR(VLOOKUP(B271,input_425100!L:R,7,FALSE),VLOOKUP(tables_425100!C271,input_425100!A:H,8,FALSE))</f>
        <v>1360</v>
      </c>
      <c r="P271" s="46">
        <f t="shared" ca="1" si="17"/>
        <v>5.0000000000919123E-4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input_425100!A$2</f>
        <v>425100</v>
      </c>
      <c r="B272" s="82">
        <v>850</v>
      </c>
      <c r="C272" s="7" t="str">
        <f t="shared" si="16"/>
        <v>PremiumSS5R5only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IFERROR(VLOOKUP(B272,input_425100!L:R,7,FALSE),VLOOKUP(tables_425100!C272,input_425100!A:H,8,FALSE))</f>
        <v>1360</v>
      </c>
      <c r="P272" s="46">
        <f t="shared" ca="1" si="17"/>
        <v>5.0000000000919123E-4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input_425100!A$2</f>
        <v>425100</v>
      </c>
      <c r="B273" s="82">
        <v>852</v>
      </c>
      <c r="C273" s="7" t="str">
        <f t="shared" si="16"/>
        <v>Premium4R3less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IFERROR(VLOOKUP(B273,input_425100!L:R,7,FALSE),VLOOKUP(tables_425100!C273,input_425100!A:H,8,FALSE))</f>
        <v>14136</v>
      </c>
      <c r="P273" s="46">
        <f t="shared" ca="1" si="17"/>
        <v>5.1970588236249469E-3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input_425100!A$2</f>
        <v>425100</v>
      </c>
      <c r="B274" s="82">
        <v>853</v>
      </c>
      <c r="C274" s="7" t="str">
        <f t="shared" si="16"/>
        <v>Premium5R3less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IFERROR(VLOOKUP(B274,input_425100!L:R,7,FALSE),VLOOKUP(tables_425100!C274,input_425100!A:H,8,FALSE))</f>
        <v>744</v>
      </c>
      <c r="P274" s="46">
        <f t="shared" ca="1" si="17"/>
        <v>2.7352941176973404E-4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input_425100!A$2</f>
        <v>425100</v>
      </c>
      <c r="B275" s="82">
        <v>854</v>
      </c>
      <c r="C275" s="7" t="str">
        <f t="shared" si="16"/>
        <v>Premium4R3lesscolor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IFERROR(VLOOKUP(B275,input_425100!L:R,7,FALSE),VLOOKUP(tables_425100!C275,input_425100!A:H,8,FALSE))</f>
        <v>65539.636360000004</v>
      </c>
      <c r="P275" s="46">
        <f t="shared" ca="1" si="17"/>
        <v>2.4095454544560583E-2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input_425100!A$2</f>
        <v>425100</v>
      </c>
      <c r="B276" s="82">
        <v>855</v>
      </c>
      <c r="C276" s="7" t="str">
        <f t="shared" si="16"/>
        <v>Premium5R3lesscolor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IFERROR(VLOOKUP(B276,input_425100!L:R,7,FALSE),VLOOKUP(tables_425100!C276,input_425100!A:H,8,FALSE))</f>
        <v>3449.4545499999999</v>
      </c>
      <c r="P276" s="46">
        <f t="shared" ca="1" si="17"/>
        <v>1.2681818198762534E-3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input_425100!A$2</f>
        <v>425100</v>
      </c>
      <c r="B277" s="82">
        <v>862</v>
      </c>
      <c r="C277" s="7" t="str">
        <f t="shared" si="16"/>
        <v>Premium4R3less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IFERROR(VLOOKUP(B277,input_425100!L:R,7,FALSE),VLOOKUP(tables_425100!C277,input_425100!A:H,8,FALSE))</f>
        <v>14136</v>
      </c>
      <c r="P277" s="46">
        <f t="shared" ca="1" si="17"/>
        <v>5.1970588236249469E-3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input_425100!A$2</f>
        <v>425100</v>
      </c>
      <c r="B278" s="82">
        <v>863</v>
      </c>
      <c r="C278" s="7" t="str">
        <f t="shared" si="16"/>
        <v>Premium5R3less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IFERROR(VLOOKUP(B278,input_425100!L:R,7,FALSE),VLOOKUP(tables_425100!C278,input_425100!A:H,8,FALSE))</f>
        <v>744</v>
      </c>
      <c r="P278" s="46">
        <f t="shared" ca="1" si="17"/>
        <v>2.7352941176973404E-4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input_425100!A$2</f>
        <v>425100</v>
      </c>
      <c r="B279" s="82">
        <v>864</v>
      </c>
      <c r="C279" s="7" t="str">
        <f t="shared" si="16"/>
        <v>Premium4R3less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IFERROR(VLOOKUP(B279,input_425100!L:R,7,FALSE),VLOOKUP(tables_425100!C279,input_425100!A:H,8,FALSE))</f>
        <v>14136</v>
      </c>
      <c r="P279" s="46">
        <f t="shared" ca="1" si="17"/>
        <v>5.1970588236249469E-3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input_425100!A$2</f>
        <v>425100</v>
      </c>
      <c r="B280" s="82">
        <v>865</v>
      </c>
      <c r="C280" s="7" t="str">
        <f t="shared" si="16"/>
        <v>Premium5R3less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IFERROR(VLOOKUP(B280,input_425100!L:R,7,FALSE),VLOOKUP(tables_425100!C280,input_425100!A:H,8,FALSE))</f>
        <v>744</v>
      </c>
      <c r="P280" s="46">
        <f t="shared" ca="1" si="17"/>
        <v>2.7352941176973404E-4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input_425100!A$2</f>
        <v>425100</v>
      </c>
      <c r="B281" s="82">
        <v>866</v>
      </c>
      <c r="C281" s="7" t="str">
        <f t="shared" si="16"/>
        <v>PremiumSS5R5only</v>
      </c>
      <c r="D281" s="7" t="str">
        <f t="shared" si="18"/>
        <v>PremiumSS</v>
      </c>
      <c r="E281" s="7" t="str">
        <f>IF(COUNTIF('R6追加前'!A:A,B281)=0,IF(OR(I281="PremiumSS",I281="PremiumSSw"),"R5only","R3less"),"")</f>
        <v>R5only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IFERROR(VLOOKUP(B281,input_425100!L:R,7,FALSE),VLOOKUP(tables_425100!C281,input_425100!A:H,8,FALSE))</f>
        <v>1360</v>
      </c>
      <c r="P281" s="46">
        <f t="shared" ca="1" si="17"/>
        <v>5.0000000000919123E-4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input_425100!A$2</f>
        <v>425100</v>
      </c>
      <c r="B282" s="82">
        <v>868</v>
      </c>
      <c r="C282" s="7" t="str">
        <f t="shared" si="16"/>
        <v>PremiumSS5R5onlycolor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IFERROR(VLOOKUP(B282,input_425100!L:R,7,FALSE),VLOOKUP(tables_425100!C282,input_425100!A:H,8,FALSE))</f>
        <v>1942.8571400000001</v>
      </c>
      <c r="P282" s="46">
        <f t="shared" ca="1" si="17"/>
        <v>7.1428571324842446E-4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input_425100!A$2</f>
        <v>425100</v>
      </c>
      <c r="B283" s="5">
        <v>742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IFERROR(VLOOKUP(B283,input_425100!L:R,7,FALSE),VLOOKUP(tables_425100!C283,input_425100!A:H,8,FALSE))</f>
        <v>1360</v>
      </c>
      <c r="P283" s="46">
        <f t="shared" ca="1" si="17"/>
        <v>5.0000000000919123E-4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input_425100!A$2</f>
        <v>425100</v>
      </c>
      <c r="B284" s="5">
        <v>744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IFERROR(VLOOKUP(B284,input_425100!L:R,7,FALSE),VLOOKUP(tables_425100!C284,input_425100!A:H,8,FALSE))</f>
        <v>1360</v>
      </c>
      <c r="P284" s="46">
        <f t="shared" ca="1" si="17"/>
        <v>5.0000000000919123E-4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input_425100!A$2</f>
        <v>425100</v>
      </c>
      <c r="B285" s="5">
        <v>746</v>
      </c>
      <c r="C285" s="7" t="str">
        <f t="shared" ref="C285:C290" si="20">D285&amp;J285&amp;E285&amp;F285&amp;G285</f>
        <v>Premium4R3less</v>
      </c>
      <c r="D285" s="7" t="str">
        <f t="shared" si="18"/>
        <v>Premium</v>
      </c>
      <c r="E285" s="7" t="str">
        <f>IF(COUNTIF('R6追加前'!A:A,B285)=0,IF(OR(I285="PremiumSS",I285="PremiumSSw"),"R5only","R3less"),"")</f>
        <v>R3less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IFERROR(VLOOKUP(B285,input_425100!L:R,7,FALSE),VLOOKUP(tables_425100!C285,input_425100!A:H,8,FALSE))</f>
        <v>14136</v>
      </c>
      <c r="P285" s="46">
        <f t="shared" ca="1" si="17"/>
        <v>5.1970588236249469E-3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input_425100!A$2</f>
        <v>425100</v>
      </c>
      <c r="B286" s="5">
        <v>747</v>
      </c>
      <c r="C286" s="7" t="str">
        <f t="shared" si="20"/>
        <v>Premium5R3less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IFERROR(VLOOKUP(B286,input_425100!L:R,7,FALSE),VLOOKUP(tables_425100!C286,input_425100!A:H,8,FALSE))</f>
        <v>744</v>
      </c>
      <c r="P286" s="46">
        <f t="shared" ca="1" si="17"/>
        <v>2.7352941176973404E-4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input_425100!A$2</f>
        <v>425100</v>
      </c>
      <c r="B287" s="5">
        <v>748</v>
      </c>
      <c r="C287" s="7" t="str">
        <f t="shared" si="20"/>
        <v>Premium4R3lesscolor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IFERROR(VLOOKUP(B287,input_425100!L:R,7,FALSE),VLOOKUP(tables_425100!C287,input_425100!A:H,8,FALSE))</f>
        <v>65539.636360000004</v>
      </c>
      <c r="P287" s="46">
        <f t="shared" ca="1" si="17"/>
        <v>2.4095454544560583E-2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input_425100!A$2</f>
        <v>425100</v>
      </c>
      <c r="B288" s="5">
        <v>749</v>
      </c>
      <c r="C288" s="7" t="str">
        <f t="shared" si="20"/>
        <v>Premium5R3lesscolor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IFERROR(VLOOKUP(B288,input_425100!L:R,7,FALSE),VLOOKUP(tables_425100!C288,input_425100!A:H,8,FALSE))</f>
        <v>3449.4545499999999</v>
      </c>
      <c r="P288" s="46">
        <f t="shared" ca="1" si="17"/>
        <v>1.2681818198762534E-3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input_425100!A$2</f>
        <v>425100</v>
      </c>
      <c r="B289" s="5">
        <v>937</v>
      </c>
      <c r="C289" s="7" t="str">
        <f t="shared" si="20"/>
        <v>PremiumSS5R5only</v>
      </c>
      <c r="D289" s="7" t="str">
        <f t="shared" si="18"/>
        <v>PremiumSS</v>
      </c>
      <c r="E289" s="7" t="str">
        <f>IF(COUNTIF('R6追加前'!A:A,B289)=0,IF(OR(I289="PremiumSS",I289="PremiumSSw"),"R5only","R3less"),"")</f>
        <v>R5only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IFERROR(VLOOKUP(B289,input_425100!L:R,7,FALSE),VLOOKUP(tables_425100!C289,input_425100!A:H,8,FALSE))</f>
        <v>1360</v>
      </c>
      <c r="P289" s="46">
        <f t="shared" ca="1" si="17"/>
        <v>5.0000000000919123E-4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input_425100!A$2</f>
        <v>425100</v>
      </c>
      <c r="B290" s="5">
        <v>939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IFERROR(VLOOKUP(B290,input_425100!L:R,7,FALSE),VLOOKUP(tables_425100!C290,input_425100!A:H,8,FALSE))</f>
        <v>14136</v>
      </c>
      <c r="P290" s="46">
        <f t="shared" ca="1" si="17"/>
        <v>5.1970588236249469E-3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input_425100!A$2</f>
        <v>425100</v>
      </c>
      <c r="B291" s="5">
        <v>940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IFERROR(VLOOKUP(B291,input_425100!L:R,7,FALSE),VLOOKUP(tables_425100!C291,input_425100!A:H,8,FALSE))</f>
        <v>744</v>
      </c>
      <c r="P291" s="46">
        <f t="shared" ca="1" si="17"/>
        <v>2.7352941176973404E-4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input_425100!A$2</f>
        <v>425100</v>
      </c>
      <c r="B292" s="5">
        <v>941</v>
      </c>
      <c r="C292" s="7" t="str">
        <f t="shared" si="21"/>
        <v>PremiumSS5R5only</v>
      </c>
      <c r="D292" s="7" t="str">
        <f t="shared" si="18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IFERROR(VLOOKUP(B292,input_425100!L:R,7,FALSE),VLOOKUP(tables_425100!C292,input_425100!A:H,8,FALSE))</f>
        <v>1360</v>
      </c>
      <c r="P292" s="46">
        <f t="shared" ca="1" si="17"/>
        <v>5.0000000000919123E-4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input_425100!A$2</f>
        <v>425100</v>
      </c>
      <c r="B293" s="5">
        <v>943</v>
      </c>
      <c r="C293" s="7" t="str">
        <f t="shared" si="21"/>
        <v>PremiumSS5R5onlycolor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IFERROR(VLOOKUP(B293,input_425100!L:R,7,FALSE),VLOOKUP(tables_425100!C293,input_425100!A:H,8,FALSE))</f>
        <v>1942.8571400000001</v>
      </c>
      <c r="P293" s="46">
        <f t="shared" ca="1" si="17"/>
        <v>7.1428571324842446E-4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input_425100!A$2</f>
        <v>425100</v>
      </c>
      <c r="B294" s="5">
        <v>1012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IFERROR(VLOOKUP(B294,input_425100!L:R,7,FALSE),VLOOKUP(tables_425100!C294,input_425100!A:H,8,FALSE))</f>
        <v>1360</v>
      </c>
      <c r="P294" s="46">
        <f t="shared" ca="1" si="17"/>
        <v>5.0000000000919123E-4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input_425100!A$2</f>
        <v>425100</v>
      </c>
      <c r="B295" s="5">
        <v>1014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IFERROR(VLOOKUP(B295,input_425100!L:R,7,FALSE),VLOOKUP(tables_425100!C295,input_425100!A:H,8,FALSE))</f>
        <v>1360</v>
      </c>
      <c r="P295" s="46">
        <f t="shared" ca="1" si="17"/>
        <v>5.0000000000919123E-4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input_425100!A$2</f>
        <v>425100</v>
      </c>
      <c r="B296" s="5">
        <v>1016</v>
      </c>
      <c r="C296" s="7" t="str">
        <f t="shared" si="21"/>
        <v>Premium4R3less</v>
      </c>
      <c r="D296" s="7" t="str">
        <f t="shared" si="18"/>
        <v>Premium</v>
      </c>
      <c r="E296" s="7" t="str">
        <f>IF(COUNTIF('R6追加前'!A:A,B296)=0,IF(OR(I296="PremiumSS",I296="PremiumSSw"),"R5only","R3less"),"")</f>
        <v>R3less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IFERROR(VLOOKUP(B296,input_425100!L:R,7,FALSE),VLOOKUP(tables_425100!C296,input_425100!A:H,8,FALSE))</f>
        <v>14136</v>
      </c>
      <c r="P296" s="46">
        <f t="shared" ca="1" si="17"/>
        <v>5.1970588236249469E-3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input_425100!A$2</f>
        <v>425100</v>
      </c>
      <c r="B297" s="5">
        <v>1017</v>
      </c>
      <c r="C297" s="7" t="str">
        <f t="shared" si="21"/>
        <v>Premium5R3less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IFERROR(VLOOKUP(B297,input_425100!L:R,7,FALSE),VLOOKUP(tables_425100!C297,input_425100!A:H,8,FALSE))</f>
        <v>744</v>
      </c>
      <c r="P297" s="46">
        <f t="shared" ca="1" si="17"/>
        <v>2.7352941176973404E-4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input_425100!A$2</f>
        <v>425100</v>
      </c>
      <c r="B298" s="5">
        <v>1018</v>
      </c>
      <c r="C298" s="7" t="str">
        <f t="shared" si="21"/>
        <v>PremiumSS5R5onlycolor</v>
      </c>
      <c r="D298" s="7" t="str">
        <f t="shared" si="18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IFERROR(VLOOKUP(B298,input_425100!L:R,7,FALSE),VLOOKUP(tables_425100!C298,input_425100!A:H,8,FALSE))</f>
        <v>1942.8571400000001</v>
      </c>
      <c r="P298" s="46">
        <f t="shared" ca="1" si="17"/>
        <v>7.1428571324842446E-4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input_425100!A$2</f>
        <v>425100</v>
      </c>
      <c r="B299" s="5">
        <v>1026</v>
      </c>
      <c r="C299" s="7" t="str">
        <f t="shared" si="21"/>
        <v>Premium4R3less</v>
      </c>
      <c r="D299" s="7" t="str">
        <f t="shared" si="18"/>
        <v>Premium</v>
      </c>
      <c r="E299" s="7" t="str">
        <f>IF(COUNTIF('R6追加前'!A:A,B299)=0,IF(OR(I299="PremiumSS",I299="PremiumSSw"),"R5only","R3less"),"")</f>
        <v>R3less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IFERROR(VLOOKUP(B299,input_425100!L:R,7,FALSE),VLOOKUP(tables_425100!C299,input_425100!A:H,8,FALSE))</f>
        <v>14136</v>
      </c>
      <c r="P299" s="46">
        <f t="shared" ca="1" si="17"/>
        <v>5.1970588236249469E-3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input_425100!A$2</f>
        <v>425100</v>
      </c>
      <c r="B300" s="5">
        <v>1027</v>
      </c>
      <c r="C300" s="7" t="str">
        <f t="shared" si="21"/>
        <v>Premium5R3less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IFERROR(VLOOKUP(B300,input_425100!L:R,7,FALSE),VLOOKUP(tables_425100!C300,input_425100!A:H,8,FALSE))</f>
        <v>744</v>
      </c>
      <c r="P300" s="46">
        <f t="shared" ca="1" si="17"/>
        <v>2.7352941176973404E-4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input_425100!A$2</f>
        <v>425100</v>
      </c>
      <c r="B301" s="5">
        <v>1028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IFERROR(VLOOKUP(B301,input_425100!L:R,7,FALSE),VLOOKUP(tables_425100!C301,input_425100!A:H,8,FALSE))</f>
        <v>1360</v>
      </c>
      <c r="P301" s="46">
        <f t="shared" ca="1" si="17"/>
        <v>5.0000000000919123E-4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input_425100!A$2</f>
        <v>425100</v>
      </c>
      <c r="B302" s="5">
        <v>1031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IFERROR(VLOOKUP(B302,input_425100!L:R,7,FALSE),VLOOKUP(tables_425100!C302,input_425100!A:H,8,FALSE))</f>
        <v>1360</v>
      </c>
      <c r="P302" s="46">
        <f t="shared" ca="1" si="17"/>
        <v>5.0000000000919123E-4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input_425100!A$2</f>
        <v>425100</v>
      </c>
      <c r="B303" s="5">
        <v>1033</v>
      </c>
      <c r="C303" s="7" t="str">
        <f t="shared" si="22"/>
        <v>PremiumSS5R5onlycolor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IFERROR(VLOOKUP(B303,input_425100!L:R,7,FALSE),VLOOKUP(tables_425100!C303,input_425100!A:H,8,FALSE))</f>
        <v>1942.8571400000001</v>
      </c>
      <c r="P303" s="46">
        <f t="shared" ca="1" si="17"/>
        <v>7.1428571324842446E-4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input_425100!A$2</f>
        <v>425100</v>
      </c>
      <c r="B304" s="5">
        <v>1067</v>
      </c>
      <c r="C304" s="7" t="str">
        <f t="shared" si="22"/>
        <v>Premium4R3less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ウシュムガル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red</v>
      </c>
      <c r="L304" s="7" t="str">
        <f>VLOOKUP(B304,[1]characters!$A:$K,11,FALSE)</f>
        <v>balance</v>
      </c>
      <c r="M304" s="7" t="str">
        <f>VLOOKUP(B304,[1]characters!$A:$M,13,FALSE)</f>
        <v>dragon</v>
      </c>
      <c r="N304" s="7" t="str">
        <f>VLOOKUP(B304,[1]characters!$A:$G,7,FALSE)</f>
        <v>男性</v>
      </c>
      <c r="O304" s="45">
        <f ca="1">IFERROR(VLOOKUP(B304,input_425100!L:R,7,FALSE),VLOOKUP(tables_425100!C304,input_425100!A:H,8,FALSE))</f>
        <v>14136</v>
      </c>
      <c r="P304" s="46">
        <f t="shared" ca="1" si="17"/>
        <v>5.1970588236249469E-3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input_425100!A$2</f>
        <v>425100</v>
      </c>
      <c r="B305" s="5">
        <v>1068</v>
      </c>
      <c r="C305" s="7" t="str">
        <f t="shared" si="22"/>
        <v>Premium5R3less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想母の羽龍 ウシュムガル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IFERROR(VLOOKUP(B305,input_425100!L:R,7,FALSE),VLOOKUP(tables_425100!C305,input_425100!A:H,8,FALSE))</f>
        <v>744</v>
      </c>
      <c r="P305" s="46">
        <f t="shared" ca="1" si="17"/>
        <v>2.7352941176973404E-4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input_425100!A$2</f>
        <v>425100</v>
      </c>
      <c r="B306" s="5">
        <v>1069</v>
      </c>
      <c r="C306" s="7" t="str">
        <f t="shared" ref="C306:C310" si="23">D306&amp;J306&amp;E306&amp;F306&amp;G306</f>
        <v>PremiumSS5R5only</v>
      </c>
      <c r="D306" s="7" t="str">
        <f t="shared" ref="D306:D310" si="24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イシュタル</v>
      </c>
      <c r="I306" s="7" t="str">
        <f>VLOOKUP(B306,[1]characters!$A:$J,10,FALSE)</f>
        <v>PremiumSS</v>
      </c>
      <c r="J306" s="7">
        <f>VLOOKUP(B306,[1]characters!$A:$I,9,FALSE)</f>
        <v>5</v>
      </c>
      <c r="K306" s="7" t="str">
        <f>VLOOKUP(B306,[1]characters!$A:$H,8,FALSE)</f>
        <v>green</v>
      </c>
      <c r="L306" s="7" t="str">
        <f>VLOOKUP(B306,[1]characters!$A:$K,11,FALSE)</f>
        <v>technical</v>
      </c>
      <c r="M306" s="7" t="str">
        <f>VLOOKUP(B306,[1]characters!$A:$M,13,FALSE)</f>
        <v>god</v>
      </c>
      <c r="N306" s="7" t="str">
        <f>VLOOKUP(B306,[1]characters!$A:$G,7,FALSE)</f>
        <v>男性</v>
      </c>
      <c r="O306" s="45">
        <f ca="1">IFERROR(VLOOKUP(B306,input_425100!L:R,7,FALSE),VLOOKUP(tables_425100!C306,input_425100!A:H,8,FALSE))</f>
        <v>1360</v>
      </c>
      <c r="P306" s="46">
        <f t="shared" ref="P306:P310" ca="1" si="25">O306/SUM(O:O)</f>
        <v>5.0000000000919123E-4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input_425100!A$2</f>
        <v>425100</v>
      </c>
      <c r="B307" s="5">
        <v>1072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エンキドゥ</v>
      </c>
      <c r="I307" s="7" t="str">
        <f>VLOOKUP(B307,[1]characters!$A:$J,10,FALSE)</f>
        <v>PremiumSSw</v>
      </c>
      <c r="J307" s="7">
        <f>VLOOKUP(B307,[1]characters!$A:$I,9,FALSE)</f>
        <v>5</v>
      </c>
      <c r="K307" s="7" t="str">
        <f>VLOOKUP(B307,[1]characters!$A:$H,8,FALSE)</f>
        <v>blue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IFERROR(VLOOKUP(B307,input_425100!L:R,7,FALSE),VLOOKUP(tables_425100!C307,input_425100!A:H,8,FALSE))</f>
        <v>1360</v>
      </c>
      <c r="P307" s="46">
        <f t="shared" ca="1" si="25"/>
        <v>5.0000000000919123E-4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input_425100!A$2</f>
        <v>425100</v>
      </c>
      <c r="B308" s="5">
        <v>1074</v>
      </c>
      <c r="C308" s="7" t="str">
        <f t="shared" si="23"/>
        <v>PremiumSS5R5onlycolor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マルドゥク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yellow</v>
      </c>
      <c r="L308" s="7" t="str">
        <f>VLOOKUP(B308,[1]characters!$A:$K,11,FALSE)</f>
        <v>technical</v>
      </c>
      <c r="M308" s="7" t="str">
        <f>VLOOKUP(B308,[1]characters!$A:$M,13,FALSE)</f>
        <v>god</v>
      </c>
      <c r="N308" s="7" t="str">
        <f>VLOOKUP(B308,[1]characters!$A:$G,7,FALSE)</f>
        <v>男性</v>
      </c>
      <c r="O308" s="45">
        <f ca="1">IFERROR(VLOOKUP(B308,input_425100!L:R,7,FALSE),VLOOKUP(tables_425100!C308,input_425100!A:H,8,FALSE))</f>
        <v>1942.8571400000001</v>
      </c>
      <c r="P308" s="46">
        <f t="shared" ca="1" si="25"/>
        <v>7.1428571324842446E-4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input_425100!A$2</f>
        <v>425100</v>
      </c>
      <c r="B309" s="5">
        <v>1104</v>
      </c>
      <c r="C309" s="7" t="str">
        <f t="shared" si="23"/>
        <v>Premium4R3less</v>
      </c>
      <c r="D309" s="7" t="str">
        <f t="shared" si="24"/>
        <v>Premium</v>
      </c>
      <c r="E309" s="7" t="str">
        <f>IF(COUNTIF('R6追加前'!A:A,B309)=0,IF(OR(I309="PremiumSS",I309="PremiumSSw"),"R5only","R3less"),"")</f>
        <v>R3less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クリムト</v>
      </c>
      <c r="I309" s="7" t="str">
        <f>VLOOKUP(B309,[1]characters!$A:$J,10,FALSE)</f>
        <v>PremiumS</v>
      </c>
      <c r="J309" s="7">
        <f>VLOOKUP(B309,[1]characters!$A:$I,9,FALSE)</f>
        <v>4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不明</v>
      </c>
      <c r="O309" s="45">
        <f ca="1">IFERROR(VLOOKUP(B309,input_425100!L:R,7,FALSE),VLOOKUP(tables_425100!C309,input_425100!A:H,8,FALSE))</f>
        <v>14136</v>
      </c>
      <c r="P309" s="46">
        <f t="shared" ca="1" si="25"/>
        <v>5.1970588236249469E-3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input_425100!A$2</f>
        <v>425100</v>
      </c>
      <c r="B310" s="5">
        <v>1105</v>
      </c>
      <c r="C310" s="7" t="str">
        <f t="shared" si="23"/>
        <v>Premium5R3less</v>
      </c>
      <c r="D310" s="7" t="str">
        <f t="shared" si="2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甘美なる背徳 クリムト</v>
      </c>
      <c r="I310" s="7" t="str">
        <f>VLOOKUP(B310,[1]characters!$A:$J,10,FALSE)</f>
        <v>PremiumS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IFERROR(VLOOKUP(B310,input_425100!L:R,7,FALSE),VLOOKUP(tables_425100!C310,input_425100!A:H,8,FALSE))</f>
        <v>744</v>
      </c>
      <c r="P310" s="46">
        <f t="shared" ca="1" si="25"/>
        <v>2.7352941176973404E-4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input_425100!A$2</f>
        <v>425100</v>
      </c>
      <c r="B311" s="5">
        <v>1106</v>
      </c>
      <c r="C311" s="7" t="str">
        <f t="shared" ref="C311:C319" si="26">D311&amp;J311&amp;E311&amp;F311&amp;G311</f>
        <v>PremiumSS5R5onlycolor</v>
      </c>
      <c r="D311" s="7" t="str">
        <f t="shared" ref="D311:D319" si="27">IF(OR(I311="PremiumSS",I311="PremiumSSw"),"PremiumSS",IF(I311="PremiumSSS",I311,IF(I311="PremiumW",I311,"Premium")))</f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ラファエロ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IFERROR(VLOOKUP(B311,input_425100!L:R,7,FALSE),VLOOKUP(tables_425100!C311,input_425100!A:H,8,FALSE))</f>
        <v>1942.8571400000001</v>
      </c>
      <c r="P311" s="46">
        <f t="shared" ref="P311:P319" ca="1" si="28">O311/SUM(O:O)</f>
        <v>7.1428571324842446E-4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input_425100!A$2</f>
        <v>425100</v>
      </c>
      <c r="B312" s="5">
        <v>1102</v>
      </c>
      <c r="C312" s="7" t="str">
        <f t="shared" si="26"/>
        <v>PremiumSS5R5only</v>
      </c>
      <c r="D312" s="7" t="str">
        <f t="shared" si="27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IFERROR(VLOOKUP(B312,input_425100!L:R,7,FALSE),VLOOKUP(tables_425100!C312,input_425100!A:H,8,FALSE))</f>
        <v>1360</v>
      </c>
      <c r="P312" s="46">
        <f t="shared" ca="1" si="28"/>
        <v>5.0000000000919123E-4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input_425100!A$2</f>
        <v>425100</v>
      </c>
      <c r="B313" s="5">
        <v>1100</v>
      </c>
      <c r="C313" s="7" t="str">
        <f t="shared" si="26"/>
        <v>PremiumSS5R5only</v>
      </c>
      <c r="D313" s="7" t="str">
        <f t="shared" si="27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北斎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red</v>
      </c>
      <c r="L313" s="7" t="str">
        <f>VLOOKUP(B313,[1]characters!$A:$K,11,FALSE)</f>
        <v>attack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IFERROR(VLOOKUP(B313,input_425100!L:R,7,FALSE),VLOOKUP(tables_425100!C313,input_425100!A:H,8,FALSE))</f>
        <v>1360</v>
      </c>
      <c r="P313" s="46">
        <f t="shared" ca="1" si="28"/>
        <v>5.0000000000919123E-4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input_425100!A$2</f>
        <v>425100</v>
      </c>
      <c r="B314" s="5">
        <v>1137</v>
      </c>
      <c r="C314" s="7" t="str">
        <f t="shared" si="26"/>
        <v>PremiumSS5R5only</v>
      </c>
      <c r="D314" s="7" t="str">
        <f t="shared" si="27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諸葛亮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technical</v>
      </c>
      <c r="M314" s="7" t="str">
        <f>VLOOKUP(B314,[1]characters!$A:$M,13,FALSE)</f>
        <v>samurai</v>
      </c>
      <c r="N314" s="7" t="str">
        <f>VLOOKUP(B314,[1]characters!$A:$G,7,FALSE)</f>
        <v>不明</v>
      </c>
      <c r="O314" s="45">
        <f ca="1">IFERROR(VLOOKUP(B314,input_425100!L:R,7,FALSE),VLOOKUP(tables_425100!C314,input_425100!A:H,8,FALSE))</f>
        <v>1360</v>
      </c>
      <c r="P314" s="46">
        <f t="shared" ca="1" si="28"/>
        <v>5.0000000000919123E-4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input_425100!A$2</f>
        <v>425100</v>
      </c>
      <c r="B315" s="5">
        <v>1139</v>
      </c>
      <c r="C315" s="7" t="str">
        <f t="shared" si="26"/>
        <v>PremiumSS5R5only</v>
      </c>
      <c r="D315" s="7" t="str">
        <f t="shared" si="27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趙雲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balance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IFERROR(VLOOKUP(B315,input_425100!L:R,7,FALSE),VLOOKUP(tables_425100!C315,input_425100!A:H,8,FALSE))</f>
        <v>1360</v>
      </c>
      <c r="P315" s="46">
        <f t="shared" ca="1" si="28"/>
        <v>5.0000000000919123E-4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input_425100!A$2</f>
        <v>425100</v>
      </c>
      <c r="B316" s="5">
        <v>1141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月英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IFERROR(VLOOKUP(B316,input_425100!L:R,7,FALSE),VLOOKUP(tables_425100!C316,input_425100!A:H,8,FALSE))</f>
        <v>1360</v>
      </c>
      <c r="P316" s="46">
        <f t="shared" ca="1" si="28"/>
        <v>5.0000000000919123E-4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input_425100!A$2</f>
        <v>425100</v>
      </c>
      <c r="B317" s="5">
        <v>1143</v>
      </c>
      <c r="C317" s="7" t="str">
        <f t="shared" si="26"/>
        <v>Premium4R3lesscolor</v>
      </c>
      <c r="D317" s="7" t="str">
        <f t="shared" si="27"/>
        <v>Premium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黄忠</v>
      </c>
      <c r="I317" s="7" t="str">
        <f>VLOOKUP(B317,[1]characters!$A:$J,10,FALSE)</f>
        <v>PremiumS</v>
      </c>
      <c r="J317" s="7">
        <f>VLOOKUP(B317,[1]characters!$A:$I,9,FALSE)</f>
        <v>4</v>
      </c>
      <c r="K317" s="7" t="str">
        <f>VLOOKUP(B317,[1]characters!$A:$H,8,FALSE)</f>
        <v>yellow</v>
      </c>
      <c r="L317" s="7" t="str">
        <f>VLOOKUP(B317,[1]characters!$A:$K,11,FALSE)</f>
        <v>technical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IFERROR(VLOOKUP(B317,input_425100!L:R,7,FALSE),VLOOKUP(tables_425100!C317,input_425100!A:H,8,FALSE))</f>
        <v>65539.636360000004</v>
      </c>
      <c r="P317" s="46">
        <f t="shared" ca="1" si="28"/>
        <v>2.4095454544560583E-2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input_425100!A$2</f>
        <v>425100</v>
      </c>
      <c r="B318" s="5">
        <v>1144</v>
      </c>
      <c r="C318" s="7" t="str">
        <f t="shared" si="26"/>
        <v>Premium5R3lesscolor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白星を射る老将 黄忠</v>
      </c>
      <c r="I318" s="7" t="str">
        <f>VLOOKUP(B318,[1]characters!$A:$J,10,FALSE)</f>
        <v>PremiumS</v>
      </c>
      <c r="J318" s="7">
        <f>VLOOKUP(B318,[1]characters!$A:$I,9,FALSE)</f>
        <v>5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IFERROR(VLOOKUP(B318,input_425100!L:R,7,FALSE),VLOOKUP(tables_425100!C318,input_425100!A:H,8,FALSE))</f>
        <v>3449.4545499999999</v>
      </c>
      <c r="P318" s="46">
        <f t="shared" ca="1" si="28"/>
        <v>1.2681818198762534E-3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input_425100!A$2</f>
        <v>425100</v>
      </c>
      <c r="B319" s="1">
        <v>874</v>
      </c>
      <c r="C319" s="7" t="str">
        <f t="shared" si="26"/>
        <v>PremiumSSS5R3lesscolor</v>
      </c>
      <c r="D319" s="7" t="str">
        <f t="shared" si="27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フレネル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attack</v>
      </c>
      <c r="M319" s="7" t="str">
        <f>VLOOKUP(B319,[1]characters!$A:$M,13,FALSE)</f>
        <v>academia</v>
      </c>
      <c r="N319" s="7" t="str">
        <f>VLOOKUP(B319,[1]characters!$A:$G,7,FALSE)</f>
        <v>男性</v>
      </c>
      <c r="O319" s="45">
        <f ca="1">IFERROR(VLOOKUP(B319,input_425100!L:R,7,FALSE),VLOOKUP(tables_425100!C319,input_425100!A:H,8,FALSE))</f>
        <v>54400</v>
      </c>
      <c r="P319" s="46">
        <f t="shared" ca="1" si="28"/>
        <v>2.0000000000367651E-2</v>
      </c>
      <c r="Q319" s="88"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284</v>
      </c>
      <c r="B2" s="79" t="s">
        <v>285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270</v>
      </c>
      <c r="P2" s="80" t="s">
        <v>271</v>
      </c>
      <c r="Q2" s="81" t="s">
        <v>272</v>
      </c>
    </row>
    <row r="3" spans="1:17" ht="21" customHeight="1" x14ac:dyDescent="0.15">
      <c r="A3" s="79" t="s">
        <v>286</v>
      </c>
      <c r="B3" s="79" t="s">
        <v>287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269</v>
      </c>
      <c r="P3" s="80" t="s">
        <v>271</v>
      </c>
      <c r="Q3" s="81" t="s">
        <v>273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input_425101</vt:lpstr>
      <vt:lpstr>tables_425101</vt:lpstr>
      <vt:lpstr>input_425103</vt:lpstr>
      <vt:lpstr>tables_425103</vt:lpstr>
      <vt:lpstr>tables_settle_425103</vt:lpstr>
      <vt:lpstr>input_425104</vt:lpstr>
      <vt:lpstr>tables_425104</vt:lpstr>
      <vt:lpstr>input_425105</vt:lpstr>
      <vt:lpstr>tables_425105</vt:lpstr>
      <vt:lpstr>input_425100</vt:lpstr>
      <vt:lpstr>tables_425100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2016-10-05T02:53:39Z</dcterms:modified>
</cp:coreProperties>
</file>