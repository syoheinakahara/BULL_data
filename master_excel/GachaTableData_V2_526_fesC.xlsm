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9"/>
  </bookViews>
  <sheets>
    <sheet name="確率の考え方" sheetId="110" r:id="rId1"/>
    <sheet name="Sheet1" sheetId="107" r:id="rId2"/>
    <sheet name="output" sheetId="103" r:id="rId3"/>
    <sheet name="input_526010" sheetId="157" r:id="rId4"/>
    <sheet name="tables_526010" sheetId="158" r:id="rId5"/>
    <sheet name="input_526100" sheetId="153" r:id="rId6"/>
    <sheet name="tables_526100" sheetId="154" r:id="rId7"/>
    <sheet name="input_settle_526100" sheetId="160" r:id="rId8"/>
    <sheet name="tables_settle_526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tables_526010!$A$1:$V$294</definedName>
    <definedName name="_xlnm._FilterDatabase" localSheetId="6" hidden="1">tables_526100!$A$1:$V$294</definedName>
    <definedName name="_xlnm._FilterDatabase" localSheetId="8" hidden="1">tables_settle_526100!$A$1:$V$294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53" l="1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23" i="153"/>
  <c r="E26" i="153"/>
  <c r="B26" i="153"/>
  <c r="F5" i="153"/>
  <c r="E5" i="153"/>
  <c r="E28" i="153"/>
  <c r="B28" i="153"/>
  <c r="E29" i="153"/>
  <c r="B29" i="153"/>
  <c r="B31" i="153"/>
  <c r="B21" i="153"/>
  <c r="E20" i="153"/>
  <c r="B6" i="153"/>
  <c r="B20" i="153"/>
  <c r="B6" i="157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3" i="160"/>
  <c r="B10" i="160"/>
  <c r="F6" i="160"/>
  <c r="E6" i="160"/>
  <c r="B23" i="160"/>
  <c r="E26" i="160"/>
  <c r="B26" i="160"/>
  <c r="F5" i="160"/>
  <c r="E5" i="160"/>
  <c r="E28" i="160"/>
  <c r="B28" i="160"/>
  <c r="E29" i="160"/>
  <c r="B29" i="160"/>
  <c r="B31" i="160"/>
  <c r="B21" i="160"/>
  <c r="A2" i="160"/>
  <c r="A36" i="160"/>
  <c r="G31" i="160"/>
  <c r="E31" i="160"/>
  <c r="H31" i="160"/>
  <c r="O347" i="161"/>
  <c r="E19" i="160"/>
  <c r="B19" i="160"/>
  <c r="E24" i="160"/>
  <c r="B24" i="160"/>
  <c r="B17" i="160"/>
  <c r="G17" i="160"/>
  <c r="E17" i="160"/>
  <c r="H17" i="160"/>
  <c r="O2" i="161"/>
  <c r="E20" i="160"/>
  <c r="B20" i="160"/>
  <c r="E22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E22" i="153"/>
  <c r="B22" i="153"/>
  <c r="E25" i="153"/>
  <c r="B25" i="153"/>
  <c r="E27" i="153"/>
  <c r="B27" i="153"/>
  <c r="B18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30" i="157"/>
  <c r="B18" i="157"/>
  <c r="E19" i="157"/>
  <c r="B19" i="157"/>
  <c r="E24" i="157"/>
  <c r="B24" i="157"/>
  <c r="B17" i="157"/>
  <c r="E18" i="153"/>
  <c r="E19" i="153"/>
  <c r="B19" i="153"/>
  <c r="E24" i="153"/>
  <c r="B24" i="153"/>
  <c r="B17" i="153"/>
  <c r="E26" i="157"/>
  <c r="B26" i="157"/>
  <c r="E28" i="157"/>
  <c r="B28" i="157"/>
  <c r="E29" i="157"/>
  <c r="B29" i="157"/>
  <c r="B31" i="157"/>
  <c r="B21" i="157"/>
  <c r="E18" i="157"/>
  <c r="H343" i="158"/>
  <c r="K343" i="158"/>
  <c r="L343" i="158"/>
  <c r="M343" i="158"/>
  <c r="N343" i="158"/>
  <c r="A2" i="157"/>
  <c r="A36" i="157"/>
  <c r="G22" i="157"/>
  <c r="H22" i="157"/>
  <c r="O34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4" i="158"/>
  <c r="O345" i="158"/>
  <c r="R3" i="157"/>
  <c r="G31" i="157"/>
  <c r="E31" i="157"/>
  <c r="H31" i="157"/>
  <c r="O346" i="158"/>
  <c r="R4" i="157"/>
  <c r="O347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A2" i="153"/>
  <c r="A36" i="153"/>
  <c r="G29" i="153"/>
  <c r="H29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R3" i="153"/>
  <c r="G31" i="153"/>
  <c r="E31" i="153"/>
  <c r="H31" i="153"/>
  <c r="O346" i="154"/>
  <c r="R4" i="153"/>
  <c r="O347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<sst xmlns="http://schemas.openxmlformats.org/spreadsheetml/2006/main" count="632" uniqueCount="264">
  <si>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</si>
  <si>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</si>
  <si>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</si>
  <si>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</si>
  <si>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</si>
  <si>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</si>
  <si>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</si>
  <si>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</si>
  <si>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</si>
  <si>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</si>
  <si>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</si>
  <si>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</si>
  <si>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</si>
  <si>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</si>
  <si>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</si>
  <si>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</si>
  <si>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</si>
  <si>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</si>
  <si>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</si>
  <si>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</si>
  <si>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</si>
  <si>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</si>
  <si>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</si>
  <si>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</si>
  <si>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</si>
  <si>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</si>
  <si>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</si>
  <si>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</si>
  <si>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</si>
  <si>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</si>
  <si>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</si>
  <si>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</si>
  <si>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</si>
  <si>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</si>
  <si>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</si>
  <si>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</si>
  <si>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</si>
  <si>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</si>
  <si>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</si>
  <si>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</si>
  <si>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</si>
  <si>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</si>
  <si>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</si>
  <si>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</si>
  <si>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</si>
  <si>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</si>
  <si>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</si>
  <si>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</si>
  <si>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</si>
  <si>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</si>
  <si>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</si>
  <si>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</si>
  <si>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</si>
  <si>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</si>
  <si>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</si>
  <si>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</si>
  <si>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</si>
  <si>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</si>
  <si>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</si>
  <si>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</si>
  <si>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</si>
  <si>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</si>
  <si>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</si>
  <si>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</si>
  <si>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</si>
  <si>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</si>
  <si>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</si>
  <si>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</si>
  <si>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</si>
  <si>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</si>
  <si>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</si>
  <si>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</si>
  <si>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</si>
  <si>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</si>
  <si>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</si>
  <si>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</si>
  <si>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</si>
  <si>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</si>
  <si>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</si>
  <si>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</si>
  <si>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</si>
  <si>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</si>
  <si>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</si>
  <si>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</si>
  <si>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</si>
  <si>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</si>
  <si>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</si>
  <si>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</si>
  <si>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</si>
  <si>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</si>
  <si>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</si>
  <si>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</si>
  <si>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</si>
  <si>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</si>
  <si>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</si>
  <si>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</si>
  <si>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</si>
  <si>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</si>
  <si>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</si>
  <si>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</si>
  <si>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</si>
  <si>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</si>
  <si>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</si>
  <si>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</si>
  <si>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</si>
  <si>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</si>
  <si>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</si>
  <si>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</si>
  <si>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</si>
  <si>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</si>
  <si>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</si>
  <si>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</si>
  <si>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</si>
  <si>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</si>
  <si>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</si>
  <si>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</si>
  <si>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</si>
  <si>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</si>
  <si>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</si>
  <si>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</si>
  <si>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</si>
  <si>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</si>
  <si>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</si>
  <si>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</si>
  <si>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</si>
  <si>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</si>
  <si>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</si>
  <si>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</si>
  <si>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</si>
  <si>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</si>
  <si>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</si>
  <si>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</si>
  <si>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</si>
  <si>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</si>
  <si>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</si>
  <si>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</si>
  <si>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</si>
  <si>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</si>
  <si>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</si>
  <si>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</si>
  <si>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</si>
  <si>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</si>
  <si>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</si>
  <si>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</si>
  <si>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</si>
  <si>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</si>
  <si>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</si>
  <si>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</si>
  <si>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</si>
  <si>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</si>
  <si>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</si>
  <si>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</si>
  <si>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</si>
  <si>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</si>
  <si>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</si>
  <si>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</si>
  <si>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</si>
  <si>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</si>
  <si>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</si>
  <si>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</si>
  <si>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</si>
  <si>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</si>
  <si>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</si>
  <si>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</si>
  <si>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</si>
  <si>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</si>
  <si>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</si>
  <si>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</si>
  <si>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</si>
  <si>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</si>
  <si>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</si>
  <si>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</si>
  <si>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</si>
  <si>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</si>
  <si>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</si>
  <si>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</si>
  <si>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</si>
  <si>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</si>
  <si>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</si>
  <si>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</si>
  <si>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</si>
  <si>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</si>
  <si>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</si>
  <si>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</si>
  <si>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</si>
  <si>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</si>
  <si>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</si>
  <si>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</si>
  <si>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</si>
  <si>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</si>
  <si>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</si>
  <si>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</si>
  <si>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</si>
  <si>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</si>
  <si>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</si>
  <si>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</si>
  <si>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</si>
  <si>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</si>
  <si>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</si>
  <si>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</si>
  <si>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</si>
  <si>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</si>
  <si>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</si>
  <si>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</si>
  <si>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</si>
  <si>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</si>
  <si>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</si>
  <si>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</si>
  <si>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</si>
  <si>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</si>
  <si>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</si>
  <si>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</si>
  <si>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</si>
  <si>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</si>
  <si>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</si>
  <si>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</si>
  <si>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</si>
  <si>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</si>
  <si>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</si>
  <si>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</si>
  <si>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</si>
  <si>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</si>
  <si>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</si>
  <si>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</si>
  <si>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</si>
  <si>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</si>
  <si>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</si>
  <si>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</si>
  <si>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</si>
  <si>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</si>
  <si>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</si>
  <si>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</si>
  <si>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</si>
  <si>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</si>
  <si>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</si>
  <si>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</si>
  <si>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</si>
  <si>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</si>
  <si>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</si>
  <si>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</si>
  <si>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</si>
  <si>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</si>
  <si>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</si>
  <si>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</si>
  <si>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</si>
  <si>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</si>
  <si>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</si>
  <si>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</si>
  <si>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</si>
  <si>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</si>
  <si>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</si>
  <si>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フェス確率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</si>
  <si>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</si>
  <si>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</si>
  <si>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</si>
  <si>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</si>
  <si>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</si>
  <si>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</si>
  <si>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</si>
  <si>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</si>
  <si>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5回目の特典として「★6覚醒可能ユニットチケット」を1枚プレゼント！</t>
    <phoneticPr fontId="22"/>
  </si>
  <si>
    <t>tables_526100</t>
    <phoneticPr fontId="22"/>
  </si>
  <si>
    <t>tables_526010</t>
    <phoneticPr fontId="22"/>
  </si>
  <si>
    <t>tables_settle_526100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</si>
</sst>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1504</v>
          </cell>
          <cell r="B1386" t="str">
            <v>ja</v>
          </cell>
          <cell r="C1386" t="str">
            <v>ネコ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red</v>
          </cell>
          <cell r="I1386">
            <v>1</v>
          </cell>
          <cell r="J1386" t="str">
            <v>Drop1T</v>
          </cell>
          <cell r="K1386" t="str">
            <v>balance</v>
          </cell>
          <cell r="L1386" t="str">
            <v>バランスタイプ</v>
          </cell>
          <cell r="M1386" t="str">
            <v>unknown</v>
          </cell>
        </row>
        <row r="1387">
          <cell r="A1387">
            <v>1505</v>
          </cell>
          <cell r="B1387" t="str">
            <v>ja</v>
          </cell>
          <cell r="C1387" t="str">
            <v>タンクネコ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green</v>
          </cell>
          <cell r="I1387">
            <v>1</v>
          </cell>
          <cell r="J1387" t="str">
            <v>Drop1T</v>
          </cell>
          <cell r="K1387" t="str">
            <v>hp</v>
          </cell>
          <cell r="L1387" t="str">
            <v>体力タイプ</v>
          </cell>
          <cell r="M1387" t="str">
            <v>unknown</v>
          </cell>
        </row>
        <row r="1388">
          <cell r="A1388">
            <v>1506</v>
          </cell>
          <cell r="B1388" t="str">
            <v>ja</v>
          </cell>
          <cell r="C1388" t="str">
            <v>バトルネコ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yellow</v>
          </cell>
          <cell r="I1388">
            <v>2</v>
          </cell>
          <cell r="J1388" t="str">
            <v>Drop1S</v>
          </cell>
          <cell r="K1388" t="str">
            <v>attack</v>
          </cell>
          <cell r="L1388" t="str">
            <v>攻撃タイプ</v>
          </cell>
          <cell r="M1388" t="str">
            <v>unknown</v>
          </cell>
        </row>
        <row r="1389">
          <cell r="A1389">
            <v>1507</v>
          </cell>
          <cell r="B1389" t="str">
            <v>ja</v>
          </cell>
          <cell r="C1389" t="str">
            <v>キモネコ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blue</v>
          </cell>
          <cell r="I1389">
            <v>3</v>
          </cell>
          <cell r="J1389" t="str">
            <v>Drop2N</v>
          </cell>
          <cell r="K1389" t="str">
            <v>technical</v>
          </cell>
          <cell r="L1389" t="str">
            <v>テクニカルタイプ</v>
          </cell>
          <cell r="M1389" t="str">
            <v>unknown</v>
          </cell>
        </row>
        <row r="1390">
          <cell r="A1390">
            <v>1508</v>
          </cell>
          <cell r="B1390" t="str">
            <v>ja</v>
          </cell>
          <cell r="C1390" t="str">
            <v>ネコノトリ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red</v>
          </cell>
          <cell r="I1390">
            <v>4</v>
          </cell>
          <cell r="J1390" t="str">
            <v>Drop2N</v>
          </cell>
          <cell r="K1390" t="str">
            <v>balance</v>
          </cell>
          <cell r="L1390" t="str">
            <v>バランスタイプ</v>
          </cell>
          <cell r="M1390" t="str">
            <v>unknown</v>
          </cell>
        </row>
        <row r="1391">
          <cell r="A1391">
            <v>1509</v>
          </cell>
          <cell r="B1391" t="str">
            <v>ja</v>
          </cell>
          <cell r="C1391" t="str">
            <v>巨神ネコ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green</v>
          </cell>
          <cell r="I1391">
            <v>5</v>
          </cell>
          <cell r="J1391" t="str">
            <v>Drop2N</v>
          </cell>
          <cell r="K1391" t="str">
            <v>hp</v>
          </cell>
          <cell r="L1391" t="str">
            <v>体力タイプ</v>
          </cell>
          <cell r="M1391" t="str">
            <v>god</v>
          </cell>
        </row>
        <row r="1392">
          <cell r="A1392">
            <v>1510</v>
          </cell>
          <cell r="B1392" t="str">
            <v>ja</v>
          </cell>
          <cell r="C1392" t="str">
            <v>ネコヴァルキリー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yellow</v>
          </cell>
          <cell r="I1392">
            <v>4</v>
          </cell>
          <cell r="J1392" t="str">
            <v>DropWizS</v>
          </cell>
          <cell r="K1392" t="str">
            <v>balance</v>
          </cell>
          <cell r="L1392" t="str">
            <v>バランスタイプ</v>
          </cell>
          <cell r="M1392" t="str">
            <v>god</v>
          </cell>
        </row>
        <row r="1393">
          <cell r="A1393">
            <v>1511</v>
          </cell>
          <cell r="B1393" t="str">
            <v>ja</v>
          </cell>
          <cell r="C1393" t="str">
            <v>ネコヴァルキリー・真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5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1512</v>
          </cell>
          <cell r="B1394" t="str">
            <v>ja</v>
          </cell>
          <cell r="C1394" t="str">
            <v>ネコヴァルキリー・聖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6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1513</v>
          </cell>
          <cell r="B1395" t="str">
            <v>ja</v>
          </cell>
          <cell r="C1395" t="str">
            <v>金ネコ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4</v>
          </cell>
          <cell r="J1395" t="str">
            <v>Material</v>
          </cell>
          <cell r="K1395" t="str">
            <v>coin</v>
          </cell>
          <cell r="L1395" t="str">
            <v>コインタイプ</v>
          </cell>
          <cell r="M1395" t="str">
            <v>unknown</v>
          </cell>
        </row>
        <row r="1396">
          <cell r="A1396">
            <v>1514</v>
          </cell>
          <cell r="B1396" t="str">
            <v>ja</v>
          </cell>
          <cell r="C1396" t="str">
            <v>金ネコビルダー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5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1515</v>
          </cell>
          <cell r="B1397" t="str">
            <v>ja</v>
          </cell>
          <cell r="C1397" t="str">
            <v>メタルネコ（赤）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red</v>
          </cell>
          <cell r="I1397">
            <v>4</v>
          </cell>
          <cell r="J1397" t="str">
            <v>Material</v>
          </cell>
          <cell r="K1397" t="str">
            <v>exp</v>
          </cell>
          <cell r="L1397" t="str">
            <v>強化素材タイプ</v>
          </cell>
          <cell r="M1397" t="str">
            <v>unknown</v>
          </cell>
        </row>
        <row r="1398">
          <cell r="A1398">
            <v>1516</v>
          </cell>
          <cell r="B1398" t="str">
            <v>ja</v>
          </cell>
          <cell r="C1398" t="str">
            <v>メタルネコビルダー（赤）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5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1517</v>
          </cell>
          <cell r="B1399" t="str">
            <v>ja</v>
          </cell>
          <cell r="C1399" t="str">
            <v>メタルネコ（青）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blue</v>
          </cell>
          <cell r="I1399">
            <v>4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1518</v>
          </cell>
          <cell r="B1400" t="str">
            <v>ja</v>
          </cell>
          <cell r="C1400" t="str">
            <v>メタルネコビルダー（青）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5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1519</v>
          </cell>
          <cell r="B1401" t="str">
            <v>ja</v>
          </cell>
          <cell r="C1401" t="str">
            <v>メタルネコ（緑）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green</v>
          </cell>
          <cell r="I1401">
            <v>4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1520</v>
          </cell>
          <cell r="B1402" t="str">
            <v>ja</v>
          </cell>
          <cell r="C1402" t="str">
            <v>メタルネコビルダー（緑）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5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1521</v>
          </cell>
          <cell r="B1403" t="str">
            <v>ja</v>
          </cell>
          <cell r="C1403" t="str">
            <v>メタルネコ（黄）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1522</v>
          </cell>
          <cell r="B1404" t="str">
            <v>ja</v>
          </cell>
          <cell r="C1404" t="str">
            <v>メタルネコビルダー（黄）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1523</v>
          </cell>
          <cell r="B1405" t="str">
            <v>ja</v>
          </cell>
          <cell r="C1405" t="str">
            <v>ネコムート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blue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animal</v>
          </cell>
        </row>
        <row r="1406">
          <cell r="A1406">
            <v>1524</v>
          </cell>
          <cell r="B1406" t="str">
            <v>ja</v>
          </cell>
          <cell r="C1406" t="str">
            <v>狂乱のネコムート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6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1525</v>
          </cell>
          <cell r="B1407" t="str">
            <v>ja</v>
          </cell>
          <cell r="C1407" t="str">
            <v>狂乱のネコ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red</v>
          </cell>
          <cell r="I1407">
            <v>5</v>
          </cell>
          <cell r="J1407" t="str">
            <v>DropWizSS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1526</v>
          </cell>
          <cell r="B1408" t="str">
            <v>ja</v>
          </cell>
          <cell r="C1408" t="str">
            <v>狂乱のネコビルダー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6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1527</v>
          </cell>
          <cell r="B1409" t="str">
            <v>ja</v>
          </cell>
          <cell r="C1409" t="str">
            <v>ネコ魔剣士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4</v>
          </cell>
          <cell r="J1409" t="str">
            <v>PremiumS</v>
          </cell>
          <cell r="K1409" t="str">
            <v>attack</v>
          </cell>
          <cell r="L1409" t="str">
            <v>攻撃タイプ</v>
          </cell>
          <cell r="M1409" t="str">
            <v>animal</v>
          </cell>
        </row>
        <row r="1410">
          <cell r="A1410">
            <v>1528</v>
          </cell>
          <cell r="B1410" t="str">
            <v>ja</v>
          </cell>
          <cell r="C1410" t="str">
            <v>双剣ネコ魔剣士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5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1529</v>
          </cell>
          <cell r="B1411" t="str">
            <v>ja</v>
          </cell>
          <cell r="C1411" t="str">
            <v>ねこ海賊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blue</v>
          </cell>
          <cell r="I1411">
            <v>4</v>
          </cell>
          <cell r="J1411" t="str">
            <v>PremiumS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1530</v>
          </cell>
          <cell r="B1412" t="str">
            <v>ja</v>
          </cell>
          <cell r="C1412" t="str">
            <v>ニャーコック船長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5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1531</v>
          </cell>
          <cell r="B1413" t="str">
            <v>ja</v>
          </cell>
          <cell r="C1413" t="str">
            <v>ねこジュラ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green</v>
          </cell>
          <cell r="I1413">
            <v>4</v>
          </cell>
          <cell r="J1413" t="str">
            <v>PremiumS</v>
          </cell>
          <cell r="K1413" t="str">
            <v>technical</v>
          </cell>
          <cell r="L1413" t="str">
            <v>テクニカルタイプ</v>
          </cell>
          <cell r="M1413" t="str">
            <v>animal</v>
          </cell>
        </row>
        <row r="1414">
          <cell r="A1414">
            <v>1532</v>
          </cell>
          <cell r="B1414" t="str">
            <v>ja</v>
          </cell>
          <cell r="C1414" t="str">
            <v>ねこジュラシッター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5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1533</v>
          </cell>
          <cell r="B1415" t="str">
            <v>ja</v>
          </cell>
          <cell r="C1415" t="str">
            <v>ネコエステ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yellow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1534</v>
          </cell>
          <cell r="B1416" t="str">
            <v>ja</v>
          </cell>
          <cell r="C1416" t="str">
            <v>ネコジェンヌ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5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1535</v>
          </cell>
          <cell r="B1417" t="str">
            <v>ja</v>
          </cell>
          <cell r="C1417" t="str">
            <v>ねこナース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red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god</v>
          </cell>
        </row>
        <row r="1418">
          <cell r="A1418">
            <v>1536</v>
          </cell>
          <cell r="B1418" t="str">
            <v>ja</v>
          </cell>
          <cell r="C1418" t="str">
            <v>ハートフルねこナース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1537</v>
          </cell>
          <cell r="B1419" t="str">
            <v>ja</v>
          </cell>
          <cell r="C1419" t="str">
            <v>キャットマンダディ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blue</v>
          </cell>
          <cell r="I1419">
            <v>5</v>
          </cell>
          <cell r="J1419" t="str">
            <v>PremiumSSS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1538</v>
          </cell>
          <cell r="B1420" t="str">
            <v>ja</v>
          </cell>
          <cell r="C1420" t="str">
            <v>キャットマンダーク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6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1539</v>
          </cell>
          <cell r="B1421" t="str">
            <v>ja</v>
          </cell>
          <cell r="C1421" t="str">
            <v>雷神のサンディア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yellow</v>
          </cell>
          <cell r="I1421">
            <v>5</v>
          </cell>
          <cell r="J1421" t="str">
            <v>PremiumSS</v>
          </cell>
          <cell r="K1421" t="str">
            <v>attack</v>
          </cell>
          <cell r="L1421" t="str">
            <v>攻撃タイプ</v>
          </cell>
          <cell r="M1421" t="str">
            <v>god</v>
          </cell>
        </row>
        <row r="1422">
          <cell r="A1422">
            <v>1540</v>
          </cell>
          <cell r="B1422" t="str">
            <v>ja</v>
          </cell>
          <cell r="C1422" t="str">
            <v>雷神のサンディアβ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6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1541</v>
          </cell>
          <cell r="B1423" t="str">
            <v>ja</v>
          </cell>
          <cell r="C1423" t="str">
            <v>美女神アフロディーテ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red</v>
          </cell>
          <cell r="I1423">
            <v>5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god</v>
          </cell>
        </row>
        <row r="1424">
          <cell r="A1424">
            <v>1542</v>
          </cell>
          <cell r="B1424" t="str">
            <v>ja</v>
          </cell>
          <cell r="C1424" t="str">
            <v>メガロディーテ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6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1543</v>
          </cell>
          <cell r="B1425" t="str">
            <v>ja</v>
          </cell>
          <cell r="C1425" t="str">
            <v>ツルの恩返し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blue</v>
          </cell>
          <cell r="I1425">
            <v>6</v>
          </cell>
          <cell r="J1425" t="str">
            <v>PremiumSSS</v>
          </cell>
          <cell r="K1425" t="str">
            <v>attack</v>
          </cell>
          <cell r="L1425" t="str">
            <v>攻撃タイプ</v>
          </cell>
          <cell r="M1425" t="str">
            <v>academia</v>
          </cell>
        </row>
        <row r="1426">
          <cell r="A1426">
            <v>1544</v>
          </cell>
          <cell r="B1426" t="str">
            <v>ja</v>
          </cell>
          <cell r="C1426" t="str">
            <v>銀河戦士コスモ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1545</v>
          </cell>
          <cell r="B1427" t="str">
            <v>ja</v>
          </cell>
          <cell r="C1427" t="str">
            <v>ネコルガ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green</v>
          </cell>
          <cell r="I1427">
            <v>5</v>
          </cell>
          <cell r="J1427" t="str">
            <v>PremiumSS</v>
          </cell>
          <cell r="K1427" t="str">
            <v>hp</v>
          </cell>
          <cell r="L1427" t="str">
            <v>体力タイプ</v>
          </cell>
          <cell r="M1427" t="str">
            <v>unknown</v>
          </cell>
        </row>
        <row r="1428">
          <cell r="A1428">
            <v>1546</v>
          </cell>
          <cell r="B1428" t="str">
            <v>ja</v>
          </cell>
          <cell r="C1428" t="str">
            <v>ケセランパサラン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6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1547</v>
          </cell>
          <cell r="B1429" t="str">
            <v>ja</v>
          </cell>
          <cell r="C1429" t="str">
            <v>ネコフラワー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4</v>
          </cell>
          <cell r="J1429" t="str">
            <v>Drop2N</v>
          </cell>
          <cell r="K1429" t="str">
            <v>hp</v>
          </cell>
          <cell r="L1429" t="str">
            <v>体力タイプ</v>
          </cell>
          <cell r="M1429" t="str">
            <v>animal</v>
          </cell>
        </row>
        <row r="1430">
          <cell r="A1430">
            <v>1548</v>
          </cell>
          <cell r="B1430" t="str">
            <v>ja</v>
          </cell>
          <cell r="C1430" t="str">
            <v>にゃんこ扇風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5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1549</v>
          </cell>
          <cell r="B1431" t="str">
            <v>ja</v>
          </cell>
          <cell r="C1431" t="str">
            <v>ネコリンゴ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DropWizS</v>
          </cell>
          <cell r="K1431" t="str">
            <v>balance</v>
          </cell>
          <cell r="L1431" t="str">
            <v>バランスタイプ</v>
          </cell>
          <cell r="M1431" t="str">
            <v>unknown</v>
          </cell>
        </row>
        <row r="1432">
          <cell r="A1432">
            <v>1550</v>
          </cell>
          <cell r="B1432" t="str">
            <v>ja</v>
          </cell>
          <cell r="C1432" t="str">
            <v>カオルくん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6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5001</v>
          </cell>
          <cell r="B1433" t="str">
            <v>ja</v>
          </cell>
          <cell r="C1433" t="str">
            <v>ガルーダ</v>
          </cell>
          <cell r="D1433" t="str">
            <v>ノーマルクエスト</v>
          </cell>
          <cell r="E1433" t="str">
            <v>QoH</v>
          </cell>
          <cell r="F1433" t="str">
            <v>世界観</v>
          </cell>
          <cell r="G1433" t="str">
            <v>不明</v>
          </cell>
          <cell r="H1433" t="str">
            <v>red</v>
          </cell>
          <cell r="I1433">
            <v>5</v>
          </cell>
          <cell r="J1433" t="str">
            <v>PremiumSSw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5002</v>
          </cell>
          <cell r="B1434" t="str">
            <v>ja</v>
          </cell>
          <cell r="C1434" t="str">
            <v>ガルーダ★６</v>
          </cell>
          <cell r="D1434" t="str">
            <v>ノーマルクエスト</v>
          </cell>
          <cell r="E1434" t="str">
            <v>アバター</v>
          </cell>
          <cell r="F1434" t="str">
            <v>世界観</v>
          </cell>
          <cell r="G1434" t="str">
            <v>男性</v>
          </cell>
          <cell r="H1434" t="str">
            <v>red</v>
          </cell>
          <cell r="I1434">
            <v>6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5003</v>
          </cell>
          <cell r="B1435" t="str">
            <v>ja</v>
          </cell>
          <cell r="C1435" t="str">
            <v>ナーガ</v>
          </cell>
          <cell r="D1435" t="str">
            <v>リンクガチャ:4神</v>
          </cell>
          <cell r="E1435" t="str">
            <v>守護神</v>
          </cell>
          <cell r="F1435" t="str">
            <v>格好いい</v>
          </cell>
          <cell r="G1435" t="str">
            <v>不明</v>
          </cell>
          <cell r="H1435" t="str">
            <v>green</v>
          </cell>
          <cell r="I1435">
            <v>5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animal</v>
          </cell>
        </row>
        <row r="1436">
          <cell r="A1436">
            <v>5004</v>
          </cell>
          <cell r="B1436" t="str">
            <v>ja</v>
          </cell>
          <cell r="C1436" t="str">
            <v>ナーガ★６</v>
          </cell>
          <cell r="D1436" t="str">
            <v>ノーマルクエスト</v>
          </cell>
          <cell r="E1436" t="str">
            <v>アバター</v>
          </cell>
          <cell r="F1436" t="str">
            <v>世界観</v>
          </cell>
          <cell r="G1436" t="str">
            <v>不明</v>
          </cell>
          <cell r="H1436" t="str">
            <v>green</v>
          </cell>
          <cell r="I1436">
            <v>6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5005</v>
          </cell>
          <cell r="B1437" t="str">
            <v>ja</v>
          </cell>
          <cell r="C1437" t="str">
            <v>カーミラ</v>
          </cell>
          <cell r="D1437" t="str">
            <v>ノーマルクエスト</v>
          </cell>
          <cell r="E1437" t="str">
            <v>QoH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5</v>
          </cell>
          <cell r="J1437" t="str">
            <v>PremiumSSw</v>
          </cell>
          <cell r="K1437" t="str">
            <v>balance</v>
          </cell>
          <cell r="L1437" t="str">
            <v>バランスタイプ</v>
          </cell>
          <cell r="M1437" t="str">
            <v>demon</v>
          </cell>
        </row>
        <row r="1438">
          <cell r="A1438">
            <v>5006</v>
          </cell>
          <cell r="B1438" t="str">
            <v>ja</v>
          </cell>
          <cell r="C1438" t="str">
            <v>カーミラ★６</v>
          </cell>
          <cell r="D1438" t="str">
            <v>ノーマルクエスト</v>
          </cell>
          <cell r="E1438" t="str">
            <v>アバター</v>
          </cell>
          <cell r="F1438" t="str">
            <v>世界観</v>
          </cell>
          <cell r="G1438" t="str">
            <v>男性</v>
          </cell>
          <cell r="H1438" t="str">
            <v>green</v>
          </cell>
          <cell r="I1438">
            <v>6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5007</v>
          </cell>
          <cell r="B1439" t="str">
            <v>ja</v>
          </cell>
          <cell r="C1439" t="str">
            <v>ヘルシング</v>
          </cell>
          <cell r="D1439" t="str">
            <v>リンクガチャ:4神</v>
          </cell>
          <cell r="E1439" t="str">
            <v>守護神</v>
          </cell>
          <cell r="F1439" t="str">
            <v>格好いい</v>
          </cell>
          <cell r="G1439" t="str">
            <v>不明</v>
          </cell>
          <cell r="H1439" t="str">
            <v>yellow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5008</v>
          </cell>
          <cell r="B1440" t="str">
            <v>ja</v>
          </cell>
          <cell r="C1440" t="str">
            <v>ヘルシング★６</v>
          </cell>
          <cell r="D1440" t="str">
            <v>ノーマルクエスト</v>
          </cell>
          <cell r="E1440" t="str">
            <v>アバター</v>
          </cell>
          <cell r="F1440" t="str">
            <v>世界観</v>
          </cell>
          <cell r="G1440" t="str">
            <v>不明</v>
          </cell>
          <cell r="H1440" t="str">
            <v>yellow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6001</v>
          </cell>
          <cell r="B1441" t="str">
            <v>ja</v>
          </cell>
          <cell r="C1441" t="str">
            <v>ジェリー</v>
          </cell>
          <cell r="D1441" t="str">
            <v>ノーマルクエスト</v>
          </cell>
          <cell r="E1441" t="str">
            <v>QoH</v>
          </cell>
          <cell r="F1441" t="str">
            <v>世界観</v>
          </cell>
          <cell r="G1441" t="str">
            <v>不明</v>
          </cell>
          <cell r="H1441" t="str">
            <v>red</v>
          </cell>
          <cell r="I1441">
            <v>1</v>
          </cell>
          <cell r="J1441" t="str">
            <v>Drop1T</v>
          </cell>
          <cell r="K1441" t="str">
            <v>ra</v>
          </cell>
          <cell r="L1441" t="str">
            <v>ラグランジュチャレンジ</v>
          </cell>
          <cell r="M1441" t="str">
            <v>unknown</v>
          </cell>
        </row>
        <row r="1442">
          <cell r="A1442">
            <v>6002</v>
          </cell>
          <cell r="B1442" t="str">
            <v>ja</v>
          </cell>
          <cell r="C1442" t="str">
            <v>ヨシタカ</v>
          </cell>
          <cell r="D1442" t="str">
            <v>ノーマルクエスト</v>
          </cell>
          <cell r="E1442" t="str">
            <v>アバター</v>
          </cell>
          <cell r="F1442" t="str">
            <v>世界観</v>
          </cell>
          <cell r="G1442" t="str">
            <v>男性</v>
          </cell>
          <cell r="H1442" t="str">
            <v>red</v>
          </cell>
          <cell r="I1442">
            <v>2</v>
          </cell>
          <cell r="J1442" t="str">
            <v>Drop1N</v>
          </cell>
          <cell r="K1442" t="str">
            <v>ra</v>
          </cell>
          <cell r="L1442" t="str">
            <v>ラグランジュチャレンジ</v>
          </cell>
          <cell r="M1442" t="str">
            <v>human</v>
          </cell>
        </row>
        <row r="1443">
          <cell r="A1443">
            <v>6003</v>
          </cell>
          <cell r="B1443" t="str">
            <v>ja</v>
          </cell>
          <cell r="C1443" t="str">
            <v>朱雀</v>
          </cell>
          <cell r="D1443" t="str">
            <v>リンクガチャ:4神</v>
          </cell>
          <cell r="E1443" t="str">
            <v>守護神</v>
          </cell>
          <cell r="F1443" t="str">
            <v>格好いい</v>
          </cell>
          <cell r="G1443" t="str">
            <v>不明</v>
          </cell>
          <cell r="H1443" t="str">
            <v>red</v>
          </cell>
          <cell r="I1443">
            <v>3</v>
          </cell>
          <cell r="J1443" t="str">
            <v>Drop2N</v>
          </cell>
          <cell r="K1443" t="str">
            <v>ra</v>
          </cell>
          <cell r="L1443" t="str">
            <v>ラグランジュチャレンジ</v>
          </cell>
          <cell r="M1443" t="str">
            <v>animal</v>
          </cell>
        </row>
        <row r="1444">
          <cell r="A1444">
            <v>6004</v>
          </cell>
          <cell r="B1444" t="str">
            <v>ja</v>
          </cell>
          <cell r="C1444" t="str">
            <v>ブレット</v>
          </cell>
          <cell r="D1444" t="str">
            <v>ノーマルクエスト</v>
          </cell>
          <cell r="E1444" t="str">
            <v>アバター</v>
          </cell>
          <cell r="F1444" t="str">
            <v>世界観</v>
          </cell>
          <cell r="G1444" t="str">
            <v>不明</v>
          </cell>
          <cell r="H1444" t="str">
            <v>red</v>
          </cell>
          <cell r="I1444">
            <v>1</v>
          </cell>
          <cell r="J1444" t="str">
            <v>Drop1W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6005</v>
          </cell>
          <cell r="B1445" t="str">
            <v>ja</v>
          </cell>
          <cell r="C1445" t="str">
            <v>孤神 テティス</v>
          </cell>
          <cell r="D1445" t="str">
            <v>初期ガチャ</v>
          </cell>
          <cell r="E1445" t="str">
            <v>管理者</v>
          </cell>
          <cell r="F1445" t="str">
            <v>美しい</v>
          </cell>
          <cell r="G1445" t="str">
            <v>女性</v>
          </cell>
          <cell r="H1445" t="str">
            <v>blue</v>
          </cell>
          <cell r="I1445">
            <v>4</v>
          </cell>
          <cell r="J1445" t="str">
            <v>PremiumN</v>
          </cell>
          <cell r="K1445" t="str">
            <v>ra</v>
          </cell>
          <cell r="L1445" t="str">
            <v>ラグランジュチャレンジ</v>
          </cell>
          <cell r="M1445" t="str">
            <v>god</v>
          </cell>
        </row>
        <row r="1446">
          <cell r="A1446">
            <v>6006</v>
          </cell>
          <cell r="B1446" t="str">
            <v>ja</v>
          </cell>
          <cell r="C1446" t="str">
            <v>海底の孤高神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5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6007</v>
          </cell>
          <cell r="B1447" t="str">
            <v>ja</v>
          </cell>
          <cell r="C1447" t="str">
            <v>番犬 ケルベロス</v>
          </cell>
          <cell r="D1447" t="str">
            <v>初期ガチャ</v>
          </cell>
          <cell r="E1447" t="str">
            <v>破界者</v>
          </cell>
          <cell r="F1447" t="str">
            <v>可愛い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animal</v>
          </cell>
        </row>
        <row r="1448">
          <cell r="A1448">
            <v>6008</v>
          </cell>
          <cell r="B1448" t="str">
            <v>ja</v>
          </cell>
          <cell r="C1448" t="str">
            <v>焔神 プロメテウス</v>
          </cell>
          <cell r="D1448" t="str">
            <v>初期ガチャ</v>
          </cell>
          <cell r="E1448" t="str">
            <v>管理者</v>
          </cell>
          <cell r="F1448" t="str">
            <v>格好いい</v>
          </cell>
          <cell r="G1448" t="str">
            <v>男性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god</v>
          </cell>
        </row>
        <row r="1449">
          <cell r="A1449">
            <v>6009</v>
          </cell>
          <cell r="B1449" t="str">
            <v>ja</v>
          </cell>
          <cell r="C1449" t="str">
            <v>超越自我 ラグランジュ</v>
          </cell>
          <cell r="D1449" t="str">
            <v>ガチャ:フィーバーフェス02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5</v>
          </cell>
          <cell r="J1449" t="str">
            <v>PremiumSSS</v>
          </cell>
          <cell r="K1449" t="str">
            <v>ra</v>
          </cell>
          <cell r="L1449" t="str">
            <v>ラグランジュチャレンジ</v>
          </cell>
          <cell r="M1449" t="str">
            <v>human</v>
          </cell>
        </row>
        <row r="1450">
          <cell r="A1450">
            <v>6010</v>
          </cell>
          <cell r="B1450" t="str">
            <v>ja</v>
          </cell>
          <cell r="C1450" t="str">
            <v>超越凌駕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6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6011</v>
          </cell>
          <cell r="B1451" t="str">
            <v>ja</v>
          </cell>
          <cell r="C1451" t="str">
            <v>パトドッグリーダー ポチ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男性</v>
          </cell>
          <cell r="H1451" t="str">
            <v>blue</v>
          </cell>
          <cell r="I1451">
            <v>2</v>
          </cell>
          <cell r="J1451" t="str">
            <v>Drop1T</v>
          </cell>
          <cell r="K1451" t="str">
            <v>ra002</v>
          </cell>
          <cell r="L1451" t="str">
            <v>ユークリッドチャレンジ</v>
          </cell>
          <cell r="M1451" t="str">
            <v>unknown</v>
          </cell>
        </row>
        <row r="1452">
          <cell r="A1452">
            <v>6012</v>
          </cell>
          <cell r="B1452" t="str">
            <v>ja</v>
          </cell>
          <cell r="C1452" t="str">
            <v>ミミ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yellow</v>
          </cell>
          <cell r="I1452">
            <v>1</v>
          </cell>
          <cell r="J1452" t="str">
            <v>Drop1W</v>
          </cell>
          <cell r="K1452" t="str">
            <v>ra002</v>
          </cell>
          <cell r="L1452" t="str">
            <v>ユークリッドチャレンジ</v>
          </cell>
          <cell r="M1452" t="str">
            <v>animal</v>
          </cell>
        </row>
        <row r="1453">
          <cell r="A1453">
            <v>6013</v>
          </cell>
          <cell r="B1453" t="str">
            <v>ja</v>
          </cell>
          <cell r="C1453" t="str">
            <v>護衛機人 スケアクロウ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blue</v>
          </cell>
          <cell r="I1453">
            <v>2</v>
          </cell>
          <cell r="J1453" t="str">
            <v>Drop1N</v>
          </cell>
          <cell r="K1453" t="str">
            <v>ra002</v>
          </cell>
          <cell r="L1453" t="str">
            <v>ユークリッドチャレンジ</v>
          </cell>
          <cell r="M1453" t="str">
            <v>machine</v>
          </cell>
        </row>
        <row r="1454">
          <cell r="A1454">
            <v>6014</v>
          </cell>
          <cell r="B1454" t="str">
            <v>ja</v>
          </cell>
          <cell r="C1454" t="str">
            <v>月下の人狼 ローレンス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4</v>
          </cell>
          <cell r="J1454" t="str">
            <v>PremiumW</v>
          </cell>
          <cell r="K1454" t="str">
            <v>ra002</v>
          </cell>
          <cell r="L1454" t="str">
            <v>ユークリッドチャレンジ</v>
          </cell>
          <cell r="M1454" t="str">
            <v>animal</v>
          </cell>
        </row>
        <row r="1455">
          <cell r="A1455">
            <v>6015</v>
          </cell>
          <cell r="B1455" t="str">
            <v>ja</v>
          </cell>
          <cell r="C1455" t="str">
            <v>フレイヤ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PremiumSS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6016</v>
          </cell>
          <cell r="B1456" t="str">
            <v>ja</v>
          </cell>
          <cell r="C1456" t="str">
            <v>根原論理 ユークリッド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5</v>
          </cell>
          <cell r="J1456" t="str">
            <v>PremiumSSS</v>
          </cell>
          <cell r="K1456" t="str">
            <v>ra002</v>
          </cell>
          <cell r="L1456" t="str">
            <v>ユークリッドチャレンジ</v>
          </cell>
          <cell r="M1456" t="str">
            <v>human</v>
          </cell>
        </row>
        <row r="1457">
          <cell r="A1457">
            <v>6017</v>
          </cell>
          <cell r="B1457" t="str">
            <v>ja</v>
          </cell>
          <cell r="C1457" t="str">
            <v>不朽の極論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6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6018</v>
          </cell>
          <cell r="B1458" t="str">
            <v>ja</v>
          </cell>
          <cell r="C1458" t="str">
            <v>ハヅル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red</v>
          </cell>
          <cell r="I1458">
            <v>4</v>
          </cell>
          <cell r="J1458" t="str">
            <v>PremiumSS</v>
          </cell>
          <cell r="K1458" t="str">
            <v>ra002</v>
          </cell>
          <cell r="L1458" t="str">
            <v>ユークリッドチャレンジ</v>
          </cell>
          <cell r="M1458" t="str">
            <v>animal</v>
          </cell>
        </row>
        <row r="1459">
          <cell r="A1459">
            <v>6019</v>
          </cell>
          <cell r="B1459" t="str">
            <v>ja</v>
          </cell>
          <cell r="C1459" t="str">
            <v>天織羽鶴 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5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6020</v>
          </cell>
          <cell r="B1460" t="str">
            <v>ja</v>
          </cell>
          <cell r="C1460" t="str">
            <v>ミズチ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4</v>
          </cell>
          <cell r="J1460" t="str">
            <v>PremiumS</v>
          </cell>
          <cell r="K1460" t="str">
            <v>ra002</v>
          </cell>
          <cell r="L1460" t="str">
            <v>ユークリッドチャレンジ</v>
          </cell>
          <cell r="M1460" t="str">
            <v>dragon</v>
          </cell>
        </row>
        <row r="1461">
          <cell r="A1461">
            <v>8001</v>
          </cell>
          <cell r="B1461" t="str">
            <v>ja</v>
          </cell>
          <cell r="C1461" t="str">
            <v>媽祖</v>
          </cell>
          <cell r="D1461" t="str">
            <v>イベント:ミクコラボ01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PremiumSS</v>
          </cell>
          <cell r="K1461" t="str">
            <v>attack</v>
          </cell>
          <cell r="L1461" t="str">
            <v>攻撃タイプ</v>
          </cell>
          <cell r="M1461" t="str">
            <v>god</v>
          </cell>
        </row>
        <row r="1462">
          <cell r="A1462">
            <v>8002</v>
          </cell>
          <cell r="B1462" t="str">
            <v>ja</v>
          </cell>
          <cell r="C1462" t="str">
            <v>宣導する天海妃 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6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8003</v>
          </cell>
          <cell r="B1463" t="str">
            <v>ja</v>
          </cell>
          <cell r="C1463" t="str">
            <v>蛟龍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不明</v>
          </cell>
          <cell r="H1463" t="str">
            <v>blue</v>
          </cell>
          <cell r="I1463">
            <v>5</v>
          </cell>
          <cell r="J1463" t="str">
            <v>DropWizS</v>
          </cell>
          <cell r="K1463" t="str">
            <v>hp</v>
          </cell>
          <cell r="L1463" t="str">
            <v>体力タイプ</v>
          </cell>
          <cell r="M1463" t="str">
            <v>dragon</v>
          </cell>
        </row>
        <row r="1464">
          <cell r="A1464">
            <v>8004</v>
          </cell>
          <cell r="B1464" t="str">
            <v>ja</v>
          </cell>
          <cell r="C1464" t="str">
            <v>呼嵐の蒼棲龍 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6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8005</v>
          </cell>
          <cell r="B1465" t="str">
            <v>ja</v>
          </cell>
          <cell r="C1465" t="str">
            <v>三蔵法師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5</v>
          </cell>
          <cell r="J1465" t="str">
            <v>PremiumSS</v>
          </cell>
          <cell r="K1465" t="str">
            <v>balance</v>
          </cell>
          <cell r="L1465" t="str">
            <v>バランスタイプ</v>
          </cell>
          <cell r="M1465" t="str">
            <v>human</v>
          </cell>
        </row>
        <row r="1466">
          <cell r="A1466">
            <v>8006</v>
          </cell>
          <cell r="B1466" t="str">
            <v>ja</v>
          </cell>
          <cell r="C1466" t="str">
            <v>慈戒の呪封使 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6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8007</v>
          </cell>
          <cell r="B1467" t="str">
            <v>ja</v>
          </cell>
          <cell r="C1467" t="str">
            <v>孫悟空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red</v>
          </cell>
          <cell r="I1467">
            <v>5</v>
          </cell>
          <cell r="J1467" t="str">
            <v>DropWizS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8008</v>
          </cell>
          <cell r="B1468" t="str">
            <v>ja</v>
          </cell>
          <cell r="C1468" t="str">
            <v>花果の天猿仙人 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6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8009</v>
          </cell>
          <cell r="B1469" t="str">
            <v>ja</v>
          </cell>
          <cell r="C1469" t="str">
            <v>西王娘娘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green</v>
          </cell>
          <cell r="I1469">
            <v>5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8010</v>
          </cell>
          <cell r="B1470" t="str">
            <v>ja</v>
          </cell>
          <cell r="C1470" t="str">
            <v>極楽瑶池の聖母 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6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8011</v>
          </cell>
          <cell r="B1471" t="str">
            <v>ja</v>
          </cell>
          <cell r="C1471" t="str">
            <v>月下老人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5</v>
          </cell>
          <cell r="J1471" t="str">
            <v>DropWizS</v>
          </cell>
          <cell r="K1471" t="str">
            <v>balance</v>
          </cell>
          <cell r="L1471" t="str">
            <v>バランスタイプ</v>
          </cell>
          <cell r="M1471" t="str">
            <v>god</v>
          </cell>
        </row>
        <row r="1472">
          <cell r="A1472">
            <v>8012</v>
          </cell>
          <cell r="B1472" t="str">
            <v>ja</v>
          </cell>
          <cell r="C1472" t="str">
            <v>破戀斬る縁剣 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6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8013</v>
          </cell>
          <cell r="B1473" t="str">
            <v>ja</v>
          </cell>
          <cell r="C1473" t="str">
            <v>初音ミクV3</v>
          </cell>
          <cell r="D1473" t="str">
            <v>初音ミクV3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unknown</v>
          </cell>
        </row>
        <row r="1474">
          <cell r="A1474">
            <v>8014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8015</v>
          </cell>
          <cell r="B1475" t="str">
            <v>ja</v>
          </cell>
          <cell r="C1475" t="str">
            <v>初音ミク・アペンド</v>
          </cell>
          <cell r="D1475" t="str">
            <v>初音ミク・アペンド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green</v>
          </cell>
          <cell r="I1475">
            <v>4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unknown</v>
          </cell>
        </row>
        <row r="1476">
          <cell r="A1476">
            <v>8016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5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8017</v>
          </cell>
          <cell r="B1477" t="str">
            <v>ja</v>
          </cell>
          <cell r="C1477" t="str">
            <v>初音ミク</v>
          </cell>
          <cell r="D1477" t="str">
            <v>初音ミク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4</v>
          </cell>
          <cell r="J1477" t="str">
            <v>PremiumSSS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8018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5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8019</v>
          </cell>
          <cell r="B1479" t="str">
            <v>ja</v>
          </cell>
          <cell r="C1479" t="str">
            <v>鏡音リン</v>
          </cell>
          <cell r="D1479" t="str">
            <v>鏡音リン</v>
          </cell>
          <cell r="E1479" t="str">
            <v>執行者</v>
          </cell>
          <cell r="F1479" t="str">
            <v>格好いい</v>
          </cell>
          <cell r="G1479" t="str">
            <v>男性</v>
          </cell>
          <cell r="H1479" t="str">
            <v>yellow</v>
          </cell>
          <cell r="I1479">
            <v>4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8020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5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8021</v>
          </cell>
          <cell r="B1481" t="str">
            <v>ja</v>
          </cell>
          <cell r="C1481" t="str">
            <v>鏡音レン</v>
          </cell>
          <cell r="D1481" t="str">
            <v>鏡音レン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4</v>
          </cell>
          <cell r="J1481" t="str">
            <v>PremiumSS</v>
          </cell>
          <cell r="K1481" t="str">
            <v>heal</v>
          </cell>
          <cell r="L1481" t="str">
            <v>回復タイプ</v>
          </cell>
          <cell r="M1481" t="str">
            <v>unknown</v>
          </cell>
        </row>
        <row r="1482">
          <cell r="A1482">
            <v>8022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5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8023</v>
          </cell>
          <cell r="B1483" t="str">
            <v>ja</v>
          </cell>
          <cell r="C1483" t="str">
            <v>巡音ルカ</v>
          </cell>
          <cell r="D1483" t="str">
            <v>巡音ルカ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3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unknown</v>
          </cell>
        </row>
        <row r="1484">
          <cell r="A1484">
            <v>8024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4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8025</v>
          </cell>
          <cell r="B1485" t="str">
            <v>ja</v>
          </cell>
          <cell r="C1485" t="str">
            <v>MEIKO</v>
          </cell>
          <cell r="D1485" t="str">
            <v>MEIKO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red</v>
          </cell>
          <cell r="I1485">
            <v>3</v>
          </cell>
          <cell r="J1485" t="str">
            <v>PremiumS</v>
          </cell>
          <cell r="K1485" t="str">
            <v>hp</v>
          </cell>
          <cell r="L1485" t="str">
            <v>体力タイプ</v>
          </cell>
          <cell r="M1485" t="str">
            <v>unknown</v>
          </cell>
        </row>
        <row r="1486">
          <cell r="A1486">
            <v>8026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4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8027</v>
          </cell>
          <cell r="B1487" t="str">
            <v>ja</v>
          </cell>
          <cell r="C1487" t="str">
            <v>KAITO</v>
          </cell>
          <cell r="D1487" t="str">
            <v>KAITO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3</v>
          </cell>
          <cell r="J1487" t="str">
            <v>PremiumS</v>
          </cell>
          <cell r="K1487" t="str">
            <v>technical</v>
          </cell>
          <cell r="L1487" t="str">
            <v>テクニカルタイプ</v>
          </cell>
          <cell r="M1487" t="str">
            <v>unknown</v>
          </cell>
        </row>
        <row r="1488">
          <cell r="A1488">
            <v>8028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4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8029</v>
          </cell>
          <cell r="B1489" t="str">
            <v>ja</v>
          </cell>
          <cell r="C1489" t="str">
            <v>Expoミク</v>
          </cell>
          <cell r="D1489" t="str">
            <v>Expoミク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Drop2N</v>
          </cell>
          <cell r="K1489" t="str">
            <v>heal</v>
          </cell>
          <cell r="L1489" t="str">
            <v>回復タイプ</v>
          </cell>
          <cell r="M1489" t="str">
            <v>unknown</v>
          </cell>
        </row>
        <row r="1490">
          <cell r="A1490">
            <v>8030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8031</v>
          </cell>
          <cell r="B1491" t="str">
            <v>ja</v>
          </cell>
          <cell r="C1491" t="str">
            <v>閻羅王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red</v>
          </cell>
          <cell r="I1491">
            <v>5</v>
          </cell>
          <cell r="J1491" t="str">
            <v>PremiumSS</v>
          </cell>
          <cell r="K1491" t="str">
            <v>balance</v>
          </cell>
          <cell r="L1491" t="str">
            <v>バランスタイプ</v>
          </cell>
          <cell r="M1491" t="str">
            <v>god</v>
          </cell>
        </row>
        <row r="1492">
          <cell r="A1492">
            <v>8032</v>
          </cell>
          <cell r="B1492" t="str">
            <v>ja</v>
          </cell>
          <cell r="C1492" t="str">
            <v>六道輪廻の絶獄 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6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8033</v>
          </cell>
          <cell r="B1493" t="str">
            <v>ja</v>
          </cell>
          <cell r="C1493" t="str">
            <v>牛頭馬面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green</v>
          </cell>
          <cell r="I1493">
            <v>5</v>
          </cell>
          <cell r="J1493" t="str">
            <v>DropWizS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8034</v>
          </cell>
          <cell r="B1494" t="str">
            <v>ja</v>
          </cell>
          <cell r="C1494" t="str">
            <v>冥府狩る魂使 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6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8035</v>
          </cell>
          <cell r="B1495" t="str">
            <v>ja</v>
          </cell>
          <cell r="C1495" t="str">
            <v>飛衛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heal</v>
          </cell>
          <cell r="L1495" t="str">
            <v>回復タイプ</v>
          </cell>
          <cell r="M1495" t="str">
            <v>human</v>
          </cell>
        </row>
        <row r="1496">
          <cell r="A1496">
            <v>8036</v>
          </cell>
          <cell r="B1496" t="str">
            <v>ja</v>
          </cell>
          <cell r="C1496" t="str">
            <v>レア６飛衛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8037</v>
          </cell>
          <cell r="B1497" t="str">
            <v>ja</v>
          </cell>
          <cell r="C1497" t="str">
            <v>紀昌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human</v>
          </cell>
        </row>
        <row r="1498">
          <cell r="A1498">
            <v>8038</v>
          </cell>
          <cell r="B1498" t="str">
            <v>ja</v>
          </cell>
          <cell r="C1498" t="str">
            <v>レア６紀昌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8039</v>
          </cell>
          <cell r="B1499" t="str">
            <v>ja</v>
          </cell>
          <cell r="C1499" t="str">
            <v>何仙姑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yellow</v>
          </cell>
          <cell r="I1499">
            <v>5</v>
          </cell>
          <cell r="J1499" t="str">
            <v>PremiumSSw</v>
          </cell>
          <cell r="K1499" t="str">
            <v>hp</v>
          </cell>
          <cell r="L1499" t="str">
            <v>体力タイプ</v>
          </cell>
          <cell r="M1499" t="str">
            <v>god</v>
          </cell>
        </row>
        <row r="1500">
          <cell r="A1500">
            <v>8040</v>
          </cell>
          <cell r="B1500" t="str">
            <v>ja</v>
          </cell>
          <cell r="C1500" t="str">
            <v>レア６何仙姑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8041</v>
          </cell>
          <cell r="B1501" t="str">
            <v>ja</v>
          </cell>
          <cell r="C1501" t="str">
            <v>藍采和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blue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8042</v>
          </cell>
          <cell r="B1502" t="str">
            <v>ja</v>
          </cell>
          <cell r="C1502" t="str">
            <v>レア６藍采和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8043</v>
          </cell>
          <cell r="B1503" t="str">
            <v>ja</v>
          </cell>
          <cell r="C1503" t="str">
            <v>サンリオキャラ大集合+アザゼル</v>
          </cell>
          <cell r="D1503" t="str">
            <v>サンリオキャラ大集合+アザゼル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ss</v>
          </cell>
        </row>
        <row r="1504">
          <cell r="A1504">
            <v>8044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8045</v>
          </cell>
          <cell r="B1505" t="str">
            <v>ja</v>
          </cell>
          <cell r="C1505" t="str">
            <v>ニムダ_サンリオキャラ混じり</v>
          </cell>
          <cell r="D1505" t="str">
            <v>ニムダ_サンリオキャラ混じり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4</v>
          </cell>
          <cell r="J1505" t="str">
            <v>Drop2N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8046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5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8047</v>
          </cell>
          <cell r="B1507" t="str">
            <v>ja</v>
          </cell>
          <cell r="C1507" t="str">
            <v>ハローキティ</v>
          </cell>
          <cell r="D1507" t="str">
            <v>ハローキティ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4</v>
          </cell>
          <cell r="J1507" t="str">
            <v>Drop2N</v>
          </cell>
          <cell r="K1507" t="str">
            <v>balance</v>
          </cell>
          <cell r="L1507" t="str">
            <v>バランスタイプ</v>
          </cell>
          <cell r="M1507" t="str">
            <v>ss</v>
          </cell>
        </row>
        <row r="1508">
          <cell r="A1508">
            <v>8048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5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8049</v>
          </cell>
          <cell r="B1509" t="str">
            <v>ja</v>
          </cell>
          <cell r="C1509" t="str">
            <v>KIRIMIちゃん</v>
          </cell>
          <cell r="D1509" t="str">
            <v>KIRIMIちゃん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4</v>
          </cell>
          <cell r="J1509" t="str">
            <v>Drop2N</v>
          </cell>
          <cell r="K1509" t="str">
            <v>hp</v>
          </cell>
          <cell r="L1509" t="str">
            <v>体力タイプ</v>
          </cell>
          <cell r="M1509" t="str">
            <v>ss</v>
          </cell>
        </row>
        <row r="1510">
          <cell r="A1510">
            <v>8050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5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8051</v>
          </cell>
          <cell r="B1511" t="str">
            <v>ja</v>
          </cell>
          <cell r="C1511" t="str">
            <v>ハローキティのリボン</v>
          </cell>
          <cell r="D1511" t="str">
            <v>ハローキティのリボン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evolution</v>
          </cell>
          <cell r="L1511" t="str">
            <v>覚醒素材タイプ</v>
          </cell>
          <cell r="M1511" t="str">
            <v>ss</v>
          </cell>
        </row>
        <row r="1512">
          <cell r="A1512">
            <v>8052</v>
          </cell>
          <cell r="B1512" t="str">
            <v>ja</v>
          </cell>
          <cell r="C1512" t="str">
            <v>ママの作ったアップルパイ</v>
          </cell>
          <cell r="D1512" t="str">
            <v>ママの作ったアップルパイ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4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8053</v>
          </cell>
          <cell r="B1513" t="str">
            <v>ja</v>
          </cell>
          <cell r="C1513" t="str">
            <v>D.R.T.H__キティコスプレ</v>
          </cell>
          <cell r="D1513" t="str">
            <v>D.R.T.H__キティコスプレ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5</v>
          </cell>
          <cell r="J1513" t="str">
            <v>PremiumSS</v>
          </cell>
          <cell r="K1513" t="str">
            <v>balance</v>
          </cell>
          <cell r="L1513" t="str">
            <v>バランスタイプ</v>
          </cell>
          <cell r="M1513" t="str">
            <v>ss</v>
          </cell>
        </row>
        <row r="1514">
          <cell r="A1514">
            <v>8054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6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8055</v>
          </cell>
          <cell r="B1515" t="str">
            <v>ja</v>
          </cell>
          <cell r="C1515" t="str">
            <v>マイメロディ</v>
          </cell>
          <cell r="D1515" t="str">
            <v>マイメロディ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PremiumS</v>
          </cell>
          <cell r="K1515" t="str">
            <v>attack</v>
          </cell>
          <cell r="L1515" t="str">
            <v>攻撃タイプ</v>
          </cell>
          <cell r="M1515" t="str">
            <v>ss</v>
          </cell>
        </row>
        <row r="1516">
          <cell r="A1516">
            <v>8056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5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8057</v>
          </cell>
          <cell r="B1517" t="str">
            <v>ja</v>
          </cell>
          <cell r="C1517" t="str">
            <v>ニーベルゲン_シナモロールコスプレ</v>
          </cell>
          <cell r="D1517" t="str">
            <v>ニーベルゲン_シナモロールコスプレ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8058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8059</v>
          </cell>
          <cell r="B1519" t="str">
            <v>ja</v>
          </cell>
          <cell r="C1519" t="str">
            <v>カカシ_マイメロディコスプレ</v>
          </cell>
          <cell r="D1519" t="str">
            <v>カカシ_マイメロディコスプレ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</v>
          </cell>
          <cell r="K1519" t="str">
            <v>technical</v>
          </cell>
          <cell r="L1519" t="str">
            <v>テクニカルタイプ</v>
          </cell>
          <cell r="M1519" t="str">
            <v>ss</v>
          </cell>
        </row>
        <row r="1520">
          <cell r="A1520">
            <v>8060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8061</v>
          </cell>
          <cell r="B1521" t="str">
            <v>ja</v>
          </cell>
          <cell r="C1521" t="str">
            <v>ケロケロけろっぴ</v>
          </cell>
          <cell r="D1521" t="str">
            <v>ケロケロけろっぴ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3</v>
          </cell>
          <cell r="J1521" t="str">
            <v>PremiumS</v>
          </cell>
          <cell r="K1521" t="str">
            <v>balance</v>
          </cell>
          <cell r="L1521" t="str">
            <v>バランスタイプ</v>
          </cell>
          <cell r="M1521" t="str">
            <v>ss</v>
          </cell>
        </row>
        <row r="1522">
          <cell r="A1522">
            <v>8062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4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8063</v>
          </cell>
          <cell r="B1523" t="str">
            <v>ja</v>
          </cell>
          <cell r="C1523" t="str">
            <v>モルドレッド_ポムポムプリンコスプレ</v>
          </cell>
          <cell r="D1523" t="str">
            <v>モルドレッド_ポムポムプリンコスプレ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5</v>
          </cell>
          <cell r="J1523" t="str">
            <v>PremiumSS</v>
          </cell>
          <cell r="K1523" t="str">
            <v>heal</v>
          </cell>
          <cell r="L1523" t="str">
            <v>回復タイプ</v>
          </cell>
          <cell r="M1523" t="str">
            <v>ss</v>
          </cell>
        </row>
        <row r="1524">
          <cell r="A1524">
            <v>8064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6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8065</v>
          </cell>
          <cell r="B1525" t="str">
            <v>ja</v>
          </cell>
          <cell r="C1525" t="str">
            <v>クロミ</v>
          </cell>
          <cell r="D1525" t="str">
            <v>クロミ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3</v>
          </cell>
          <cell r="J1525" t="str">
            <v>PremiumS</v>
          </cell>
          <cell r="K1525" t="str">
            <v>technical</v>
          </cell>
          <cell r="L1525" t="str">
            <v>テクニカルタイプ</v>
          </cell>
          <cell r="M1525" t="str">
            <v>ss</v>
          </cell>
        </row>
        <row r="1526">
          <cell r="A1526">
            <v>8066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4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8067</v>
          </cell>
          <cell r="B1527" t="str">
            <v>ja</v>
          </cell>
          <cell r="C1527" t="str">
            <v>バッドばつ丸</v>
          </cell>
          <cell r="D1527" t="str">
            <v>バッドばつ丸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ss</v>
          </cell>
        </row>
        <row r="1528">
          <cell r="A1528">
            <v>8068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8069</v>
          </cell>
          <cell r="B1529" t="str">
            <v>ja</v>
          </cell>
          <cell r="C1529" t="str">
            <v>シナモロール</v>
          </cell>
          <cell r="D1529" t="str">
            <v>シナモロール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4</v>
          </cell>
          <cell r="J1529" t="str">
            <v>PremiumS</v>
          </cell>
          <cell r="K1529" t="str">
            <v>heal</v>
          </cell>
          <cell r="L1529" t="str">
            <v>回復タイプ</v>
          </cell>
          <cell r="M1529" t="str">
            <v>ss</v>
          </cell>
        </row>
        <row r="1530">
          <cell r="A1530">
            <v>8070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5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8071</v>
          </cell>
          <cell r="B1531" t="str">
            <v>ja</v>
          </cell>
          <cell r="C1531" t="str">
            <v>ポムポムプリン</v>
          </cell>
          <cell r="D1531" t="str">
            <v>ポムポムプリン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ss</v>
          </cell>
        </row>
        <row r="1532">
          <cell r="A1532">
            <v>8072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8073</v>
          </cell>
          <cell r="B1533" t="str">
            <v>ja</v>
          </cell>
          <cell r="C1533" t="str">
            <v>星海祈る天光妃 媽祖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6</v>
          </cell>
          <cell r="J1533" t="str">
            <v>PremiumSS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8074</v>
          </cell>
          <cell r="B1534" t="str">
            <v>ja</v>
          </cell>
          <cell r="C1534" t="str">
            <v>海戀の絶龍姫 蛟龍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6</v>
          </cell>
          <cell r="J1534" t="str">
            <v>DropWizS</v>
          </cell>
          <cell r="K1534" t="str">
            <v>hp</v>
          </cell>
          <cell r="L1534" t="str">
            <v>体力タイプ</v>
          </cell>
          <cell r="M1534" t="str">
            <v>dragon</v>
          </cell>
        </row>
        <row r="1535">
          <cell r="A1535">
            <v>8075</v>
          </cell>
          <cell r="B1535" t="str">
            <v>ja</v>
          </cell>
          <cell r="C1535" t="str">
            <v>三蔵法師_超覚醒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8076</v>
          </cell>
          <cell r="B1536" t="str">
            <v>ja</v>
          </cell>
          <cell r="C1536" t="str">
            <v>孫悟空_超覚醒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8077</v>
          </cell>
          <cell r="B1537" t="str">
            <v>ja</v>
          </cell>
          <cell r="C1537" t="str">
            <v>鄭成功</v>
          </cell>
          <cell r="D1537" t="str">
            <v>ポムポムプリン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8078</v>
          </cell>
          <cell r="B1538" t="str">
            <v>ja</v>
          </cell>
          <cell r="C1538" t="str">
            <v>レア６鄭成功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8079</v>
          </cell>
          <cell r="B1539" t="str">
            <v>ja</v>
          </cell>
          <cell r="C1539" t="str">
            <v>赤鬼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5</v>
          </cell>
          <cell r="J1539" t="str">
            <v>DropWizS</v>
          </cell>
          <cell r="K1539" t="str">
            <v>hp</v>
          </cell>
          <cell r="L1539" t="str">
            <v>体力タイプ</v>
          </cell>
          <cell r="M1539" t="str">
            <v>dragon</v>
          </cell>
        </row>
        <row r="1540">
          <cell r="A1540">
            <v>8080</v>
          </cell>
          <cell r="B1540" t="str">
            <v>ja</v>
          </cell>
          <cell r="C1540" t="str">
            <v>レア６赤鬼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6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8081</v>
          </cell>
          <cell r="B1541" t="str">
            <v>ja</v>
          </cell>
          <cell r="C1541" t="str">
            <v>関羽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green</v>
          </cell>
          <cell r="I1541">
            <v>5</v>
          </cell>
          <cell r="J1541" t="str">
            <v>PremiumSSS</v>
          </cell>
          <cell r="K1541" t="str">
            <v>balance</v>
          </cell>
          <cell r="L1541" t="str">
            <v>バランスタイプ</v>
          </cell>
          <cell r="M1541" t="str">
            <v>samurai</v>
          </cell>
        </row>
        <row r="1542">
          <cell r="A1542">
            <v>8082</v>
          </cell>
          <cell r="B1542" t="str">
            <v>ja</v>
          </cell>
          <cell r="C1542" t="str">
            <v>★６関羽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6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8083</v>
          </cell>
          <cell r="B1543" t="str">
            <v>ja</v>
          </cell>
          <cell r="C1543" t="str">
            <v>曹操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yellow</v>
          </cell>
          <cell r="I1543">
            <v>5</v>
          </cell>
          <cell r="J1543" t="str">
            <v>DropWizSS</v>
          </cell>
          <cell r="K1543" t="str">
            <v>technical</v>
          </cell>
          <cell r="L1543" t="str">
            <v>テクニカルタイプ</v>
          </cell>
          <cell r="M1543" t="str">
            <v>samurai</v>
          </cell>
        </row>
        <row r="1544">
          <cell r="A1544">
            <v>8084</v>
          </cell>
          <cell r="B1544" t="str">
            <v>ja</v>
          </cell>
          <cell r="C1544" t="str">
            <v>★６曹操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6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8087</v>
          </cell>
          <cell r="B1545" t="str">
            <v>ja</v>
          </cell>
          <cell r="C1545" t="str">
            <v>財神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red</v>
          </cell>
          <cell r="I1545">
            <v>5</v>
          </cell>
          <cell r="J1545" t="str">
            <v>PremiumSSS</v>
          </cell>
          <cell r="K1545" t="str">
            <v>technical</v>
          </cell>
          <cell r="L1545" t="str">
            <v>テクニカルタイプ</v>
          </cell>
          <cell r="M1545" t="str">
            <v>god</v>
          </cell>
        </row>
        <row r="1546">
          <cell r="A1546">
            <v>8088</v>
          </cell>
          <cell r="B1546" t="str">
            <v>ja</v>
          </cell>
          <cell r="C1546" t="str">
            <v>★６財神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6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8089</v>
          </cell>
          <cell r="B1547" t="str">
            <v>ja</v>
          </cell>
          <cell r="C1547" t="str">
            <v>年獣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green</v>
          </cell>
          <cell r="I1547">
            <v>5</v>
          </cell>
          <cell r="J1547" t="str">
            <v>DropWizS</v>
          </cell>
          <cell r="K1547" t="str">
            <v>attack</v>
          </cell>
          <cell r="L1547" t="str">
            <v>攻撃タイプ</v>
          </cell>
          <cell r="M1547" t="str">
            <v>animal</v>
          </cell>
        </row>
        <row r="1548">
          <cell r="A1548">
            <v>8090</v>
          </cell>
          <cell r="B1548" t="str">
            <v>ja</v>
          </cell>
          <cell r="C1548" t="str">
            <v>★６年獣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6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8095</v>
          </cell>
          <cell r="B1549" t="str">
            <v>ja</v>
          </cell>
          <cell r="C1549" t="str">
            <v>バハムートダック赤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6</v>
          </cell>
          <cell r="J1549" t="str">
            <v>Material</v>
          </cell>
          <cell r="K1549" t="str">
            <v>exp</v>
          </cell>
          <cell r="L1549" t="str">
            <v>強化素材タイプ</v>
          </cell>
          <cell r="M1549" t="str">
            <v>unknown</v>
          </cell>
        </row>
        <row r="1550">
          <cell r="A1550">
            <v>8096</v>
          </cell>
          <cell r="B1550" t="str">
            <v>ja</v>
          </cell>
          <cell r="C1550" t="str">
            <v>バハムートダック緑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8097</v>
          </cell>
          <cell r="B1551" t="str">
            <v>ja</v>
          </cell>
          <cell r="C1551" t="str">
            <v>バハムートダック青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blue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8098</v>
          </cell>
          <cell r="B1552" t="str">
            <v>ja</v>
          </cell>
          <cell r="C1552" t="str">
            <v>バハムートダック黄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8099</v>
          </cell>
          <cell r="B1553" t="str">
            <v>ja</v>
          </cell>
          <cell r="C1553" t="str">
            <v>リトルハンプティ</v>
          </cell>
          <cell r="D1553" t="str">
            <v>各属性相性良3・黄・R455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green</v>
          </cell>
          <cell r="I1553">
            <v>6</v>
          </cell>
          <cell r="J1553" t="str">
            <v>Material</v>
          </cell>
          <cell r="K1553" t="str">
            <v>evolution</v>
          </cell>
          <cell r="L1553" t="str">
            <v>覚醒素材タイプ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7" sqref="C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526100</v>
      </c>
      <c r="D2" s="19" t="s">
        <v>45</v>
      </c>
      <c r="E2" s="17" t="str">
        <f t="shared" ref="E2" si="1">B2&amp;C2&amp;D2</f>
        <v>gacha_select_tables_526100.tmp</v>
      </c>
      <c r="F2" s="101" t="s">
        <v>261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526010</v>
      </c>
      <c r="D3" s="19" t="s">
        <v>45</v>
      </c>
      <c r="E3" s="17" t="str">
        <f t="shared" ref="E3:E10" si="3">B3&amp;C3&amp;D3</f>
        <v>gacha_select_tables_526010.tmp</v>
      </c>
      <c r="F3" s="101" t="s">
        <v>262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9" t="s">
        <v>252</v>
      </c>
      <c r="B4" s="95" t="s">
        <v>247</v>
      </c>
      <c r="C4" s="96" t="str">
        <f t="shared" si="2"/>
        <v>526100</v>
      </c>
      <c r="D4" s="19" t="s">
        <v>248</v>
      </c>
      <c r="E4" s="17" t="str">
        <f t="shared" si="3"/>
        <v>gacha_settle_tables_526100.tmp</v>
      </c>
      <c r="F4" s="101" t="s">
        <v>263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9" t="s">
        <v>253</v>
      </c>
      <c r="B8" s="27" t="s">
        <v>50</v>
      </c>
      <c r="C8" s="32">
        <v>526</v>
      </c>
      <c r="D8" s="19" t="s">
        <v>46</v>
      </c>
      <c r="E8" s="17" t="str">
        <f t="shared" si="3"/>
        <v>gacha_bonus_tables_526.tmp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9" t="s">
        <v>258</v>
      </c>
      <c r="B9" s="19" t="s">
        <v>48</v>
      </c>
      <c r="C9" s="32">
        <v>526</v>
      </c>
      <c r="D9" s="19" t="s">
        <v>46</v>
      </c>
      <c r="E9" s="17" t="str">
        <f t="shared" si="3"/>
        <v>gifts_tmp_526.tmp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9" t="s">
        <v>259</v>
      </c>
      <c r="B10" s="19" t="s">
        <v>49</v>
      </c>
      <c r="C10" s="32">
        <v>526</v>
      </c>
      <c r="D10" s="19" t="s">
        <v>46</v>
      </c>
      <c r="E10" s="17" t="str">
        <f t="shared" si="3"/>
        <v>gifts_i18n_526.tmp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opLeftCell="A2" workbookViewId="0">
      <selection activeCell="D40" sqref="D4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VLOOKUP(L3,tables_526010!B:C,2,FALSE)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VLOOKUP(L4,tables_526010!B:C,2,FALSE)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7.5757575757575758E-4</v>
      </c>
      <c r="F5">
        <f>(COUNTIF(tables_526010!C:C,input_526010!A28)+COUNTIF(tables_526010!C:C,input_526010!A29))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VLOOKUP(L5,tables_526010!B:C,2,FALSE)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0.47500000000000003</v>
      </c>
      <c r="D6" t="s">
        <v>202</v>
      </c>
      <c r="E6" s="76">
        <f>(B10-H6)/(F6-I6)</f>
        <v>0.01</v>
      </c>
      <c r="F6">
        <f>(COUNTIF(tables_526010!C:C,input_526010!A25)+COUNTIF(tables_526010!C:C,input_526010!A18)+COUNTIF(tables_526010!C:C,input_526010!A20)+COUNTIF(tables_526010!C:C,input_526010!A22))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VLOOKUP(L6,tables_526010!B:C,2,FALSE)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VLOOKUP(L7,tables_526010!B:C,2,FALSE)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VLOOKUP(L8,tables_526010!B:C,2,FALSE)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251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0.19800000000000001</v>
      </c>
      <c r="C17" s="85">
        <f t="shared" ref="C17:C31" si="2">SUMIF(Q:Q,A17,N:N)</f>
        <v>0</v>
      </c>
      <c r="D17" s="74">
        <f t="shared" ref="D17:D32" si="3">B17-C17</f>
        <v>0.19800000000000001</v>
      </c>
      <c r="E17">
        <f>COUNTIF(tables_526010!C:C,input_526010!A17)-COUNTIF(Q:Q,A17)</f>
        <v>20</v>
      </c>
      <c r="F17" s="43">
        <f>IFERROR(B17/E17,0)</f>
        <v>9.9000000000000008E-3</v>
      </c>
      <c r="G17">
        <f t="shared" ref="G17:G31" si="4">A$36*B17</f>
        <v>12283920</v>
      </c>
      <c r="H17">
        <f t="shared" ref="H17:H31" si="5">IFERROR(ROUND(G17/E17,5),0)</f>
        <v>614196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2.7378787878787877E-2</v>
      </c>
      <c r="C18" s="85">
        <f t="shared" si="2"/>
        <v>0</v>
      </c>
      <c r="D18" s="74">
        <f t="shared" si="3"/>
        <v>2.7378787878787877E-2</v>
      </c>
      <c r="E18">
        <f>COUNTIF(tables_526010!C:C,input_526010!A18)-COUNTIF(Q:Q,A18)</f>
        <v>20</v>
      </c>
      <c r="F18" s="43">
        <f>IFERROR(B18/E18,0)</f>
        <v>1.3689393939393939E-3</v>
      </c>
      <c r="G18">
        <f t="shared" si="4"/>
        <v>1698580</v>
      </c>
      <c r="H18">
        <f t="shared" si="5"/>
        <v>84929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0.23400000000000001</v>
      </c>
      <c r="C19" s="85">
        <f t="shared" si="2"/>
        <v>0</v>
      </c>
      <c r="D19" s="74">
        <f t="shared" si="3"/>
        <v>0.23400000000000001</v>
      </c>
      <c r="E19">
        <f>COUNTIF(tables_526010!C:C,input_526010!A19)-COUNTIF(Q:Q,A19)</f>
        <v>52</v>
      </c>
      <c r="F19" s="43">
        <f t="shared" ref="F19:F31" si="8">IFERROR(B19/E19,0)</f>
        <v>4.5000000000000005E-3</v>
      </c>
      <c r="G19">
        <f t="shared" si="4"/>
        <v>14517360</v>
      </c>
      <c r="H19">
        <f t="shared" si="5"/>
        <v>279180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0.24700000000000003</v>
      </c>
      <c r="C20" s="85">
        <f t="shared" si="2"/>
        <v>0</v>
      </c>
      <c r="D20" s="74">
        <f t="shared" si="3"/>
        <v>0.24700000000000003</v>
      </c>
      <c r="E20">
        <f>COUNTIF(tables_526010!C:C,input_526010!A20)-COUNTIF(Q:Q,A20)</f>
        <v>52</v>
      </c>
      <c r="F20" s="43">
        <f t="shared" si="8"/>
        <v>4.7500000000000007E-3</v>
      </c>
      <c r="G20">
        <f t="shared" si="4"/>
        <v>15323880.000000002</v>
      </c>
      <c r="H20">
        <f t="shared" si="5"/>
        <v>294690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COUNTIF(tables_526010!C:C,input_526010!A21)-COUNTIF(Q:Q,A21)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COUNTIF(tables_526010!C:C,input_526010!A22)-COUNTIF(Q:Q,A22)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COUNTIF(tables_526010!C:C,input_526010!A23)-COUNTIF(Q:Q,A23)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1.8000000000000002E-2</v>
      </c>
      <c r="C24" s="85">
        <f t="shared" si="2"/>
        <v>0</v>
      </c>
      <c r="D24" s="74">
        <f t="shared" si="3"/>
        <v>1.8000000000000002E-2</v>
      </c>
      <c r="E24">
        <f>COUNTIF(tables_526010!C:C,input_526010!A24)-COUNTIF(Q:Q,A24)</f>
        <v>4</v>
      </c>
      <c r="F24" s="43">
        <f t="shared" si="8"/>
        <v>4.5000000000000005E-3</v>
      </c>
      <c r="G24">
        <f t="shared" si="4"/>
        <v>1116720.0000000002</v>
      </c>
      <c r="H24">
        <f t="shared" si="5"/>
        <v>279180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1.9000000000000003E-2</v>
      </c>
      <c r="C25" s="85">
        <f t="shared" si="2"/>
        <v>0</v>
      </c>
      <c r="D25" s="74">
        <f t="shared" si="3"/>
        <v>1.9000000000000003E-2</v>
      </c>
      <c r="E25">
        <f>COUNTIF(tables_526010!C:C,input_526010!A25)-COUNTIF(Q:Q,A25)</f>
        <v>4</v>
      </c>
      <c r="F25" s="43">
        <f t="shared" si="8"/>
        <v>4.7500000000000007E-3</v>
      </c>
      <c r="G25">
        <f t="shared" si="4"/>
        <v>1178760.0000000002</v>
      </c>
      <c r="H25">
        <f t="shared" si="5"/>
        <v>294690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COUNTIF(tables_526010!C:C,input_526010!A26)-COUNTIF(Q:Q,A26)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COUNTIF(tables_526010!C:C,input_526010!A27)-COUNTIF(Q:Q,A27)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COUNTIF(tables_526010!C:C,input_526010!A28)-COUNTIF(Q:Q,A28)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COUNTIF(tables_526010!C:C,input_526010!A29)-COUNTIF(Q:Q,A29)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COUNTIF(tables_526010!C:C,input_526010!A30)-COUNTIF(Q:Q,A30)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COUNTIF(tables_526010!C:C,input_526010!A31)-COUNTIF(Q:Q,A31)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SUMIF(tables_526010!C:C,input_526010!A40,tables_526010!O:O)</f>
        <v>14517360</v>
      </c>
      <c r="C40" s="54">
        <f t="shared" ref="C40:C46" ca="1" si="9">B40/B$47</f>
        <v>0.45363489498908743</v>
      </c>
      <c r="E40">
        <v>3</v>
      </c>
      <c r="F40">
        <f ca="1">SUMIF(tables_526010!J:J,input_526010!E40,tables_526010!O:O)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SUMIF(tables_526010!C:C,input_526010!A41,tables_526010!O:O)</f>
        <v>15323880</v>
      </c>
      <c r="C41" s="54">
        <f t="shared" ca="1" si="9"/>
        <v>0.47883683359959228</v>
      </c>
      <c r="E41">
        <v>4</v>
      </c>
      <c r="F41">
        <f ca="1">SUMIF(tables_526010!J:J,input_526010!E41,tables_526010!O:O)</f>
        <v>29469000</v>
      </c>
      <c r="G41">
        <f ca="1">F41/A36</f>
        <v>0.47499999999999998</v>
      </c>
    </row>
    <row r="42" spans="1:7" x14ac:dyDescent="0.15">
      <c r="A42" s="33" t="s">
        <v>106</v>
      </c>
      <c r="B42">
        <f ca="1">SUMIF(tables_526010!C:C,input_526010!A42,tables_526010!O:O)</f>
        <v>1217300</v>
      </c>
      <c r="C42" s="54">
        <f t="shared" ca="1" si="9"/>
        <v>3.8037891026344743E-2</v>
      </c>
      <c r="E42">
        <v>5</v>
      </c>
      <c r="F42">
        <f ca="1">SUMIF(tables_526010!J:J,input_526010!E42,tables_526010!O:O)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SUMIF(tables_526010!C:C,input_526010!A43,tables_526010!O:O)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SUMIF(tables_526010!C:C,input_526010!A44,tables_526010!O:O)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SUMIF(tables_526010!C:C,input_526010!A45,tables_526010!O:O)</f>
        <v>98700</v>
      </c>
      <c r="C45" s="54">
        <f t="shared" ca="1" si="9"/>
        <v>3.0841533264603848E-3</v>
      </c>
      <c r="E45" t="s">
        <v>204</v>
      </c>
      <c r="F45" s="55">
        <f ca="1">SUMIF(tables_526010!I:I,input_526010!E45,tables_526010!P:P)</f>
        <v>0.22987878787804714</v>
      </c>
    </row>
    <row r="46" spans="1:7" x14ac:dyDescent="0.15">
      <c r="A46" s="33" t="s">
        <v>108</v>
      </c>
      <c r="B46">
        <f>SUMIF(tables_526010!C:C,input_526010!A46,tables_526010!O:O)</f>
        <v>0</v>
      </c>
      <c r="C46" s="54">
        <f t="shared" ca="1" si="9"/>
        <v>0</v>
      </c>
      <c r="E46" t="s">
        <v>205</v>
      </c>
      <c r="F46" s="55">
        <f ca="1">SUMIF(tables_526010!I:I,input_526010!E46,tables_526010!P:P)</f>
        <v>0.19170308857852469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0.99999999999999989</v>
      </c>
      <c r="E47" t="s">
        <v>206</v>
      </c>
      <c r="F47" s="55">
        <f ca="1">SUMIF(tables_526010!I:I,input_526010!E47,tables_526010!P:P)</f>
        <v>0.51841812354362282</v>
      </c>
    </row>
    <row r="48" spans="1:7" x14ac:dyDescent="0.15">
      <c r="E48" t="s">
        <v>207</v>
      </c>
      <c r="F48" s="55">
        <f ca="1">SUMIF(tables_526010!I:I,input_526010!E48,tables_526010!P:P)</f>
        <v>4.4696969696825607E-2</v>
      </c>
      <c r="G48" s="55">
        <f ca="1">0.05-F48-F49</f>
        <v>1.6118096440864704E-13</v>
      </c>
    </row>
    <row r="49" spans="5:7" x14ac:dyDescent="0.15">
      <c r="E49" t="s">
        <v>249</v>
      </c>
      <c r="F49" s="55">
        <f ca="1">SUMIF(tables_526010!I:I,input_526010!E49,tables_526010!P:P)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5" activePane="bottomLeft" state="frozen"/>
      <selection activeCell="H276" sqref="H276"/>
      <selection pane="bottomLeft" activeCell="B346" sqref="B346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input_526010!A$2</f>
        <v>526010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IFERROR(VLOOKUP(B2,input_526010!L:R,7,FALSE),VLOOKUP(tables_526010!C2,input_526010!A:H,8,FALSE))</f>
        <v>614196</v>
      </c>
      <c r="P2" s="46">
        <f t="shared" ref="P2:P65" ca="1" si="1">O2/SUM(O:O)</f>
        <v>9.8999999999680958E-3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input_526010!A$2</f>
        <v>526010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IFERROR(VLOOKUP(B3,input_526010!L:R,7,FALSE),VLOOKUP(tables_526010!C3,input_526010!A:H,8,FALSE))</f>
        <v>84929</v>
      </c>
      <c r="P3" s="46">
        <f t="shared" ca="1" si="1"/>
        <v>1.3689393939349825E-3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input_526010!A$2</f>
        <v>526010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IFERROR(VLOOKUP(B4,input_526010!L:R,7,FALSE),VLOOKUP(tables_526010!C4,input_526010!A:H,8,FALSE))</f>
        <v>614196</v>
      </c>
      <c r="P4" s="46">
        <f t="shared" ca="1" si="1"/>
        <v>9.8999999999680958E-3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input_526010!A$2</f>
        <v>526010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IFERROR(VLOOKUP(B5,input_526010!L:R,7,FALSE),VLOOKUP(tables_526010!C5,input_526010!A:H,8,FALSE))</f>
        <v>84929</v>
      </c>
      <c r="P5" s="46">
        <f t="shared" ca="1" si="1"/>
        <v>1.3689393939349825E-3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input_526010!A$2</f>
        <v>526010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IFERROR(VLOOKUP(B6,input_526010!L:R,7,FALSE),VLOOKUP(tables_526010!C6,input_526010!A:H,8,FALSE))</f>
        <v>614196</v>
      </c>
      <c r="P6" s="46">
        <f t="shared" ca="1" si="1"/>
        <v>9.8999999999680958E-3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input_526010!A$2</f>
        <v>526010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IFERROR(VLOOKUP(B7,input_526010!L:R,7,FALSE),VLOOKUP(tables_526010!C7,input_526010!A:H,8,FALSE))</f>
        <v>84929</v>
      </c>
      <c r="P7" s="46">
        <f t="shared" ca="1" si="1"/>
        <v>1.3689393939349825E-3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input_526010!A$2</f>
        <v>526010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IFERROR(VLOOKUP(B8,input_526010!L:R,7,FALSE),VLOOKUP(tables_526010!C8,input_526010!A:H,8,FALSE))</f>
        <v>614196</v>
      </c>
      <c r="P8" s="46">
        <f t="shared" ca="1" si="1"/>
        <v>9.8999999999680958E-3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input_526010!A$2</f>
        <v>526010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IFERROR(VLOOKUP(B9,input_526010!L:R,7,FALSE),VLOOKUP(tables_526010!C9,input_526010!A:H,8,FALSE))</f>
        <v>84929</v>
      </c>
      <c r="P9" s="46">
        <f t="shared" ca="1" si="1"/>
        <v>1.3689393939349825E-3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input_526010!A$2</f>
        <v>526010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IFERROR(VLOOKUP(B10,input_526010!L:R,7,FALSE),VLOOKUP(tables_526010!C10,input_526010!A:H,8,FALSE))</f>
        <v>614196</v>
      </c>
      <c r="P10" s="46">
        <f t="shared" ca="1" si="1"/>
        <v>9.8999999999680958E-3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input_526010!A$2</f>
        <v>526010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IFERROR(VLOOKUP(B11,input_526010!L:R,7,FALSE),VLOOKUP(tables_526010!C11,input_526010!A:H,8,FALSE))</f>
        <v>84929</v>
      </c>
      <c r="P11" s="46">
        <f t="shared" ca="1" si="1"/>
        <v>1.3689393939349825E-3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input_526010!A$2</f>
        <v>526010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IFERROR(VLOOKUP(B12,input_526010!L:R,7,FALSE),VLOOKUP(tables_526010!C12,input_526010!A:H,8,FALSE))</f>
        <v>614196</v>
      </c>
      <c r="P12" s="46">
        <f t="shared" ca="1" si="1"/>
        <v>9.8999999999680958E-3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input_526010!A$2</f>
        <v>526010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IFERROR(VLOOKUP(B13,input_526010!L:R,7,FALSE),VLOOKUP(tables_526010!C13,input_526010!A:H,8,FALSE))</f>
        <v>84929</v>
      </c>
      <c r="P13" s="46">
        <f t="shared" ca="1" si="1"/>
        <v>1.3689393939349825E-3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input_526010!A$2</f>
        <v>526010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IFERROR(VLOOKUP(B14,input_526010!L:R,7,FALSE),VLOOKUP(tables_526010!C14,input_526010!A:H,8,FALSE))</f>
        <v>614196</v>
      </c>
      <c r="P14" s="46">
        <f t="shared" ca="1" si="1"/>
        <v>9.8999999999680958E-3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input_526010!A$2</f>
        <v>526010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IFERROR(VLOOKUP(B15,input_526010!L:R,7,FALSE),VLOOKUP(tables_526010!C15,input_526010!A:H,8,FALSE))</f>
        <v>84929</v>
      </c>
      <c r="P15" s="46">
        <f t="shared" ca="1" si="1"/>
        <v>1.3689393939349825E-3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input_526010!A$2</f>
        <v>526010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IFERROR(VLOOKUP(B16,input_526010!L:R,7,FALSE),VLOOKUP(tables_526010!C16,input_526010!A:H,8,FALSE))</f>
        <v>614196</v>
      </c>
      <c r="P16" s="46">
        <f t="shared" ca="1" si="1"/>
        <v>9.8999999999680958E-3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input_526010!A$2</f>
        <v>526010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IFERROR(VLOOKUP(B17,input_526010!L:R,7,FALSE),VLOOKUP(tables_526010!C17,input_526010!A:H,8,FALSE))</f>
        <v>84929</v>
      </c>
      <c r="P17" s="46">
        <f t="shared" ca="1" si="1"/>
        <v>1.3689393939349825E-3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input_526010!A$2</f>
        <v>526010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IFERROR(VLOOKUP(B18,input_526010!L:R,7,FALSE),VLOOKUP(tables_526010!C18,input_526010!A:H,8,FALSE))</f>
        <v>614196</v>
      </c>
      <c r="P18" s="46">
        <f t="shared" ca="1" si="1"/>
        <v>9.8999999999680958E-3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input_526010!A$2</f>
        <v>526010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IFERROR(VLOOKUP(B19,input_526010!L:R,7,FALSE),VLOOKUP(tables_526010!C19,input_526010!A:H,8,FALSE))</f>
        <v>84929</v>
      </c>
      <c r="P19" s="46">
        <f t="shared" ca="1" si="1"/>
        <v>1.3689393939349825E-3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input_526010!A$2</f>
        <v>526010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IFERROR(VLOOKUP(B20,input_526010!L:R,7,FALSE),VLOOKUP(tables_526010!C20,input_526010!A:H,8,FALSE))</f>
        <v>614196</v>
      </c>
      <c r="P20" s="46">
        <f t="shared" ca="1" si="1"/>
        <v>9.8999999999680958E-3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input_526010!A$2</f>
        <v>526010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IFERROR(VLOOKUP(B21,input_526010!L:R,7,FALSE),VLOOKUP(tables_526010!C21,input_526010!A:H,8,FALSE))</f>
        <v>84929</v>
      </c>
      <c r="P21" s="46">
        <f t="shared" ca="1" si="1"/>
        <v>1.3689393939349825E-3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input_526010!A$2</f>
        <v>526010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IFERROR(VLOOKUP(B22,input_526010!L:R,7,FALSE),VLOOKUP(tables_526010!C22,input_526010!A:H,8,FALSE))</f>
        <v>614196</v>
      </c>
      <c r="P22" s="46">
        <f t="shared" ca="1" si="1"/>
        <v>9.8999999999680958E-3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input_526010!A$2</f>
        <v>526010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IFERROR(VLOOKUP(B23,input_526010!L:R,7,FALSE),VLOOKUP(tables_526010!C23,input_526010!A:H,8,FALSE))</f>
        <v>84929</v>
      </c>
      <c r="P23" s="46">
        <f t="shared" ca="1" si="1"/>
        <v>1.3689393939349825E-3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input_526010!A$2</f>
        <v>526010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IFERROR(VLOOKUP(B24,input_526010!L:R,7,FALSE),VLOOKUP(tables_526010!C24,input_526010!A:H,8,FALSE))</f>
        <v>614196</v>
      </c>
      <c r="P24" s="46">
        <f t="shared" ca="1" si="1"/>
        <v>9.8999999999680958E-3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input_526010!A$2</f>
        <v>526010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IFERROR(VLOOKUP(B25,input_526010!L:R,7,FALSE),VLOOKUP(tables_526010!C25,input_526010!A:H,8,FALSE))</f>
        <v>84929</v>
      </c>
      <c r="P25" s="46">
        <f t="shared" ca="1" si="1"/>
        <v>1.3689393939349825E-3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input_526010!A$2</f>
        <v>526010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IFERROR(VLOOKUP(B26,input_526010!L:R,7,FALSE),VLOOKUP(tables_526010!C26,input_526010!A:H,8,FALSE))</f>
        <v>614196</v>
      </c>
      <c r="P26" s="46">
        <f t="shared" ca="1" si="1"/>
        <v>9.8999999999680958E-3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input_526010!A$2</f>
        <v>526010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IFERROR(VLOOKUP(B27,input_526010!L:R,7,FALSE),VLOOKUP(tables_526010!C27,input_526010!A:H,8,FALSE))</f>
        <v>84929</v>
      </c>
      <c r="P27" s="46">
        <f t="shared" ca="1" si="1"/>
        <v>1.3689393939349825E-3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input_526010!A$2</f>
        <v>526010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IFERROR(VLOOKUP(B28,input_526010!L:R,7,FALSE),VLOOKUP(tables_526010!C28,input_526010!A:H,8,FALSE))</f>
        <v>614196</v>
      </c>
      <c r="P28" s="46">
        <f t="shared" ca="1" si="1"/>
        <v>9.8999999999680958E-3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input_526010!A$2</f>
        <v>526010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IFERROR(VLOOKUP(B29,input_526010!L:R,7,FALSE),VLOOKUP(tables_526010!C29,input_526010!A:H,8,FALSE))</f>
        <v>84929</v>
      </c>
      <c r="P29" s="46">
        <f t="shared" ca="1" si="1"/>
        <v>1.3689393939349825E-3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input_526010!A$2</f>
        <v>526010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IFERROR(VLOOKUP(B30,input_526010!L:R,7,FALSE),VLOOKUP(tables_526010!C30,input_526010!A:H,8,FALSE))</f>
        <v>614196</v>
      </c>
      <c r="P30" s="46">
        <f t="shared" ca="1" si="1"/>
        <v>9.8999999999680958E-3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input_526010!A$2</f>
        <v>526010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IFERROR(VLOOKUP(B31,input_526010!L:R,7,FALSE),VLOOKUP(tables_526010!C31,input_526010!A:H,8,FALSE))</f>
        <v>84929</v>
      </c>
      <c r="P31" s="46">
        <f t="shared" ca="1" si="1"/>
        <v>1.3689393939349825E-3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input_526010!A$2</f>
        <v>526010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IFERROR(VLOOKUP(B32,input_526010!L:R,7,FALSE),VLOOKUP(tables_526010!C32,input_526010!A:H,8,FALSE))</f>
        <v>614196</v>
      </c>
      <c r="P32" s="46">
        <f t="shared" ca="1" si="1"/>
        <v>9.8999999999680958E-3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input_526010!A$2</f>
        <v>526010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IFERROR(VLOOKUP(B33,input_526010!L:R,7,FALSE),VLOOKUP(tables_526010!C33,input_526010!A:H,8,FALSE))</f>
        <v>84929</v>
      </c>
      <c r="P33" s="46">
        <f t="shared" ca="1" si="1"/>
        <v>1.3689393939349825E-3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input_526010!A$2</f>
        <v>526010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IFERROR(VLOOKUP(B34,input_526010!L:R,7,FALSE),VLOOKUP(tables_526010!C34,input_526010!A:H,8,FALSE))</f>
        <v>614196</v>
      </c>
      <c r="P34" s="46">
        <f t="shared" ca="1" si="1"/>
        <v>9.8999999999680958E-3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input_526010!A$2</f>
        <v>526010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IFERROR(VLOOKUP(B35,input_526010!L:R,7,FALSE),VLOOKUP(tables_526010!C35,input_526010!A:H,8,FALSE))</f>
        <v>84929</v>
      </c>
      <c r="P35" s="46">
        <f t="shared" ca="1" si="1"/>
        <v>1.3689393939349825E-3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input_526010!A$2</f>
        <v>526010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IFERROR(VLOOKUP(B36,input_526010!L:R,7,FALSE),VLOOKUP(tables_526010!C36,input_526010!A:H,8,FALSE))</f>
        <v>614196</v>
      </c>
      <c r="P36" s="46">
        <f t="shared" ca="1" si="1"/>
        <v>9.8999999999680958E-3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input_526010!A$2</f>
        <v>526010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IFERROR(VLOOKUP(B37,input_526010!L:R,7,FALSE),VLOOKUP(tables_526010!C37,input_526010!A:H,8,FALSE))</f>
        <v>84929</v>
      </c>
      <c r="P37" s="46">
        <f t="shared" ca="1" si="1"/>
        <v>1.3689393939349825E-3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input_526010!A$2</f>
        <v>526010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IFERROR(VLOOKUP(B38,input_526010!L:R,7,FALSE),VLOOKUP(tables_526010!C38,input_526010!A:H,8,FALSE))</f>
        <v>614196</v>
      </c>
      <c r="P38" s="46">
        <f t="shared" ca="1" si="1"/>
        <v>9.8999999999680958E-3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input_526010!A$2</f>
        <v>526010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IFERROR(VLOOKUP(B39,input_526010!L:R,7,FALSE),VLOOKUP(tables_526010!C39,input_526010!A:H,8,FALSE))</f>
        <v>84929</v>
      </c>
      <c r="P39" s="46">
        <f t="shared" ca="1" si="1"/>
        <v>1.3689393939349825E-3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input_526010!A$2</f>
        <v>526010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IFERROR(VLOOKUP(B40,input_526010!L:R,7,FALSE),VLOOKUP(tables_526010!C40,input_526010!A:H,8,FALSE))</f>
        <v>614196</v>
      </c>
      <c r="P40" s="46">
        <f t="shared" ca="1" si="1"/>
        <v>9.8999999999680958E-3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input_526010!A$2</f>
        <v>526010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IFERROR(VLOOKUP(B41,input_526010!L:R,7,FALSE),VLOOKUP(tables_526010!C41,input_526010!A:H,8,FALSE))</f>
        <v>84929</v>
      </c>
      <c r="P41" s="46">
        <f t="shared" ca="1" si="1"/>
        <v>1.3689393939349825E-3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input_526010!A$2</f>
        <v>526010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IFERROR(VLOOKUP(B42,input_526010!L:R,7,FALSE),VLOOKUP(tables_526010!C42,input_526010!A:H,8,FALSE))</f>
        <v>279180</v>
      </c>
      <c r="P42" s="46">
        <f t="shared" ca="1" si="1"/>
        <v>4.4999999999854982E-3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input_526010!A$2</f>
        <v>526010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IFERROR(VLOOKUP(B43,input_526010!L:R,7,FALSE),VLOOKUP(tables_526010!C43,input_526010!A:H,8,FALSE))</f>
        <v>294690</v>
      </c>
      <c r="P43" s="46">
        <f t="shared" ca="1" si="1"/>
        <v>4.7499999999846927E-3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input_526010!A$2</f>
        <v>526010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IFERROR(VLOOKUP(B44,input_526010!L:R,7,FALSE),VLOOKUP(tables_526010!C44,input_526010!A:H,8,FALSE))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input_526010!A$2</f>
        <v>526010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IFERROR(VLOOKUP(B45,input_526010!L:R,7,FALSE),VLOOKUP(tables_526010!C45,input_526010!A:H,8,FALSE))</f>
        <v>279180</v>
      </c>
      <c r="P45" s="46">
        <f t="shared" ca="1" si="1"/>
        <v>4.4999999999854982E-3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input_526010!A$2</f>
        <v>526010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IFERROR(VLOOKUP(B46,input_526010!L:R,7,FALSE),VLOOKUP(tables_526010!C46,input_526010!A:H,8,FALSE))</f>
        <v>294690</v>
      </c>
      <c r="P46" s="46">
        <f t="shared" ca="1" si="1"/>
        <v>4.7499999999846927E-3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input_526010!A$2</f>
        <v>526010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IFERROR(VLOOKUP(B47,input_526010!L:R,7,FALSE),VLOOKUP(tables_526010!C47,input_526010!A:H,8,FALSE))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input_526010!A$2</f>
        <v>526010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IFERROR(VLOOKUP(B48,input_526010!L:R,7,FALSE),VLOOKUP(tables_526010!C48,input_526010!A:H,8,FALSE))</f>
        <v>279180</v>
      </c>
      <c r="P48" s="46">
        <f t="shared" ca="1" si="1"/>
        <v>4.4999999999854982E-3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input_526010!A$2</f>
        <v>526010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IFERROR(VLOOKUP(B49,input_526010!L:R,7,FALSE),VLOOKUP(tables_526010!C49,input_526010!A:H,8,FALSE))</f>
        <v>294690</v>
      </c>
      <c r="P49" s="46">
        <f t="shared" ca="1" si="1"/>
        <v>4.7499999999846927E-3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input_526010!A$2</f>
        <v>526010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IFERROR(VLOOKUP(B50,input_526010!L:R,7,FALSE),VLOOKUP(tables_526010!C50,input_526010!A:H,8,FALSE))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input_526010!A$2</f>
        <v>526010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IFERROR(VLOOKUP(B51,input_526010!L:R,7,FALSE),VLOOKUP(tables_526010!C51,input_526010!A:H,8,FALSE))</f>
        <v>279180</v>
      </c>
      <c r="P51" s="46">
        <f t="shared" ca="1" si="1"/>
        <v>4.4999999999854982E-3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input_526010!A$2</f>
        <v>526010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IFERROR(VLOOKUP(B52,input_526010!L:R,7,FALSE),VLOOKUP(tables_526010!C52,input_526010!A:H,8,FALSE))</f>
        <v>294690</v>
      </c>
      <c r="P52" s="46">
        <f t="shared" ca="1" si="1"/>
        <v>4.7499999999846927E-3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input_526010!A$2</f>
        <v>526010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IFERROR(VLOOKUP(B53,input_526010!L:R,7,FALSE),VLOOKUP(tables_526010!C53,input_526010!A:H,8,FALSE))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input_526010!A$2</f>
        <v>526010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IFERROR(VLOOKUP(B54,input_526010!L:R,7,FALSE),VLOOKUP(tables_526010!C54,input_526010!A:H,8,FALSE))</f>
        <v>279180</v>
      </c>
      <c r="P54" s="46">
        <f t="shared" ca="1" si="1"/>
        <v>4.4999999999854982E-3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input_526010!A$2</f>
        <v>526010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IFERROR(VLOOKUP(B55,input_526010!L:R,7,FALSE),VLOOKUP(tables_526010!C55,input_526010!A:H,8,FALSE))</f>
        <v>294690</v>
      </c>
      <c r="P55" s="46">
        <f t="shared" ca="1" si="1"/>
        <v>4.7499999999846927E-3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input_526010!A$2</f>
        <v>526010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IFERROR(VLOOKUP(B56,input_526010!L:R,7,FALSE),VLOOKUP(tables_526010!C56,input_526010!A:H,8,FALSE))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input_526010!A$2</f>
        <v>526010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IFERROR(VLOOKUP(B57,input_526010!L:R,7,FALSE),VLOOKUP(tables_526010!C57,input_526010!A:H,8,FALSE))</f>
        <v>279180</v>
      </c>
      <c r="P57" s="46">
        <f t="shared" ca="1" si="1"/>
        <v>4.4999999999854982E-3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input_526010!A$2</f>
        <v>526010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IFERROR(VLOOKUP(B58,input_526010!L:R,7,FALSE),VLOOKUP(tables_526010!C58,input_526010!A:H,8,FALSE))</f>
        <v>294690</v>
      </c>
      <c r="P58" s="46">
        <f t="shared" ca="1" si="1"/>
        <v>4.7499999999846927E-3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input_526010!A$2</f>
        <v>526010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IFERROR(VLOOKUP(B59,input_526010!L:R,7,FALSE),VLOOKUP(tables_526010!C59,input_526010!A:H,8,FALSE))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input_526010!A$2</f>
        <v>526010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IFERROR(VLOOKUP(B60,input_526010!L:R,7,FALSE),VLOOKUP(tables_526010!C60,input_526010!A:H,8,FALSE))</f>
        <v>279180</v>
      </c>
      <c r="P60" s="46">
        <f t="shared" ca="1" si="1"/>
        <v>4.4999999999854982E-3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input_526010!A$2</f>
        <v>526010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IFERROR(VLOOKUP(B61,input_526010!L:R,7,FALSE),VLOOKUP(tables_526010!C61,input_526010!A:H,8,FALSE))</f>
        <v>294690</v>
      </c>
      <c r="P61" s="46">
        <f t="shared" ca="1" si="1"/>
        <v>4.7499999999846927E-3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input_526010!A$2</f>
        <v>526010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IFERROR(VLOOKUP(B62,input_526010!L:R,7,FALSE),VLOOKUP(tables_526010!C62,input_526010!A:H,8,FALSE))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input_526010!A$2</f>
        <v>526010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IFERROR(VLOOKUP(B63,input_526010!L:R,7,FALSE),VLOOKUP(tables_526010!C63,input_526010!A:H,8,FALSE))</f>
        <v>279180</v>
      </c>
      <c r="P63" s="46">
        <f t="shared" ca="1" si="1"/>
        <v>4.4999999999854982E-3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input_526010!A$2</f>
        <v>526010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IFERROR(VLOOKUP(B64,input_526010!L:R,7,FALSE),VLOOKUP(tables_526010!C64,input_526010!A:H,8,FALSE))</f>
        <v>294690</v>
      </c>
      <c r="P64" s="46">
        <f t="shared" ca="1" si="1"/>
        <v>4.7499999999846927E-3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input_526010!A$2</f>
        <v>526010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IFERROR(VLOOKUP(B65,input_526010!L:R,7,FALSE),VLOOKUP(tables_526010!C65,input_526010!A:H,8,FALSE))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input_526010!A$2</f>
        <v>526010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IFERROR(VLOOKUP(B66,input_526010!L:R,7,FALSE),VLOOKUP(tables_526010!C66,input_526010!A:H,8,FALSE))</f>
        <v>279180</v>
      </c>
      <c r="P66" s="46">
        <f t="shared" ref="P66:P129" ca="1" si="4">O66/SUM(O:O)</f>
        <v>4.4999999999854982E-3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input_526010!A$2</f>
        <v>526010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IFERROR(VLOOKUP(B67,input_526010!L:R,7,FALSE),VLOOKUP(tables_526010!C67,input_526010!A:H,8,FALSE))</f>
        <v>294690</v>
      </c>
      <c r="P67" s="46">
        <f t="shared" ca="1" si="4"/>
        <v>4.7499999999846927E-3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input_526010!A$2</f>
        <v>526010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IFERROR(VLOOKUP(B68,input_526010!L:R,7,FALSE),VLOOKUP(tables_526010!C68,input_526010!A:H,8,FALSE))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input_526010!A$2</f>
        <v>526010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IFERROR(VLOOKUP(B69,input_526010!L:R,7,FALSE),VLOOKUP(tables_526010!C69,input_526010!A:H,8,FALSE))</f>
        <v>279180</v>
      </c>
      <c r="P69" s="46">
        <f t="shared" ca="1" si="4"/>
        <v>4.4999999999854982E-3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input_526010!A$2</f>
        <v>526010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IFERROR(VLOOKUP(B70,input_526010!L:R,7,FALSE),VLOOKUP(tables_526010!C70,input_526010!A:H,8,FALSE))</f>
        <v>294690</v>
      </c>
      <c r="P70" s="46">
        <f t="shared" ca="1" si="4"/>
        <v>4.7499999999846927E-3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input_526010!A$2</f>
        <v>526010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IFERROR(VLOOKUP(B71,input_526010!L:R,7,FALSE),VLOOKUP(tables_526010!C71,input_526010!A:H,8,FALSE))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input_526010!A$2</f>
        <v>526010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IFERROR(VLOOKUP(B72,input_526010!L:R,7,FALSE),VLOOKUP(tables_526010!C72,input_526010!A:H,8,FALSE))</f>
        <v>279180</v>
      </c>
      <c r="P72" s="46">
        <f t="shared" ca="1" si="4"/>
        <v>4.4999999999854982E-3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input_526010!A$2</f>
        <v>526010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IFERROR(VLOOKUP(B73,input_526010!L:R,7,FALSE),VLOOKUP(tables_526010!C73,input_526010!A:H,8,FALSE))</f>
        <v>294690</v>
      </c>
      <c r="P73" s="46">
        <f t="shared" ca="1" si="4"/>
        <v>4.7499999999846927E-3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input_526010!A$2</f>
        <v>526010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IFERROR(VLOOKUP(B74,input_526010!L:R,7,FALSE),VLOOKUP(tables_526010!C74,input_526010!A:H,8,FALSE))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input_526010!A$2</f>
        <v>526010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IFERROR(VLOOKUP(B75,input_526010!L:R,7,FALSE),VLOOKUP(tables_526010!C75,input_526010!A:H,8,FALSE))</f>
        <v>279180</v>
      </c>
      <c r="P75" s="46">
        <f t="shared" ca="1" si="4"/>
        <v>4.4999999999854982E-3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input_526010!A$2</f>
        <v>526010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IFERROR(VLOOKUP(B76,input_526010!L:R,7,FALSE),VLOOKUP(tables_526010!C76,input_526010!A:H,8,FALSE))</f>
        <v>294690</v>
      </c>
      <c r="P76" s="46">
        <f t="shared" ca="1" si="4"/>
        <v>4.7499999999846927E-3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input_526010!A$2</f>
        <v>526010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IFERROR(VLOOKUP(B77,input_526010!L:R,7,FALSE),VLOOKUP(tables_526010!C77,input_526010!A:H,8,FALSE))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input_526010!A$2</f>
        <v>526010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IFERROR(VLOOKUP(B78,input_526010!L:R,7,FALSE),VLOOKUP(tables_526010!C78,input_526010!A:H,8,FALSE))</f>
        <v>279180</v>
      </c>
      <c r="P78" s="46">
        <f t="shared" ca="1" si="4"/>
        <v>4.4999999999854982E-3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input_526010!A$2</f>
        <v>526010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IFERROR(VLOOKUP(B79,input_526010!L:R,7,FALSE),VLOOKUP(tables_526010!C79,input_526010!A:H,8,FALSE))</f>
        <v>294690</v>
      </c>
      <c r="P79" s="46">
        <f t="shared" ca="1" si="4"/>
        <v>4.7499999999846927E-3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input_526010!A$2</f>
        <v>526010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IFERROR(VLOOKUP(B80,input_526010!L:R,7,FALSE),VLOOKUP(tables_526010!C80,input_526010!A:H,8,FALSE))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input_526010!A$2</f>
        <v>526010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IFERROR(VLOOKUP(B81,input_526010!L:R,7,FALSE),VLOOKUP(tables_526010!C81,input_526010!A:H,8,FALSE))</f>
        <v>279180</v>
      </c>
      <c r="P81" s="46">
        <f t="shared" ca="1" si="4"/>
        <v>4.4999999999854982E-3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input_526010!A$2</f>
        <v>526010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IFERROR(VLOOKUP(B82,input_526010!L:R,7,FALSE),VLOOKUP(tables_526010!C82,input_526010!A:H,8,FALSE))</f>
        <v>294690</v>
      </c>
      <c r="P82" s="46">
        <f t="shared" ca="1" si="4"/>
        <v>4.7499999999846927E-3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input_526010!A$2</f>
        <v>526010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IFERROR(VLOOKUP(B83,input_526010!L:R,7,FALSE),VLOOKUP(tables_526010!C83,input_526010!A:H,8,FALSE))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input_526010!A$2</f>
        <v>526010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IFERROR(VLOOKUP(B84,input_526010!L:R,7,FALSE),VLOOKUP(tables_526010!C84,input_526010!A:H,8,FALSE))</f>
        <v>279180</v>
      </c>
      <c r="P84" s="46">
        <f t="shared" ca="1" si="4"/>
        <v>4.4999999999854982E-3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input_526010!A$2</f>
        <v>526010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IFERROR(VLOOKUP(B85,input_526010!L:R,7,FALSE),VLOOKUP(tables_526010!C85,input_526010!A:H,8,FALSE))</f>
        <v>294690</v>
      </c>
      <c r="P85" s="46">
        <f t="shared" ca="1" si="4"/>
        <v>4.7499999999846927E-3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input_526010!A$2</f>
        <v>526010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IFERROR(VLOOKUP(B86,input_526010!L:R,7,FALSE),VLOOKUP(tables_526010!C86,input_526010!A:H,8,FALSE))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input_526010!A$2</f>
        <v>526010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IFERROR(VLOOKUP(B87,input_526010!L:R,7,FALSE),VLOOKUP(tables_526010!C87,input_526010!A:H,8,FALSE))</f>
        <v>279180</v>
      </c>
      <c r="P87" s="46">
        <f t="shared" ca="1" si="4"/>
        <v>4.4999999999854982E-3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input_526010!A$2</f>
        <v>526010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IFERROR(VLOOKUP(B88,input_526010!L:R,7,FALSE),VLOOKUP(tables_526010!C88,input_526010!A:H,8,FALSE))</f>
        <v>294690</v>
      </c>
      <c r="P88" s="46">
        <f t="shared" ca="1" si="4"/>
        <v>4.7499999999846927E-3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input_526010!A$2</f>
        <v>526010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IFERROR(VLOOKUP(B89,input_526010!L:R,7,FALSE),VLOOKUP(tables_526010!C89,input_526010!A:H,8,FALSE))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input_526010!A$2</f>
        <v>526010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IFERROR(VLOOKUP(B90,input_526010!L:R,7,FALSE),VLOOKUP(tables_526010!C90,input_526010!A:H,8,FALSE))</f>
        <v>279180</v>
      </c>
      <c r="P90" s="46">
        <f t="shared" ca="1" si="4"/>
        <v>4.4999999999854982E-3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input_526010!A$2</f>
        <v>526010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IFERROR(VLOOKUP(B91,input_526010!L:R,7,FALSE),VLOOKUP(tables_526010!C91,input_526010!A:H,8,FALSE))</f>
        <v>294690</v>
      </c>
      <c r="P91" s="46">
        <f t="shared" ca="1" si="4"/>
        <v>4.7499999999846927E-3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input_526010!A$2</f>
        <v>526010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IFERROR(VLOOKUP(B92,input_526010!L:R,7,FALSE),VLOOKUP(tables_526010!C92,input_526010!A:H,8,FALSE))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input_526010!A$2</f>
        <v>526010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IFERROR(VLOOKUP(B93,input_526010!L:R,7,FALSE),VLOOKUP(tables_526010!C93,input_526010!A:H,8,FALSE))</f>
        <v>279180</v>
      </c>
      <c r="P93" s="46">
        <f t="shared" ca="1" si="4"/>
        <v>4.4999999999854982E-3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input_526010!A$2</f>
        <v>526010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IFERROR(VLOOKUP(B94,input_526010!L:R,7,FALSE),VLOOKUP(tables_526010!C94,input_526010!A:H,8,FALSE))</f>
        <v>294690</v>
      </c>
      <c r="P94" s="46">
        <f t="shared" ca="1" si="4"/>
        <v>4.7499999999846927E-3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input_526010!A$2</f>
        <v>526010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IFERROR(VLOOKUP(B95,input_526010!L:R,7,FALSE),VLOOKUP(tables_526010!C95,input_526010!A:H,8,FALSE))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input_526010!A$2</f>
        <v>526010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IFERROR(VLOOKUP(B96,input_526010!L:R,7,FALSE),VLOOKUP(tables_526010!C96,input_526010!A:H,8,FALSE))</f>
        <v>279180</v>
      </c>
      <c r="P96" s="46">
        <f t="shared" ca="1" si="4"/>
        <v>4.4999999999854982E-3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input_526010!A$2</f>
        <v>526010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IFERROR(VLOOKUP(B97,input_526010!L:R,7,FALSE),VLOOKUP(tables_526010!C97,input_526010!A:H,8,FALSE))</f>
        <v>294690</v>
      </c>
      <c r="P97" s="46">
        <f t="shared" ca="1" si="4"/>
        <v>4.7499999999846927E-3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input_526010!A$2</f>
        <v>526010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IFERROR(VLOOKUP(B98,input_526010!L:R,7,FALSE),VLOOKUP(tables_526010!C98,input_526010!A:H,8,FALSE))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input_526010!A$2</f>
        <v>526010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IFERROR(VLOOKUP(B99,input_526010!L:R,7,FALSE),VLOOKUP(tables_526010!C99,input_526010!A:H,8,FALSE))</f>
        <v>279180</v>
      </c>
      <c r="P99" s="46">
        <f t="shared" ca="1" si="4"/>
        <v>4.4999999999854982E-3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input_526010!A$2</f>
        <v>526010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IFERROR(VLOOKUP(B100,input_526010!L:R,7,FALSE),VLOOKUP(tables_526010!C100,input_526010!A:H,8,FALSE))</f>
        <v>294690</v>
      </c>
      <c r="P100" s="46">
        <f t="shared" ca="1" si="4"/>
        <v>4.7499999999846927E-3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input_526010!A$2</f>
        <v>526010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IFERROR(VLOOKUP(B101,input_526010!L:R,7,FALSE),VLOOKUP(tables_526010!C101,input_526010!A:H,8,FALSE))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input_526010!A$2</f>
        <v>526010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IFERROR(VLOOKUP(B102,input_526010!L:R,7,FALSE),VLOOKUP(tables_526010!C102,input_526010!A:H,8,FALSE))</f>
        <v>279180</v>
      </c>
      <c r="P102" s="46">
        <f t="shared" ca="1" si="4"/>
        <v>4.4999999999854982E-3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input_526010!A$2</f>
        <v>526010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IFERROR(VLOOKUP(B103,input_526010!L:R,7,FALSE),VLOOKUP(tables_526010!C103,input_526010!A:H,8,FALSE))</f>
        <v>294690</v>
      </c>
      <c r="P103" s="46">
        <f t="shared" ca="1" si="4"/>
        <v>4.7499999999846927E-3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input_526010!A$2</f>
        <v>526010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IFERROR(VLOOKUP(B104,input_526010!L:R,7,FALSE),VLOOKUP(tables_526010!C104,input_526010!A:H,8,FALSE))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input_526010!A$2</f>
        <v>526010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IFERROR(VLOOKUP(B105,input_526010!L:R,7,FALSE),VLOOKUP(tables_526010!C105,input_526010!A:H,8,FALSE))</f>
        <v>279180</v>
      </c>
      <c r="P105" s="46">
        <f t="shared" ca="1" si="4"/>
        <v>4.4999999999854982E-3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input_526010!A$2</f>
        <v>526010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IFERROR(VLOOKUP(B106,input_526010!L:R,7,FALSE),VLOOKUP(tables_526010!C106,input_526010!A:H,8,FALSE))</f>
        <v>294690</v>
      </c>
      <c r="P106" s="46">
        <f t="shared" ca="1" si="4"/>
        <v>4.7499999999846927E-3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input_526010!A$2</f>
        <v>526010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IFERROR(VLOOKUP(B107,input_526010!L:R,7,FALSE),VLOOKUP(tables_526010!C107,input_526010!A:H,8,FALSE))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input_526010!A$2</f>
        <v>526010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IFERROR(VLOOKUP(B108,input_526010!L:R,7,FALSE),VLOOKUP(tables_526010!C108,input_526010!A:H,8,FALSE))</f>
        <v>279180</v>
      </c>
      <c r="P108" s="46">
        <f t="shared" ca="1" si="4"/>
        <v>4.4999999999854982E-3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input_526010!A$2</f>
        <v>526010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IFERROR(VLOOKUP(B109,input_526010!L:R,7,FALSE),VLOOKUP(tables_526010!C109,input_526010!A:H,8,FALSE))</f>
        <v>294690</v>
      </c>
      <c r="P109" s="46">
        <f t="shared" ca="1" si="4"/>
        <v>4.7499999999846927E-3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input_526010!A$2</f>
        <v>526010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IFERROR(VLOOKUP(B110,input_526010!L:R,7,FALSE),VLOOKUP(tables_526010!C110,input_526010!A:H,8,FALSE))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input_526010!A$2</f>
        <v>526010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IFERROR(VLOOKUP(B111,input_526010!L:R,7,FALSE),VLOOKUP(tables_526010!C111,input_526010!A:H,8,FALSE))</f>
        <v>279180</v>
      </c>
      <c r="P111" s="46">
        <f t="shared" ca="1" si="4"/>
        <v>4.4999999999854982E-3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input_526010!A$2</f>
        <v>526010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IFERROR(VLOOKUP(B112,input_526010!L:R,7,FALSE),VLOOKUP(tables_526010!C112,input_526010!A:H,8,FALSE))</f>
        <v>294690</v>
      </c>
      <c r="P112" s="46">
        <f t="shared" ca="1" si="4"/>
        <v>4.7499999999846927E-3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input_526010!A$2</f>
        <v>526010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IFERROR(VLOOKUP(B113,input_526010!L:R,7,FALSE),VLOOKUP(tables_526010!C113,input_526010!A:H,8,FALSE))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input_526010!A$2</f>
        <v>526010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IFERROR(VLOOKUP(B114,input_526010!L:R,7,FALSE),VLOOKUP(tables_526010!C114,input_526010!A:H,8,FALSE))</f>
        <v>279180</v>
      </c>
      <c r="P114" s="46">
        <f t="shared" ca="1" si="4"/>
        <v>4.4999999999854982E-3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input_526010!A$2</f>
        <v>526010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IFERROR(VLOOKUP(B115,input_526010!L:R,7,FALSE),VLOOKUP(tables_526010!C115,input_526010!A:H,8,FALSE))</f>
        <v>294690</v>
      </c>
      <c r="P115" s="46">
        <f t="shared" ca="1" si="4"/>
        <v>4.7499999999846927E-3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input_526010!A$2</f>
        <v>526010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IFERROR(VLOOKUP(B116,input_526010!L:R,7,FALSE),VLOOKUP(tables_526010!C116,input_526010!A:H,8,FALSE))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input_526010!A$2</f>
        <v>526010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IFERROR(VLOOKUP(B117,input_526010!L:R,7,FALSE),VLOOKUP(tables_526010!C117,input_526010!A:H,8,FALSE))</f>
        <v>279180</v>
      </c>
      <c r="P117" s="46">
        <f t="shared" ca="1" si="4"/>
        <v>4.4999999999854982E-3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input_526010!A$2</f>
        <v>526010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IFERROR(VLOOKUP(B118,input_526010!L:R,7,FALSE),VLOOKUP(tables_526010!C118,input_526010!A:H,8,FALSE))</f>
        <v>294690</v>
      </c>
      <c r="P118" s="46">
        <f t="shared" ca="1" si="4"/>
        <v>4.7499999999846927E-3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input_526010!A$2</f>
        <v>526010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IFERROR(VLOOKUP(B119,input_526010!L:R,7,FALSE),VLOOKUP(tables_526010!C119,input_526010!A:H,8,FALSE))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input_526010!A$2</f>
        <v>526010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IFERROR(VLOOKUP(B120,input_526010!L:R,7,FALSE),VLOOKUP(tables_526010!C120,input_526010!A:H,8,FALSE))</f>
        <v>279180</v>
      </c>
      <c r="P120" s="46">
        <f t="shared" ca="1" si="4"/>
        <v>4.4999999999854982E-3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input_526010!A$2</f>
        <v>526010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IFERROR(VLOOKUP(B121,input_526010!L:R,7,FALSE),VLOOKUP(tables_526010!C121,input_526010!A:H,8,FALSE))</f>
        <v>294690</v>
      </c>
      <c r="P121" s="46">
        <f t="shared" ca="1" si="4"/>
        <v>4.7499999999846927E-3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input_526010!A$2</f>
        <v>526010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IFERROR(VLOOKUP(B122,input_526010!L:R,7,FALSE),VLOOKUP(tables_526010!C122,input_526010!A:H,8,FALSE))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input_526010!A$2</f>
        <v>526010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IFERROR(VLOOKUP(B123,input_526010!L:R,7,FALSE),VLOOKUP(tables_526010!C123,input_526010!A:H,8,FALSE))</f>
        <v>279180</v>
      </c>
      <c r="P123" s="46">
        <f t="shared" ca="1" si="4"/>
        <v>4.4999999999854982E-3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input_526010!A$2</f>
        <v>526010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IFERROR(VLOOKUP(B124,input_526010!L:R,7,FALSE),VLOOKUP(tables_526010!C124,input_526010!A:H,8,FALSE))</f>
        <v>294690</v>
      </c>
      <c r="P124" s="46">
        <f t="shared" ca="1" si="4"/>
        <v>4.7499999999846927E-3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input_526010!A$2</f>
        <v>526010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IFERROR(VLOOKUP(B125,input_526010!L:R,7,FALSE),VLOOKUP(tables_526010!C125,input_526010!A:H,8,FALSE))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input_526010!A$2</f>
        <v>526010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IFERROR(VLOOKUP(B126,input_526010!L:R,7,FALSE),VLOOKUP(tables_526010!C126,input_526010!A:H,8,FALSE))</f>
        <v>279180</v>
      </c>
      <c r="P126" s="46">
        <f t="shared" ca="1" si="4"/>
        <v>4.4999999999854982E-3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input_526010!A$2</f>
        <v>526010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IFERROR(VLOOKUP(B127,input_526010!L:R,7,FALSE),VLOOKUP(tables_526010!C127,input_526010!A:H,8,FALSE))</f>
        <v>294690</v>
      </c>
      <c r="P127" s="46">
        <f t="shared" ca="1" si="4"/>
        <v>4.7499999999846927E-3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input_526010!A$2</f>
        <v>526010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IFERROR(VLOOKUP(B128,input_526010!L:R,7,FALSE),VLOOKUP(tables_526010!C128,input_526010!A:H,8,FALSE))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input_526010!A$2</f>
        <v>526010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IFERROR(VLOOKUP(B129,input_526010!L:R,7,FALSE),VLOOKUP(tables_526010!C129,input_526010!A:H,8,FALSE))</f>
        <v>279180</v>
      </c>
      <c r="P129" s="46">
        <f t="shared" ca="1" si="4"/>
        <v>4.4999999999854982E-3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input_526010!A$2</f>
        <v>526010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IFERROR(VLOOKUP(B130,input_526010!L:R,7,FALSE),VLOOKUP(tables_526010!C130,input_526010!A:H,8,FALSE))</f>
        <v>294690</v>
      </c>
      <c r="P130" s="46">
        <f t="shared" ref="P130:P193" ca="1" si="7">O130/SUM(O:O)</f>
        <v>4.7499999999846927E-3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input_526010!A$2</f>
        <v>526010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IFERROR(VLOOKUP(B131,input_526010!L:R,7,FALSE),VLOOKUP(tables_526010!C131,input_526010!A:H,8,FALSE))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input_526010!A$2</f>
        <v>526010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IFERROR(VLOOKUP(B132,input_526010!L:R,7,FALSE),VLOOKUP(tables_526010!C132,input_526010!A:H,8,FALSE))</f>
        <v>279180</v>
      </c>
      <c r="P132" s="46">
        <f t="shared" ca="1" si="7"/>
        <v>4.4999999999854982E-3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input_526010!A$2</f>
        <v>526010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IFERROR(VLOOKUP(B133,input_526010!L:R,7,FALSE),VLOOKUP(tables_526010!C133,input_526010!A:H,8,FALSE))</f>
        <v>294690</v>
      </c>
      <c r="P133" s="46">
        <f t="shared" ca="1" si="7"/>
        <v>4.7499999999846927E-3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input_526010!A$2</f>
        <v>526010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IFERROR(VLOOKUP(B134,input_526010!L:R,7,FALSE),VLOOKUP(tables_526010!C134,input_526010!A:H,8,FALSE))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input_526010!A$2</f>
        <v>526010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IFERROR(VLOOKUP(B135,input_526010!L:R,7,FALSE),VLOOKUP(tables_526010!C135,input_526010!A:H,8,FALSE))</f>
        <v>279180</v>
      </c>
      <c r="P135" s="46">
        <f t="shared" ca="1" si="7"/>
        <v>4.4999999999854982E-3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input_526010!A$2</f>
        <v>526010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IFERROR(VLOOKUP(B136,input_526010!L:R,7,FALSE),VLOOKUP(tables_526010!C136,input_526010!A:H,8,FALSE))</f>
        <v>294690</v>
      </c>
      <c r="P136" s="46">
        <f t="shared" ca="1" si="7"/>
        <v>4.7499999999846927E-3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input_526010!A$2</f>
        <v>526010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IFERROR(VLOOKUP(B137,input_526010!L:R,7,FALSE),VLOOKUP(tables_526010!C137,input_526010!A:H,8,FALSE))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input_526010!A$2</f>
        <v>526010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IFERROR(VLOOKUP(B138,input_526010!L:R,7,FALSE),VLOOKUP(tables_526010!C138,input_526010!A:H,8,FALSE))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input_526010!A$2</f>
        <v>526010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IFERROR(VLOOKUP(B139,input_526010!L:R,7,FALSE),VLOOKUP(tables_526010!C139,input_526010!A:H,8,FALSE))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input_526010!A$2</f>
        <v>526010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IFERROR(VLOOKUP(B140,input_526010!L:R,7,FALSE),VLOOKUP(tables_526010!C140,input_526010!A:H,8,FALSE))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input_526010!A$2</f>
        <v>526010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IFERROR(VLOOKUP(B141,input_526010!L:R,7,FALSE),VLOOKUP(tables_526010!C141,input_526010!A:H,8,FALSE))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input_526010!A$2</f>
        <v>526010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IFERROR(VLOOKUP(B142,input_526010!L:R,7,FALSE),VLOOKUP(tables_526010!C142,input_526010!A:H,8,FALSE))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input_526010!A$2</f>
        <v>526010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IFERROR(VLOOKUP(B143,input_526010!L:R,7,FALSE),VLOOKUP(tables_526010!C143,input_526010!A:H,8,FALSE))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input_526010!A$2</f>
        <v>526010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IFERROR(VLOOKUP(B144,input_526010!L:R,7,FALSE),VLOOKUP(tables_526010!C144,input_526010!A:H,8,FALSE))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input_526010!A$2</f>
        <v>526010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IFERROR(VLOOKUP(B145,input_526010!L:R,7,FALSE),VLOOKUP(tables_526010!C145,input_526010!A:H,8,FALSE))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input_526010!A$2</f>
        <v>526010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IFERROR(VLOOKUP(B146,input_526010!L:R,7,FALSE),VLOOKUP(tables_526010!C146,input_526010!A:H,8,FALSE))</f>
        <v>279180</v>
      </c>
      <c r="P146" s="46">
        <f t="shared" ca="1" si="7"/>
        <v>4.4999999999854982E-3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input_526010!A$2</f>
        <v>526010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IFERROR(VLOOKUP(B147,input_526010!L:R,7,FALSE),VLOOKUP(tables_526010!C147,input_526010!A:H,8,FALSE))</f>
        <v>294690</v>
      </c>
      <c r="P147" s="46">
        <f t="shared" ca="1" si="7"/>
        <v>4.7499999999846927E-3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input_526010!A$2</f>
        <v>526010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IFERROR(VLOOKUP(B148,input_526010!L:R,7,FALSE),VLOOKUP(tables_526010!C148,input_526010!A:H,8,FALSE))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input_526010!A$2</f>
        <v>526010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IFERROR(VLOOKUP(B149,input_526010!L:R,7,FALSE),VLOOKUP(tables_526010!C149,input_526010!A:H,8,FALSE))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input_526010!A$2</f>
        <v>526010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IFERROR(VLOOKUP(B150,input_526010!L:R,7,FALSE),VLOOKUP(tables_526010!C150,input_526010!A:H,8,FALSE))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input_526010!A$2</f>
        <v>526010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IFERROR(VLOOKUP(B151,input_526010!L:R,7,FALSE),VLOOKUP(tables_526010!C151,input_526010!A:H,8,FALSE))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input_526010!A$2</f>
        <v>526010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IFERROR(VLOOKUP(B152,input_526010!L:R,7,FALSE),VLOOKUP(tables_526010!C152,input_526010!A:H,8,FALSE))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input_526010!A$2</f>
        <v>526010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IFERROR(VLOOKUP(B153,input_526010!L:R,7,FALSE),VLOOKUP(tables_526010!C153,input_526010!A:H,8,FALSE))</f>
        <v>279180</v>
      </c>
      <c r="P153" s="46">
        <f t="shared" ca="1" si="7"/>
        <v>4.4999999999854982E-3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input_526010!A$2</f>
        <v>526010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IFERROR(VLOOKUP(B154,input_526010!L:R,7,FALSE),VLOOKUP(tables_526010!C154,input_526010!A:H,8,FALSE))</f>
        <v>294690</v>
      </c>
      <c r="P154" s="46">
        <f t="shared" ca="1" si="7"/>
        <v>4.7499999999846927E-3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input_526010!A$2</f>
        <v>526010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IFERROR(VLOOKUP(B155,input_526010!L:R,7,FALSE),VLOOKUP(tables_526010!C155,input_526010!A:H,8,FALSE))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input_526010!A$2</f>
        <v>526010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IFERROR(VLOOKUP(B156,input_526010!L:R,7,FALSE),VLOOKUP(tables_526010!C156,input_526010!A:H,8,FALSE))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input_526010!A$2</f>
        <v>526010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IFERROR(VLOOKUP(B157,input_526010!L:R,7,FALSE),VLOOKUP(tables_526010!C157,input_526010!A:H,8,FALSE))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input_526010!A$2</f>
        <v>526010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IFERROR(VLOOKUP(B158,input_526010!L:R,7,FALSE),VLOOKUP(tables_526010!C158,input_526010!A:H,8,FALSE))</f>
        <v>279180</v>
      </c>
      <c r="P158" s="46">
        <f t="shared" ca="1" si="7"/>
        <v>4.4999999999854982E-3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input_526010!A$2</f>
        <v>526010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IFERROR(VLOOKUP(B159,input_526010!L:R,7,FALSE),VLOOKUP(tables_526010!C159,input_526010!A:H,8,FALSE))</f>
        <v>294690</v>
      </c>
      <c r="P159" s="46">
        <f t="shared" ca="1" si="7"/>
        <v>4.7499999999846927E-3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input_526010!A$2</f>
        <v>526010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IFERROR(VLOOKUP(B160,input_526010!L:R,7,FALSE),VLOOKUP(tables_526010!C160,input_526010!A:H,8,FALSE))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input_526010!A$2</f>
        <v>526010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IFERROR(VLOOKUP(B161,input_526010!L:R,7,FALSE),VLOOKUP(tables_526010!C161,input_526010!A:H,8,FALSE))</f>
        <v>279180</v>
      </c>
      <c r="P161" s="46">
        <f t="shared" ca="1" si="7"/>
        <v>4.4999999999854982E-3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input_526010!A$2</f>
        <v>526010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IFERROR(VLOOKUP(B162,input_526010!L:R,7,FALSE),VLOOKUP(tables_526010!C162,input_526010!A:H,8,FALSE))</f>
        <v>294690</v>
      </c>
      <c r="P162" s="46">
        <f t="shared" ca="1" si="7"/>
        <v>4.7499999999846927E-3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input_526010!A$2</f>
        <v>526010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IFERROR(VLOOKUP(B163,input_526010!L:R,7,FALSE),VLOOKUP(tables_526010!C163,input_526010!A:H,8,FALSE))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input_526010!A$2</f>
        <v>526010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IFERROR(VLOOKUP(B164,input_526010!L:R,7,FALSE),VLOOKUP(tables_526010!C164,input_526010!A:H,8,FALSE))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input_526010!A$2</f>
        <v>526010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IFERROR(VLOOKUP(B165,input_526010!L:R,7,FALSE),VLOOKUP(tables_526010!C165,input_526010!A:H,8,FALSE))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input_526010!A$2</f>
        <v>526010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IFERROR(VLOOKUP(B166,input_526010!L:R,7,FALSE),VLOOKUP(tables_526010!C166,input_526010!A:H,8,FALSE))</f>
        <v>279180</v>
      </c>
      <c r="P166" s="46">
        <f t="shared" ca="1" si="7"/>
        <v>4.4999999999854982E-3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input_526010!A$2</f>
        <v>526010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IFERROR(VLOOKUP(B167,input_526010!L:R,7,FALSE),VLOOKUP(tables_526010!C167,input_526010!A:H,8,FALSE))</f>
        <v>294690</v>
      </c>
      <c r="P167" s="46">
        <f t="shared" ca="1" si="7"/>
        <v>4.7499999999846927E-3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input_526010!A$2</f>
        <v>526010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IFERROR(VLOOKUP(B168,input_526010!L:R,7,FALSE),VLOOKUP(tables_526010!C168,input_526010!A:H,8,FALSE))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input_526010!A$2</f>
        <v>526010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IFERROR(VLOOKUP(B169,input_526010!L:R,7,FALSE),VLOOKUP(tables_526010!C169,input_526010!A:H,8,FALSE))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input_526010!A$2</f>
        <v>526010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IFERROR(VLOOKUP(B170,input_526010!L:R,7,FALSE),VLOOKUP(tables_526010!C170,input_526010!A:H,8,FALSE))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input_526010!A$2</f>
        <v>526010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IFERROR(VLOOKUP(B171,input_526010!L:R,7,FALSE),VLOOKUP(tables_526010!C171,input_526010!A:H,8,FALSE))</f>
        <v>279180</v>
      </c>
      <c r="P171" s="46">
        <f t="shared" ca="1" si="7"/>
        <v>4.4999999999854982E-3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input_526010!A$2</f>
        <v>526010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IFERROR(VLOOKUP(B172,input_526010!L:R,7,FALSE),VLOOKUP(tables_526010!C172,input_526010!A:H,8,FALSE))</f>
        <v>294690</v>
      </c>
      <c r="P172" s="46">
        <f t="shared" ca="1" si="7"/>
        <v>4.7499999999846927E-3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input_526010!A$2</f>
        <v>526010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IFERROR(VLOOKUP(B173,input_526010!L:R,7,FALSE),VLOOKUP(tables_526010!C173,input_526010!A:H,8,FALSE))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input_526010!A$2</f>
        <v>526010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IFERROR(VLOOKUP(B174,input_526010!L:R,7,FALSE),VLOOKUP(tables_526010!C174,input_526010!A:H,8,FALSE))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input_526010!A$2</f>
        <v>526010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IFERROR(VLOOKUP(B175,input_526010!L:R,7,FALSE),VLOOKUP(tables_526010!C175,input_526010!A:H,8,FALSE))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input_526010!A$2</f>
        <v>526010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IFERROR(VLOOKUP(B176,input_526010!L:R,7,FALSE),VLOOKUP(tables_526010!C176,input_526010!A:H,8,FALSE))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input_526010!A$2</f>
        <v>526010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IFERROR(VLOOKUP(B177,input_526010!L:R,7,FALSE),VLOOKUP(tables_526010!C177,input_526010!A:H,8,FALSE))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input_526010!A$2</f>
        <v>526010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IFERROR(VLOOKUP(B178,input_526010!L:R,7,FALSE),VLOOKUP(tables_526010!C178,input_526010!A:H,8,FALSE))</f>
        <v>279180</v>
      </c>
      <c r="P178" s="46">
        <f t="shared" ca="1" si="7"/>
        <v>4.4999999999854982E-3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input_526010!A$2</f>
        <v>526010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IFERROR(VLOOKUP(B179,input_526010!L:R,7,FALSE),VLOOKUP(tables_526010!C179,input_526010!A:H,8,FALSE))</f>
        <v>294690</v>
      </c>
      <c r="P179" s="46">
        <f t="shared" ca="1" si="7"/>
        <v>4.7499999999846927E-3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input_526010!A$2</f>
        <v>526010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IFERROR(VLOOKUP(B180,input_526010!L:R,7,FALSE),VLOOKUP(tables_526010!C180,input_526010!A:H,8,FALSE))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input_526010!A$2</f>
        <v>526010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IFERROR(VLOOKUP(B181,input_526010!L:R,7,FALSE),VLOOKUP(tables_526010!C181,input_526010!A:H,8,FALSE))</f>
        <v>279180</v>
      </c>
      <c r="P181" s="46">
        <f t="shared" ca="1" si="7"/>
        <v>4.4999999999854982E-3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input_526010!A$2</f>
        <v>526010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IFERROR(VLOOKUP(B182,input_526010!L:R,7,FALSE),VLOOKUP(tables_526010!C182,input_526010!A:H,8,FALSE))</f>
        <v>294690</v>
      </c>
      <c r="P182" s="46">
        <f t="shared" ca="1" si="7"/>
        <v>4.7499999999846927E-3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input_526010!A$2</f>
        <v>526010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IFERROR(VLOOKUP(B183,input_526010!L:R,7,FALSE),VLOOKUP(tables_526010!C183,input_526010!A:H,8,FALSE))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input_526010!A$2</f>
        <v>526010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IFERROR(VLOOKUP(B184,input_526010!L:R,7,FALSE),VLOOKUP(tables_526010!C184,input_526010!A:H,8,FALSE))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input_526010!A$2</f>
        <v>526010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IFERROR(VLOOKUP(B185,input_526010!L:R,7,FALSE),VLOOKUP(tables_526010!C185,input_526010!A:H,8,FALSE))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input_526010!A$2</f>
        <v>526010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IFERROR(VLOOKUP(B186,input_526010!L:R,7,FALSE),VLOOKUP(tables_526010!C186,input_526010!A:H,8,FALSE))</f>
        <v>279180</v>
      </c>
      <c r="P186" s="46">
        <f t="shared" ca="1" si="7"/>
        <v>4.4999999999854982E-3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input_526010!A$2</f>
        <v>526010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IFERROR(VLOOKUP(B187,input_526010!L:R,7,FALSE),VLOOKUP(tables_526010!C187,input_526010!A:H,8,FALSE))</f>
        <v>294690</v>
      </c>
      <c r="P187" s="46">
        <f t="shared" ca="1" si="7"/>
        <v>4.7499999999846927E-3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input_526010!A$2</f>
        <v>526010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IFERROR(VLOOKUP(B188,input_526010!L:R,7,FALSE),VLOOKUP(tables_526010!C188,input_526010!A:H,8,FALSE))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input_526010!A$2</f>
        <v>526010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IFERROR(VLOOKUP(B189,input_526010!L:R,7,FALSE),VLOOKUP(tables_526010!C189,input_526010!A:H,8,FALSE))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input_526010!A$2</f>
        <v>526010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IFERROR(VLOOKUP(B190,input_526010!L:R,7,FALSE),VLOOKUP(tables_526010!C190,input_526010!A:H,8,FALSE))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input_526010!A$2</f>
        <v>526010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IFERROR(VLOOKUP(B191,input_526010!L:R,7,FALSE),VLOOKUP(tables_526010!C191,input_526010!A:H,8,FALSE))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input_526010!A$2</f>
        <v>526010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IFERROR(VLOOKUP(B192,input_526010!L:R,7,FALSE),VLOOKUP(tables_526010!C192,input_526010!A:H,8,FALSE))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input_526010!A$2</f>
        <v>526010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IFERROR(VLOOKUP(B193,input_526010!L:R,7,FALSE),VLOOKUP(tables_526010!C193,input_526010!A:H,8,FALSE))</f>
        <v>279180</v>
      </c>
      <c r="P193" s="46">
        <f t="shared" ca="1" si="7"/>
        <v>4.4999999999854982E-3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input_526010!A$2</f>
        <v>526010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IFERROR(VLOOKUP(B194,input_526010!L:R,7,FALSE),VLOOKUP(tables_526010!C194,input_526010!A:H,8,FALSE))</f>
        <v>294690</v>
      </c>
      <c r="P194" s="46">
        <f t="shared" ref="P194:P257" ca="1" si="10">O194/SUM(O:O)</f>
        <v>4.7499999999846927E-3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input_526010!A$2</f>
        <v>526010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IFERROR(VLOOKUP(B195,input_526010!L:R,7,FALSE),VLOOKUP(tables_526010!C195,input_526010!A:H,8,FALSE))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input_526010!A$2</f>
        <v>526010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IFERROR(VLOOKUP(B196,input_526010!L:R,7,FALSE),VLOOKUP(tables_526010!C196,input_526010!A:H,8,FALSE))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input_526010!A$2</f>
        <v>526010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IFERROR(VLOOKUP(B197,input_526010!L:R,7,FALSE),VLOOKUP(tables_526010!C197,input_526010!A:H,8,FALSE))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input_526010!A$2</f>
        <v>526010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IFERROR(VLOOKUP(B198,input_526010!L:R,7,FALSE),VLOOKUP(tables_526010!C198,input_526010!A:H,8,FALSE))</f>
        <v>279180</v>
      </c>
      <c r="P198" s="46">
        <f t="shared" ca="1" si="10"/>
        <v>4.4999999999854982E-3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input_526010!A$2</f>
        <v>526010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IFERROR(VLOOKUP(B199,input_526010!L:R,7,FALSE),VLOOKUP(tables_526010!C199,input_526010!A:H,8,FALSE))</f>
        <v>294690</v>
      </c>
      <c r="P199" s="46">
        <f t="shared" ca="1" si="10"/>
        <v>4.7499999999846927E-3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input_526010!A$2</f>
        <v>526010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IFERROR(VLOOKUP(B200,input_526010!L:R,7,FALSE),VLOOKUP(tables_526010!C200,input_526010!A:H,8,FALSE))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input_526010!A$2</f>
        <v>526010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IFERROR(VLOOKUP(B201,input_526010!L:R,7,FALSE),VLOOKUP(tables_526010!C201,input_526010!A:H,8,FALSE))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input_526010!A$2</f>
        <v>526010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IFERROR(VLOOKUP(B202,input_526010!L:R,7,FALSE),VLOOKUP(tables_526010!C202,input_526010!A:H,8,FALSE))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input_526010!A$2</f>
        <v>526010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IFERROR(VLOOKUP(B203,input_526010!L:R,7,FALSE),VLOOKUP(tables_526010!C203,input_526010!A:H,8,FALSE))</f>
        <v>279180</v>
      </c>
      <c r="P203" s="46">
        <f t="shared" ca="1" si="10"/>
        <v>4.4999999999854982E-3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input_526010!A$2</f>
        <v>526010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IFERROR(VLOOKUP(B204,input_526010!L:R,7,FALSE),VLOOKUP(tables_526010!C204,input_526010!A:H,8,FALSE))</f>
        <v>294690</v>
      </c>
      <c r="P204" s="46">
        <f t="shared" ca="1" si="10"/>
        <v>4.7499999999846927E-3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input_526010!A$2</f>
        <v>526010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IFERROR(VLOOKUP(B205,input_526010!L:R,7,FALSE),VLOOKUP(tables_526010!C205,input_526010!A:H,8,FALSE))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input_526010!A$2</f>
        <v>526010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IFERROR(VLOOKUP(B206,input_526010!L:R,7,FALSE),VLOOKUP(tables_526010!C206,input_526010!A:H,8,FALSE))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input_526010!A$2</f>
        <v>526010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IFERROR(VLOOKUP(B207,input_526010!L:R,7,FALSE),VLOOKUP(tables_526010!C207,input_526010!A:H,8,FALSE))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input_526010!A$2</f>
        <v>526010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IFERROR(VLOOKUP(B208,input_526010!L:R,7,FALSE),VLOOKUP(tables_526010!C208,input_526010!A:H,8,FALSE))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input_526010!A$2</f>
        <v>526010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IFERROR(VLOOKUP(B209,input_526010!L:R,7,FALSE),VLOOKUP(tables_526010!C209,input_526010!A:H,8,FALSE))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input_526010!A$2</f>
        <v>526010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IFERROR(VLOOKUP(B210,input_526010!L:R,7,FALSE),VLOOKUP(tables_526010!C210,input_526010!A:H,8,FALSE))</f>
        <v>279180</v>
      </c>
      <c r="P210" s="46">
        <f t="shared" ca="1" si="10"/>
        <v>4.4999999999854982E-3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input_526010!A$2</f>
        <v>526010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IFERROR(VLOOKUP(B211,input_526010!L:R,7,FALSE),VLOOKUP(tables_526010!C211,input_526010!A:H,8,FALSE))</f>
        <v>294690</v>
      </c>
      <c r="P211" s="46">
        <f t="shared" ca="1" si="10"/>
        <v>4.7499999999846927E-3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input_526010!A$2</f>
        <v>526010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IFERROR(VLOOKUP(B212,input_526010!L:R,7,FALSE),VLOOKUP(tables_526010!C212,input_526010!A:H,8,FALSE))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input_526010!A$2</f>
        <v>526010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IFERROR(VLOOKUP(B213,input_526010!L:R,7,FALSE),VLOOKUP(tables_526010!C213,input_526010!A:H,8,FALSE))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input_526010!A$2</f>
        <v>526010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IFERROR(VLOOKUP(B214,input_526010!L:R,7,FALSE),VLOOKUP(tables_526010!C214,input_526010!A:H,8,FALSE))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input_526010!A$2</f>
        <v>526010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IFERROR(VLOOKUP(B215,input_526010!L:R,7,FALSE),VLOOKUP(tables_526010!C215,input_526010!A:H,8,FALSE))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input_526010!A$2</f>
        <v>526010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IFERROR(VLOOKUP(B216,input_526010!L:R,7,FALSE),VLOOKUP(tables_526010!C216,input_526010!A:H,8,FALSE))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input_526010!A$2</f>
        <v>526010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IFERROR(VLOOKUP(B217,input_526010!L:R,7,FALSE),VLOOKUP(tables_526010!C217,input_526010!A:H,8,FALSE))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input_526010!A$2</f>
        <v>526010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IFERROR(VLOOKUP(B218,input_526010!L:R,7,FALSE),VLOOKUP(tables_526010!C218,input_526010!A:H,8,FALSE))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input_526010!A$2</f>
        <v>526010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IFERROR(VLOOKUP(B219,input_526010!L:R,7,FALSE),VLOOKUP(tables_526010!C219,input_526010!A:H,8,FALSE))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input_526010!A$2</f>
        <v>526010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IFERROR(VLOOKUP(B220,input_526010!L:R,7,FALSE),VLOOKUP(tables_526010!C220,input_526010!A:H,8,FALSE))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input_526010!A$2</f>
        <v>526010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IFERROR(VLOOKUP(B221,input_526010!L:R,7,FALSE),VLOOKUP(tables_526010!C221,input_526010!A:H,8,FALSE))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input_526010!A$2</f>
        <v>526010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IFERROR(VLOOKUP(B222,input_526010!L:R,7,FALSE),VLOOKUP(tables_526010!C222,input_526010!A:H,8,FALSE))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input_526010!A$2</f>
        <v>526010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IFERROR(VLOOKUP(B223,input_526010!L:R,7,FALSE),VLOOKUP(tables_526010!C223,input_526010!A:H,8,FALSE))</f>
        <v>279180</v>
      </c>
      <c r="P223" s="46">
        <f t="shared" ca="1" si="10"/>
        <v>4.4999999999854982E-3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input_526010!A$2</f>
        <v>526010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IFERROR(VLOOKUP(B224,input_526010!L:R,7,FALSE),VLOOKUP(tables_526010!C224,input_526010!A:H,8,FALSE))</f>
        <v>294690</v>
      </c>
      <c r="P224" s="46">
        <f t="shared" ca="1" si="10"/>
        <v>4.7499999999846927E-3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input_526010!A$2</f>
        <v>526010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IFERROR(VLOOKUP(B225,input_526010!L:R,7,FALSE),VLOOKUP(tables_526010!C225,input_526010!A:H,8,FALSE))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input_526010!A$2</f>
        <v>526010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IFERROR(VLOOKUP(B226,input_526010!L:R,7,FALSE),VLOOKUP(tables_526010!C226,input_526010!A:H,8,FALSE))</f>
        <v>279180</v>
      </c>
      <c r="P226" s="46">
        <f t="shared" ca="1" si="10"/>
        <v>4.4999999999854982E-3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input_526010!A$2</f>
        <v>526010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IFERROR(VLOOKUP(B227,input_526010!L:R,7,FALSE),VLOOKUP(tables_526010!C227,input_526010!A:H,8,FALSE))</f>
        <v>294690</v>
      </c>
      <c r="P227" s="46">
        <f t="shared" ca="1" si="10"/>
        <v>4.7499999999846927E-3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input_526010!A$2</f>
        <v>526010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IFERROR(VLOOKUP(B228,input_526010!L:R,7,FALSE),VLOOKUP(tables_526010!C228,input_526010!A:H,8,FALSE))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input_526010!A$2</f>
        <v>526010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IFERROR(VLOOKUP(B229,input_526010!L:R,7,FALSE),VLOOKUP(tables_526010!C229,input_526010!A:H,8,FALSE))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input_526010!A$2</f>
        <v>526010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IFERROR(VLOOKUP(B230,input_526010!L:R,7,FALSE),VLOOKUP(tables_526010!C230,input_526010!A:H,8,FALSE))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input_526010!A$2</f>
        <v>526010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IFERROR(VLOOKUP(B231,input_526010!L:R,7,FALSE),VLOOKUP(tables_526010!C231,input_526010!A:H,8,FALSE))</f>
        <v>279180</v>
      </c>
      <c r="P231" s="46">
        <f t="shared" ca="1" si="10"/>
        <v>4.4999999999854982E-3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input_526010!A$2</f>
        <v>526010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IFERROR(VLOOKUP(B232,input_526010!L:R,7,FALSE),VLOOKUP(tables_526010!C232,input_526010!A:H,8,FALSE))</f>
        <v>294690</v>
      </c>
      <c r="P232" s="46">
        <f t="shared" ca="1" si="10"/>
        <v>4.7499999999846927E-3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input_526010!A$2</f>
        <v>526010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IFERROR(VLOOKUP(B233,input_526010!L:R,7,FALSE),VLOOKUP(tables_526010!C233,input_526010!A:H,8,FALSE))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input_526010!A$2</f>
        <v>526010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IFERROR(VLOOKUP(B234,input_526010!L:R,7,FALSE),VLOOKUP(tables_526010!C234,input_526010!A:H,8,FALSE))</f>
        <v>279180</v>
      </c>
      <c r="P234" s="46">
        <f t="shared" ca="1" si="10"/>
        <v>4.4999999999854982E-3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input_526010!A$2</f>
        <v>526010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IFERROR(VLOOKUP(B235,input_526010!L:R,7,FALSE),VLOOKUP(tables_526010!C235,input_526010!A:H,8,FALSE))</f>
        <v>294690</v>
      </c>
      <c r="P235" s="46">
        <f t="shared" ca="1" si="10"/>
        <v>4.7499999999846927E-3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input_526010!A$2</f>
        <v>526010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IFERROR(VLOOKUP(B236,input_526010!L:R,7,FALSE),VLOOKUP(tables_526010!C236,input_526010!A:H,8,FALSE))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input_526010!A$2</f>
        <v>526010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IFERROR(VLOOKUP(B237,input_526010!L:R,7,FALSE),VLOOKUP(tables_526010!C237,input_526010!A:H,8,FALSE))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input_526010!A$2</f>
        <v>526010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IFERROR(VLOOKUP(B238,input_526010!L:R,7,FALSE),VLOOKUP(tables_526010!C238,input_526010!A:H,8,FALSE))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input_526010!A$2</f>
        <v>526010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IFERROR(VLOOKUP(B239,input_526010!L:R,7,FALSE),VLOOKUP(tables_526010!C239,input_526010!A:H,8,FALSE))</f>
        <v>279180</v>
      </c>
      <c r="P239" s="46">
        <f t="shared" ca="1" si="10"/>
        <v>4.4999999999854982E-3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input_526010!A$2</f>
        <v>526010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IFERROR(VLOOKUP(B240,input_526010!L:R,7,FALSE),VLOOKUP(tables_526010!C240,input_526010!A:H,8,FALSE))</f>
        <v>294690</v>
      </c>
      <c r="P240" s="46">
        <f t="shared" ca="1" si="10"/>
        <v>4.7499999999846927E-3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input_526010!A$2</f>
        <v>526010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IFERROR(VLOOKUP(B241,input_526010!L:R,7,FALSE),VLOOKUP(tables_526010!C241,input_526010!A:H,8,FALSE))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input_526010!A$2</f>
        <v>526010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IFERROR(VLOOKUP(B242,input_526010!L:R,7,FALSE),VLOOKUP(tables_526010!C242,input_526010!A:H,8,FALSE))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input_526010!A$2</f>
        <v>526010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IFERROR(VLOOKUP(B243,input_526010!L:R,7,FALSE),VLOOKUP(tables_526010!C243,input_526010!A:H,8,FALSE))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input_526010!A$2</f>
        <v>526010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IFERROR(VLOOKUP(B244,input_526010!L:R,7,FALSE),VLOOKUP(tables_526010!C244,input_526010!A:H,8,FALSE))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input_526010!A$2</f>
        <v>526010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IFERROR(VLOOKUP(B245,input_526010!L:R,7,FALSE),VLOOKUP(tables_526010!C245,input_526010!A:H,8,FALSE))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input_526010!A$2</f>
        <v>526010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IFERROR(VLOOKUP(B246,input_526010!L:R,7,FALSE),VLOOKUP(tables_526010!C246,input_526010!A:H,8,FALSE))</f>
        <v>279180</v>
      </c>
      <c r="P246" s="46">
        <f t="shared" ca="1" si="10"/>
        <v>4.4999999999854982E-3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input_526010!A$2</f>
        <v>526010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IFERROR(VLOOKUP(B247,input_526010!L:R,7,FALSE),VLOOKUP(tables_526010!C247,input_526010!A:H,8,FALSE))</f>
        <v>294690</v>
      </c>
      <c r="P247" s="46">
        <f t="shared" ca="1" si="10"/>
        <v>4.7499999999846927E-3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input_526010!A$2</f>
        <v>526010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IFERROR(VLOOKUP(B248,input_526010!L:R,7,FALSE),VLOOKUP(tables_526010!C248,input_526010!A:H,8,FALSE))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input_526010!A$2</f>
        <v>526010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IFERROR(VLOOKUP(B249,input_526010!L:R,7,FALSE),VLOOKUP(tables_526010!C249,input_526010!A:H,8,FALSE))</f>
        <v>279180</v>
      </c>
      <c r="P249" s="46">
        <f t="shared" ca="1" si="10"/>
        <v>4.4999999999854982E-3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input_526010!A$2</f>
        <v>526010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IFERROR(VLOOKUP(B250,input_526010!L:R,7,FALSE),VLOOKUP(tables_526010!C250,input_526010!A:H,8,FALSE))</f>
        <v>294690</v>
      </c>
      <c r="P250" s="46">
        <f t="shared" ca="1" si="10"/>
        <v>4.7499999999846927E-3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input_526010!A$2</f>
        <v>526010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IFERROR(VLOOKUP(B251,input_526010!L:R,7,FALSE),VLOOKUP(tables_526010!C251,input_526010!A:H,8,FALSE))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input_526010!A$2</f>
        <v>526010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IFERROR(VLOOKUP(B252,input_526010!L:R,7,FALSE),VLOOKUP(tables_526010!C252,input_526010!A:H,8,FALSE))</f>
        <v>279180</v>
      </c>
      <c r="P252" s="46">
        <f t="shared" ca="1" si="10"/>
        <v>4.4999999999854982E-3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input_526010!A$2</f>
        <v>526010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IFERROR(VLOOKUP(B253,input_526010!L:R,7,FALSE),VLOOKUP(tables_526010!C253,input_526010!A:H,8,FALSE))</f>
        <v>294690</v>
      </c>
      <c r="P253" s="46">
        <f t="shared" ca="1" si="10"/>
        <v>4.7499999999846927E-3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input_526010!A$2</f>
        <v>526010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IFERROR(VLOOKUP(B254,input_526010!L:R,7,FALSE),VLOOKUP(tables_526010!C254,input_526010!A:H,8,FALSE))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input_526010!A$2</f>
        <v>526010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IFERROR(VLOOKUP(B255,input_526010!L:R,7,FALSE),VLOOKUP(tables_526010!C255,input_526010!A:H,8,FALSE))</f>
        <v>279180</v>
      </c>
      <c r="P255" s="46">
        <f t="shared" ca="1" si="10"/>
        <v>4.4999999999854982E-3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input_526010!A$2</f>
        <v>526010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IFERROR(VLOOKUP(B256,input_526010!L:R,7,FALSE),VLOOKUP(tables_526010!C256,input_526010!A:H,8,FALSE))</f>
        <v>294690</v>
      </c>
      <c r="P256" s="46">
        <f t="shared" ca="1" si="10"/>
        <v>4.7499999999846927E-3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input_526010!A$2</f>
        <v>526010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IFERROR(VLOOKUP(B257,input_526010!L:R,7,FALSE),VLOOKUP(tables_526010!C257,input_526010!A:H,8,FALSE))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input_526010!A$2</f>
        <v>526010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IFERROR(VLOOKUP(B258,input_526010!L:R,7,FALSE),VLOOKUP(tables_526010!C258,input_526010!A:H,8,FALSE))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input_526010!A$2</f>
        <v>526010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IFERROR(VLOOKUP(B259,input_526010!L:R,7,FALSE),VLOOKUP(tables_526010!C259,input_526010!A:H,8,FALSE))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input_526010!A$2</f>
        <v>526010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IFERROR(VLOOKUP(B260,input_526010!L:R,7,FALSE),VLOOKUP(tables_526010!C260,input_526010!A:H,8,FALSE))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input_526010!A$2</f>
        <v>526010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IFERROR(VLOOKUP(B261,input_526010!L:R,7,FALSE),VLOOKUP(tables_526010!C261,input_526010!A:H,8,FALSE))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input_526010!A$2</f>
        <v>526010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IFERROR(VLOOKUP(B262,input_526010!L:R,7,FALSE),VLOOKUP(tables_526010!C262,input_526010!A:H,8,FALSE))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input_526010!A$2</f>
        <v>526010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IFERROR(VLOOKUP(B263,input_526010!L:R,7,FALSE),VLOOKUP(tables_526010!C263,input_526010!A:H,8,FALSE))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input_526010!A$2</f>
        <v>526010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IFERROR(VLOOKUP(B264,input_526010!L:R,7,FALSE),VLOOKUP(tables_526010!C264,input_526010!A:H,8,FALSE))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input_526010!A$2</f>
        <v>526010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IFERROR(VLOOKUP(B265,input_526010!L:R,7,FALSE),VLOOKUP(tables_526010!C265,input_526010!A:H,8,FALSE))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input_526010!A$2</f>
        <v>526010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IFERROR(VLOOKUP(B266,input_526010!L:R,7,FALSE),VLOOKUP(tables_526010!C266,input_526010!A:H,8,FALSE))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input_526010!A$2</f>
        <v>526010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IFERROR(VLOOKUP(B267,input_526010!L:R,7,FALSE),VLOOKUP(tables_526010!C267,input_526010!A:H,8,FALSE))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input_526010!A$2</f>
        <v>526010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IFERROR(VLOOKUP(B268,input_526010!L:R,7,FALSE),VLOOKUP(tables_526010!C268,input_526010!A:H,8,FALSE))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input_526010!A$2</f>
        <v>526010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IFERROR(VLOOKUP(B269,input_526010!L:R,7,FALSE),VLOOKUP(tables_526010!C269,input_526010!A:H,8,FALSE))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input_526010!A$2</f>
        <v>526010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IFERROR(VLOOKUP(B270,input_526010!L:R,7,FALSE),VLOOKUP(tables_526010!C270,input_526010!A:H,8,FALSE))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input_526010!A$2</f>
        <v>526010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IFERROR(VLOOKUP(B271,input_526010!L:R,7,FALSE),VLOOKUP(tables_526010!C271,input_526010!A:H,8,FALSE))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input_526010!A$2</f>
        <v>526010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IFERROR(VLOOKUP(B272,input_526010!L:R,7,FALSE),VLOOKUP(tables_526010!C272,input_526010!A:H,8,FALSE))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input_526010!A$2</f>
        <v>526010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IFERROR(VLOOKUP(B273,input_526010!L:R,7,FALSE),VLOOKUP(tables_526010!C273,input_526010!A:H,8,FALSE))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input_526010!A$2</f>
        <v>526010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IFERROR(VLOOKUP(B274,input_526010!L:R,7,FALSE),VLOOKUP(tables_526010!C274,input_526010!A:H,8,FALSE))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input_526010!A$2</f>
        <v>526010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IFERROR(VLOOKUP(B275,input_526010!L:R,7,FALSE),VLOOKUP(tables_526010!C275,input_526010!A:H,8,FALSE))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input_526010!A$2</f>
        <v>526010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IFERROR(VLOOKUP(B276,input_526010!L:R,7,FALSE),VLOOKUP(tables_526010!C276,input_526010!A:H,8,FALSE))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input_526010!A$2</f>
        <v>526010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IFERROR(VLOOKUP(B277,input_526010!L:R,7,FALSE),VLOOKUP(tables_526010!C277,input_526010!A:H,8,FALSE))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input_526010!A$2</f>
        <v>526010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IFERROR(VLOOKUP(B278,input_526010!L:R,7,FALSE),VLOOKUP(tables_526010!C278,input_526010!A:H,8,FALSE))</f>
        <v>279180</v>
      </c>
      <c r="P278" s="46">
        <f t="shared" ca="1" si="13"/>
        <v>4.4999999999854982E-3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input_526010!A$2</f>
        <v>526010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IFERROR(VLOOKUP(B279,input_526010!L:R,7,FALSE),VLOOKUP(tables_526010!C279,input_526010!A:H,8,FALSE))</f>
        <v>294690</v>
      </c>
      <c r="P279" s="46">
        <f t="shared" ca="1" si="13"/>
        <v>4.7499999999846927E-3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input_526010!A$2</f>
        <v>526010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IFERROR(VLOOKUP(B280,input_526010!L:R,7,FALSE),VLOOKUP(tables_526010!C280,input_526010!A:H,8,FALSE))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input_526010!A$2</f>
        <v>526010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IFERROR(VLOOKUP(B281,input_526010!L:R,7,FALSE),VLOOKUP(tables_526010!C281,input_526010!A:H,8,FALSE))</f>
        <v>279180</v>
      </c>
      <c r="P281" s="46">
        <f t="shared" ca="1" si="13"/>
        <v>4.4999999999854982E-3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input_526010!A$2</f>
        <v>526010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IFERROR(VLOOKUP(B282,input_526010!L:R,7,FALSE),VLOOKUP(tables_526010!C282,input_526010!A:H,8,FALSE))</f>
        <v>294690</v>
      </c>
      <c r="P282" s="46">
        <f t="shared" ca="1" si="13"/>
        <v>4.7499999999846927E-3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input_526010!A$2</f>
        <v>526010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IFERROR(VLOOKUP(B283,input_526010!L:R,7,FALSE),VLOOKUP(tables_526010!C283,input_526010!A:H,8,FALSE))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input_526010!A$2</f>
        <v>526010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IFERROR(VLOOKUP(B284,input_526010!L:R,7,FALSE),VLOOKUP(tables_526010!C284,input_526010!A:H,8,FALSE))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input_526010!A$2</f>
        <v>526010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IFERROR(VLOOKUP(B285,input_526010!L:R,7,FALSE),VLOOKUP(tables_526010!C285,input_526010!A:H,8,FALSE))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input_526010!A$2</f>
        <v>526010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IFERROR(VLOOKUP(B286,input_526010!L:R,7,FALSE),VLOOKUP(tables_526010!C286,input_526010!A:H,8,FALSE))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input_526010!A$2</f>
        <v>526010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IFERROR(VLOOKUP(B287,input_526010!L:R,7,FALSE),VLOOKUP(tables_526010!C287,input_526010!A:H,8,FALSE))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input_526010!A$2</f>
        <v>526010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IFERROR(VLOOKUP(B288,input_526010!L:R,7,FALSE),VLOOKUP(tables_526010!C288,input_526010!A:H,8,FALSE))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input_526010!A$2</f>
        <v>526010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IFERROR(VLOOKUP(B289,input_526010!L:R,7,FALSE),VLOOKUP(tables_526010!C289,input_526010!A:H,8,FALSE))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input_526010!A$2</f>
        <v>526010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IFERROR(VLOOKUP(B290,input_526010!L:R,7,FALSE),VLOOKUP(tables_526010!C290,input_526010!A:H,8,FALSE))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input_526010!A$2</f>
        <v>526010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IFERROR(VLOOKUP(B291,input_526010!L:R,7,FALSE),VLOOKUP(tables_526010!C291,input_526010!A:H,8,FALSE))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input_526010!A$2</f>
        <v>526010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IFERROR(VLOOKUP(B292,input_526010!L:R,7,FALSE),VLOOKUP(tables_526010!C292,input_526010!A:H,8,FALSE))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input_526010!A$2</f>
        <v>526010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IFERROR(VLOOKUP(B293,input_526010!L:R,7,FALSE),VLOOKUP(tables_526010!C293,input_526010!A:H,8,FALSE))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input_526010!A$2</f>
        <v>526010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IFERROR(VLOOKUP(B294,input_526010!L:R,7,FALSE),VLOOKUP(tables_526010!C294,input_526010!A:H,8,FALSE))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input_526010!A$2</f>
        <v>526010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IFERROR(VLOOKUP(B295,input_526010!L:R,7,FALSE),VLOOKUP(tables_526010!C295,input_526010!A:H,8,FALSE))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input_526010!A$2</f>
        <v>526010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IFERROR(VLOOKUP(B296,input_526010!L:R,7,FALSE),VLOOKUP(tables_526010!C296,input_526010!A:H,8,FALSE))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input_526010!A$2</f>
        <v>526010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IFERROR(VLOOKUP(B297,input_526010!L:R,7,FALSE),VLOOKUP(tables_526010!C297,input_526010!A:H,8,FALSE))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input_526010!A$2</f>
        <v>526010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IFERROR(VLOOKUP(B298,input_526010!L:R,7,FALSE),VLOOKUP(tables_526010!C298,input_526010!A:H,8,FALSE))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input_526010!A$2</f>
        <v>526010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IFERROR(VLOOKUP(B299,input_526010!L:R,7,FALSE),VLOOKUP(tables_526010!C299,input_526010!A:H,8,FALSE))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input_526010!A$2</f>
        <v>526010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IFERROR(VLOOKUP(B300,input_526010!L:R,7,FALSE),VLOOKUP(tables_526010!C300,input_526010!A:H,8,FALSE))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input_526010!A$2</f>
        <v>526010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IFERROR(VLOOKUP(B301,input_526010!L:R,7,FALSE),VLOOKUP(tables_526010!C301,input_526010!A:H,8,FALSE))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input_526010!A$2</f>
        <v>526010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IFERROR(VLOOKUP(B302,input_526010!L:R,7,FALSE),VLOOKUP(tables_526010!C302,input_526010!A:H,8,FALSE))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input_526010!A$2</f>
        <v>526010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IFERROR(VLOOKUP(B303,input_526010!L:R,7,FALSE),VLOOKUP(tables_526010!C303,input_526010!A:H,8,FALSE))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input_526010!A$2</f>
        <v>526010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IFERROR(VLOOKUP(B304,input_526010!L:R,7,FALSE),VLOOKUP(tables_526010!C304,input_526010!A:H,8,FALSE))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input_526010!A$2</f>
        <v>526010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IFERROR(VLOOKUP(B305,input_526010!L:R,7,FALSE),VLOOKUP(tables_526010!C305,input_526010!A:H,8,FALSE))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input_526010!A$2</f>
        <v>526010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IFERROR(VLOOKUP(B306,input_526010!L:R,7,FALSE),VLOOKUP(tables_526010!C306,input_526010!A:H,8,FALSE))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input_526010!A$2</f>
        <v>526010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IFERROR(VLOOKUP(B307,input_526010!L:R,7,FALSE),VLOOKUP(tables_526010!C307,input_526010!A:H,8,FALSE))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input_526010!A$2</f>
        <v>526010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IFERROR(VLOOKUP(B308,input_526010!L:R,7,FALSE),VLOOKUP(tables_526010!C308,input_526010!A:H,8,FALSE))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input_526010!A$2</f>
        <v>526010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IFERROR(VLOOKUP(B309,input_526010!L:R,7,FALSE),VLOOKUP(tables_526010!C309,input_526010!A:H,8,FALSE))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input_526010!A$2</f>
        <v>526010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IFERROR(VLOOKUP(B310,input_526010!L:R,7,FALSE),VLOOKUP(tables_526010!C310,input_526010!A:H,8,FALSE))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input_526010!A$2</f>
        <v>526010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IFERROR(VLOOKUP(B311,input_526010!L:R,7,FALSE),VLOOKUP(tables_526010!C311,input_526010!A:H,8,FALSE))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input_526010!A$2</f>
        <v>526010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IFERROR(VLOOKUP(B312,input_526010!L:R,7,FALSE),VLOOKUP(tables_526010!C312,input_526010!A:H,8,FALSE))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input_526010!A$2</f>
        <v>526010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IFERROR(VLOOKUP(B313,input_526010!L:R,7,FALSE),VLOOKUP(tables_526010!C313,input_526010!A:H,8,FALSE))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input_526010!A$2</f>
        <v>526010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IFERROR(VLOOKUP(B314,input_526010!L:R,7,FALSE),VLOOKUP(tables_526010!C314,input_526010!A:H,8,FALSE))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input_526010!A$2</f>
        <v>526010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IFERROR(VLOOKUP(B315,input_526010!L:R,7,FALSE),VLOOKUP(tables_526010!C315,input_526010!A:H,8,FALSE))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input_526010!A$2</f>
        <v>526010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IFERROR(VLOOKUP(B316,input_526010!L:R,7,FALSE),VLOOKUP(tables_526010!C316,input_526010!A:H,8,FALSE))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input_526010!A$2</f>
        <v>526010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IFERROR(VLOOKUP(B317,input_526010!L:R,7,FALSE),VLOOKUP(tables_526010!C317,input_526010!A:H,8,FALSE))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input_526010!A$2</f>
        <v>526010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IFERROR(VLOOKUP(B318,input_526010!L:R,7,FALSE),VLOOKUP(tables_526010!C318,input_526010!A:H,8,FALSE))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input_526010!A$2</f>
        <v>526010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IFERROR(VLOOKUP(B319,input_526010!L:R,7,FALSE),VLOOKUP(tables_526010!C319,input_526010!A:H,8,FALSE))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input_526010!A$2</f>
        <v>526010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IFERROR(VLOOKUP(B320,input_526010!L:R,7,FALSE),VLOOKUP(tables_526010!C320,input_526010!A:H,8,FALSE))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input_526010!A$2</f>
        <v>526010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IFERROR(VLOOKUP(B321,input_526010!L:R,7,FALSE),VLOOKUP(tables_526010!C321,input_526010!A:H,8,FALSE))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input_526010!A$2</f>
        <v>526010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IFERROR(VLOOKUP(B322,input_526010!L:R,7,FALSE),VLOOKUP(tables_526010!C322,input_526010!A:H,8,FALSE))</f>
        <v>47000</v>
      </c>
      <c r="P322" s="46">
        <f t="shared" ref="P322:P330" ca="1" si="23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input_526010!A$2</f>
        <v>526010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IFERROR(VLOOKUP(B323,input_526010!L:R,7,FALSE),VLOOKUP(tables_526010!C323,input_526010!A:H,8,FALSE))</f>
        <v>47000</v>
      </c>
      <c r="P323" s="46">
        <f t="shared" ca="1" si="23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input_526010!A$2</f>
        <v>526010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IFERROR(VLOOKUP(B324,input_526010!L:R,7,FALSE),VLOOKUP(tables_526010!C324,input_526010!A:H,8,FALSE))</f>
        <v>558360</v>
      </c>
      <c r="P324" s="46">
        <f t="shared" ca="1" si="23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input_526010!A$2</f>
        <v>526010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IFERROR(VLOOKUP(B325,input_526010!L:R,7,FALSE),VLOOKUP(tables_526010!C325,input_526010!A:H,8,FALSE))</f>
        <v>46530</v>
      </c>
      <c r="P325" s="46">
        <f t="shared" ca="1" si="23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input_526010!A$2</f>
        <v>526010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IFERROR(VLOOKUP(B326,input_526010!L:R,7,FALSE),VLOOKUP(tables_526010!C326,input_526010!A:H,8,FALSE))</f>
        <v>558360</v>
      </c>
      <c r="P326" s="46">
        <f t="shared" ca="1" si="23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input_526010!A$2</f>
        <v>526010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IFERROR(VLOOKUP(B327,input_526010!L:R,7,FALSE),VLOOKUP(tables_526010!C327,input_526010!A:H,8,FALSE))</f>
        <v>46530</v>
      </c>
      <c r="P327" s="46">
        <f t="shared" ca="1" si="23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input_526010!A$2</f>
        <v>526010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IFERROR(VLOOKUP(B328,input_526010!L:R,7,FALSE),VLOOKUP(tables_526010!C328,input_526010!A:H,8,FALSE))</f>
        <v>47000</v>
      </c>
      <c r="P328" s="46">
        <f t="shared" ca="1" si="23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input_526010!A$2</f>
        <v>526010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IFERROR(VLOOKUP(B329,input_526010!L:R,7,FALSE),VLOOKUP(tables_526010!C329,input_526010!A:H,8,FALSE))</f>
        <v>47000</v>
      </c>
      <c r="P329" s="46">
        <f t="shared" ca="1" si="23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input_526010!A$2</f>
        <v>526010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IFERROR(VLOOKUP(B330,input_526010!L:R,7,FALSE),VLOOKUP(tables_526010!C330,input_526010!A:H,8,FALSE))</f>
        <v>47000</v>
      </c>
      <c r="P330" s="46">
        <f t="shared" ca="1" si="23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input_526010!A$2</f>
        <v>526010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IFERROR(VLOOKUP(B331,input_526010!L:R,7,FALSE),VLOOKUP(tables_526010!C331,input_526010!A:H,8,FALSE))</f>
        <v>47000</v>
      </c>
      <c r="P331" s="46">
        <f t="shared" ref="P331:P335" ca="1" si="28">O331/SUM(O:O)</f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input_526010!A$2</f>
        <v>526010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IFERROR(VLOOKUP(B332,input_526010!L:R,7,FALSE),VLOOKUP(tables_526010!C332,input_526010!A:H,8,FALSE))</f>
        <v>47000</v>
      </c>
      <c r="P332" s="46">
        <f t="shared" ca="1" si="28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input_526010!A$2</f>
        <v>526010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IFERROR(VLOOKUP(B333,input_526010!L:R,7,FALSE),VLOOKUP(tables_526010!C333,input_526010!A:H,8,FALSE))</f>
        <v>47000</v>
      </c>
      <c r="P333" s="46">
        <f t="shared" ca="1" si="28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input_526010!A$2</f>
        <v>526010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IFERROR(VLOOKUP(B334,input_526010!L:R,7,FALSE),VLOOKUP(tables_526010!C334,input_526010!A:H,8,FALSE))</f>
        <v>558360</v>
      </c>
      <c r="P334" s="46">
        <f t="shared" ca="1" si="28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input_526010!A$2</f>
        <v>526010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IFERROR(VLOOKUP(B335,input_526010!L:R,7,FALSE),VLOOKUP(tables_526010!C335,input_526010!A:H,8,FALSE))</f>
        <v>46530</v>
      </c>
      <c r="P335" s="46">
        <f t="shared" ca="1" si="28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input_526010!A$2</f>
        <v>526010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IFERROR(VLOOKUP(B336,input_526010!L:R,7,FALSE),VLOOKUP(tables_526010!C336,input_526010!A:H,8,FALSE))</f>
        <v>558360</v>
      </c>
      <c r="P336" s="46">
        <f t="shared" ref="P336:P340" ca="1" si="31">O336/SUM(O:O)</f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input_526010!A$2</f>
        <v>526010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IFERROR(VLOOKUP(B337,input_526010!L:R,7,FALSE),VLOOKUP(tables_526010!C337,input_526010!A:H,8,FALSE))</f>
        <v>46530</v>
      </c>
      <c r="P337" s="46">
        <f t="shared" ca="1" si="31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input_526010!A$2</f>
        <v>526010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IFERROR(VLOOKUP(B338,input_526010!L:R,7,FALSE),VLOOKUP(tables_526010!C338,input_526010!A:H,8,FALSE))</f>
        <v>47000</v>
      </c>
      <c r="P338" s="46">
        <f t="shared" ca="1" si="31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input_526010!A$2</f>
        <v>526010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IFERROR(VLOOKUP(B339,input_526010!L:R,7,FALSE),VLOOKUP(tables_526010!C339,input_526010!A:H,8,FALSE))</f>
        <v>47000</v>
      </c>
      <c r="P339" s="46">
        <f t="shared" ca="1" si="31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input_526010!A$2</f>
        <v>526010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IFERROR(VLOOKUP(B340,input_526010!L:R,7,FALSE),VLOOKUP(tables_526010!C340,input_526010!A:H,8,FALSE))</f>
        <v>47000</v>
      </c>
      <c r="P340" s="46">
        <f t="shared" ca="1" si="31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input_526010!A$2</f>
        <v>526010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IFERROR(VLOOKUP(B341,input_526010!L:R,7,FALSE),VLOOKUP(tables_526010!C341,input_526010!A:H,8,FALSE))</f>
        <v>47000</v>
      </c>
      <c r="P341" s="46">
        <f t="shared" ref="P341:P342" ca="1" si="34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input_526010!A$2</f>
        <v>526010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IFERROR(VLOOKUP(B342,input_526010!L:R,7,FALSE),VLOOKUP(tables_526010!C342,input_526010!A:H,8,FALSE))</f>
        <v>47000</v>
      </c>
      <c r="P342" s="46">
        <f t="shared" ca="1" si="34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input_526010!A$2</f>
        <v>526010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IFERROR(VLOOKUP(B343,input_526010!L:R,7,FALSE),VLOOKUP(tables_526010!C343,input_526010!A:H,8,FALSE))</f>
        <v>558360</v>
      </c>
      <c r="P343" s="46">
        <f t="shared" ref="P343:P347" ca="1" si="37">O343/SUM(O:O)</f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input_526010!A$2</f>
        <v>526010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IFERROR(VLOOKUP(B344,input_526010!L:R,7,FALSE),VLOOKUP(tables_526010!C344,input_526010!A:H,8,FALSE))</f>
        <v>46530</v>
      </c>
      <c r="P344" s="46">
        <f t="shared" ca="1" si="37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input_526010!A$2</f>
        <v>526010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IFERROR(VLOOKUP(B345,input_526010!L:R,7,FALSE),VLOOKUP(tables_526010!C345,input_526010!A:H,8,FALSE))</f>
        <v>47000</v>
      </c>
      <c r="P345" s="46">
        <f t="shared" ca="1" si="37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input_526010!A$2</f>
        <v>526010</v>
      </c>
      <c r="B346" s="1">
        <v>1389</v>
      </c>
      <c r="C346" s="7" t="str">
        <f t="shared" si="35"/>
        <v>PremiumSSS5R3less</v>
      </c>
      <c r="D346" s="97" t="str">
        <f t="shared" si="36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IFERROR(VLOOKUP(B346,input_526010!L:R,7,FALSE),VLOOKUP(tables_526010!C346,input_526010!A:H,8,FALSE))</f>
        <v>310200</v>
      </c>
      <c r="P346" s="46">
        <f t="shared" ca="1" si="37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input_526010!A$2</f>
        <v>526010</v>
      </c>
      <c r="B347" s="1">
        <v>1232</v>
      </c>
      <c r="C347" s="7" t="str">
        <f t="shared" si="35"/>
        <v>PremiumSSS5R3less</v>
      </c>
      <c r="D347" s="97" t="str">
        <f t="shared" si="36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ケプラー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attack</v>
      </c>
      <c r="M347" s="7" t="str">
        <f>VLOOKUP(B347,[1]characters!$A:$M,13,FALSE)</f>
        <v>academia</v>
      </c>
      <c r="N347" s="7">
        <f>VLOOKUP(B347,[1]characters!$A:$G,7,FALSE)</f>
        <v>0</v>
      </c>
      <c r="O347" s="45">
        <f ca="1">IFERROR(VLOOKUP(B347,input_526010!L:R,7,FALSE),VLOOKUP(tables_526010!C347,input_526010!A:H,8,FALSE))</f>
        <v>310200</v>
      </c>
      <c r="P347" s="46">
        <f t="shared" ca="1" si="37"/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G16" sqref="G1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VLOOKUP(L3,tables_526100!B:C,2,FALSE)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VLOOKUP(L4,tables_526100!B:C,2,FALSE)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(COUNTIF(tables_526100!C:C,input_526100!A28)+COUNTIF(tables_526100!C:C,input_526100!A29))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VLOOKUP(L5,tables_526100!B:C,2,FALSE)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0.92500000000000004</v>
      </c>
      <c r="D6" t="s">
        <v>202</v>
      </c>
      <c r="E6" s="76">
        <f>(B10-H6)/(F6-I6)</f>
        <v>0.01</v>
      </c>
      <c r="F6">
        <f>(COUNTIF(tables_526100!C:C,input_526100!A25)+COUNTIF(tables_526100!C:C,input_526100!A18)+COUNTIF(tables_526100!C:C,input_526100!A20)+COUNTIF(tables_526100!C:C,input_526100!A22))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VLOOKUP(L6,tables_526100!B:C,2,FALSE)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VLOOKUP(L7,tables_526100!B:C,2,FALSE)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VLOOKUP(L8,tables_526100!B:C,2,FALSE)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COUNTIF(tables_526100!C:C,input_526100!A17)-COUNTIF(Q:Q,A17)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0.22537878787878785</v>
      </c>
      <c r="C18" s="85">
        <f t="shared" si="2"/>
        <v>0</v>
      </c>
      <c r="D18" s="74">
        <f t="shared" si="3"/>
        <v>0.22537878787878785</v>
      </c>
      <c r="E18">
        <f>COUNTIF(tables_526100!C:C,input_526100!A18)-COUNTIF(Q:Q,A18)</f>
        <v>20</v>
      </c>
      <c r="F18" s="43">
        <f>IFERROR(B18/E18,0)</f>
        <v>1.1268939393939392E-2</v>
      </c>
      <c r="G18">
        <f t="shared" si="4"/>
        <v>13982499.999999998</v>
      </c>
      <c r="H18">
        <f t="shared" si="5"/>
        <v>699125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COUNTIF(tables_526100!C:C,input_526100!A19)-COUNTIF(Q:Q,A19)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0.48100000000000004</v>
      </c>
      <c r="C20" s="85">
        <f t="shared" si="2"/>
        <v>0</v>
      </c>
      <c r="D20" s="74">
        <f t="shared" si="3"/>
        <v>0.48100000000000004</v>
      </c>
      <c r="E20">
        <f>COUNTIF(tables_526100!C:C,input_526100!A20)-COUNTIF(Q:Q,A20)</f>
        <v>52</v>
      </c>
      <c r="F20" s="43">
        <f t="shared" si="8"/>
        <v>9.2500000000000013E-3</v>
      </c>
      <c r="G20">
        <f t="shared" si="4"/>
        <v>29841240.000000004</v>
      </c>
      <c r="H20">
        <f t="shared" si="5"/>
        <v>573870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COUNTIF(tables_526100!C:C,input_526100!A21)-COUNTIF(Q:Q,A21)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COUNTIF(tables_526100!C:C,input_526100!A22)-COUNTIF(Q:Q,A22)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COUNTIF(tables_526100!C:C,input_526100!A23)-COUNTIF(Q:Q,A23)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COUNTIF(tables_526100!C:C,input_526100!A24)-COUNTIF(Q:Q,A24)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3.7000000000000005E-2</v>
      </c>
      <c r="C25" s="85">
        <f t="shared" si="2"/>
        <v>0</v>
      </c>
      <c r="D25" s="74">
        <f t="shared" si="3"/>
        <v>3.7000000000000005E-2</v>
      </c>
      <c r="E25">
        <f>COUNTIF(tables_526100!C:C,input_526100!A25)-COUNTIF(Q:Q,A25)</f>
        <v>4</v>
      </c>
      <c r="F25" s="43">
        <f t="shared" si="8"/>
        <v>9.2500000000000013E-3</v>
      </c>
      <c r="G25">
        <f t="shared" si="4"/>
        <v>2295480.0000000005</v>
      </c>
      <c r="H25">
        <f t="shared" si="5"/>
        <v>573870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COUNTIF(tables_526100!C:C,input_526100!A26)-COUNTIF(Q:Q,A26)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COUNTIF(tables_526100!C:C,input_526100!A27)-COUNTIF(Q:Q,A27)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COUNTIF(tables_526100!C:C,input_526100!A28)-COUNTIF(Q:Q,A28)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COUNTIF(tables_526100!C:C,input_526100!A29)-COUNTIF(Q:Q,A29)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COUNTIF(tables_526100!C:C,input_526100!A30)-COUNTIF(Q:Q,A30)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COUNTIF(tables_526100!C:C,input_526100!A31)-COUNTIF(Q:Q,A31)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-0.47500000000000003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SUMIF(tables_526100!C:C,input_526100!A40,tables_526100!O:O)</f>
        <v>0</v>
      </c>
      <c r="C40" s="54">
        <f t="shared" ref="C40:C46" ca="1" si="9">B40/B$47</f>
        <v>0</v>
      </c>
      <c r="E40">
        <v>3</v>
      </c>
      <c r="F40">
        <f ca="1">SUMIF(tables_526100!J:J,input_526100!E40,tables_526100!O:O)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SUMIF(tables_526100!C:C,input_526100!A41,tables_526100!O:O)</f>
        <v>29841240</v>
      </c>
      <c r="C41" s="54">
        <f t="shared" ca="1" si="9"/>
        <v>0.93247172858867977</v>
      </c>
      <c r="E41">
        <v>4</v>
      </c>
      <c r="F41">
        <f ca="1">SUMIF(tables_526100!J:J,input_526100!E41,tables_526100!O:O)</f>
        <v>57387000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SUMIF(tables_526100!C:C,input_526100!A42,tables_526100!O:O)</f>
        <v>1217300</v>
      </c>
      <c r="C42" s="54">
        <f t="shared" ca="1" si="9"/>
        <v>3.8037891026344743E-2</v>
      </c>
      <c r="E42">
        <v>5</v>
      </c>
      <c r="F42">
        <f ca="1">SUMIF(tables_526100!J:J,input_526100!E42,tables_526100!O:O)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SUMIF(tables_526100!C:C,input_526100!A43,tables_526100!O:O)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SUMIF(tables_526100!C:C,input_526100!A44,tables_526100!O:O)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SUMIF(tables_526100!C:C,input_526100!A45,tables_526100!O:O)</f>
        <v>98700</v>
      </c>
      <c r="C45" s="54">
        <f t="shared" ca="1" si="9"/>
        <v>3.0841533264603848E-3</v>
      </c>
      <c r="E45" t="s">
        <v>204</v>
      </c>
      <c r="F45" s="55">
        <f ca="1">SUMIF(tables_526100!I:I,input_526100!E45,tables_526100!P:P)</f>
        <v>0.22987878787804714</v>
      </c>
    </row>
    <row r="46" spans="1:7" x14ac:dyDescent="0.15">
      <c r="A46" s="33" t="s">
        <v>108</v>
      </c>
      <c r="B46">
        <f>SUMIF(tables_526100!C:C,input_526100!A46,tables_526100!O:O)</f>
        <v>0</v>
      </c>
      <c r="C46" s="54">
        <f t="shared" ca="1" si="9"/>
        <v>0</v>
      </c>
      <c r="E46" t="s">
        <v>205</v>
      </c>
      <c r="F46" s="55">
        <f ca="1">SUMIF(tables_526100!I:I,input_526100!E46,tables_526100!P:P)</f>
        <v>0.19170308857852481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1</v>
      </c>
      <c r="E47" t="s">
        <v>206</v>
      </c>
      <c r="F47" s="55">
        <f ca="1">SUMIF(tables_526100!I:I,input_526100!E47,tables_526100!P:P)</f>
        <v>0.5184181235436226</v>
      </c>
    </row>
    <row r="48" spans="1:7" x14ac:dyDescent="0.15">
      <c r="E48" t="s">
        <v>207</v>
      </c>
      <c r="F48" s="55">
        <f ca="1">SUMIF(tables_526100!I:I,input_526100!E48,tables_526100!P:P)</f>
        <v>4.4696969696825607E-2</v>
      </c>
      <c r="G48" s="55">
        <f ca="1">0.05-F48-F49</f>
        <v>1.6118096440864704E-13</v>
      </c>
    </row>
    <row r="49" spans="5:7" x14ac:dyDescent="0.15">
      <c r="E49" t="s">
        <v>250</v>
      </c>
      <c r="F49" s="55">
        <f ca="1">SUMIF(tables_526100!I:I,input_526100!E49,tables_526100!P:P)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46" sqref="B346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input_526100!A$2</f>
        <v>526100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IFERROR(VLOOKUP(B2,input_526100!L:R,7,FALSE),VLOOKUP(tables_526100!C2,input_526100!A:H,8,FALSE))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input_526100!A$2</f>
        <v>526100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IFERROR(VLOOKUP(B3,input_526100!L:R,7,FALSE),VLOOKUP(tables_526100!C3,input_526100!A:H,8,FALSE))</f>
        <v>699125</v>
      </c>
      <c r="P3" s="46">
        <f t="shared" ca="1" si="1"/>
        <v>1.1268939393903079E-2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input_526100!A$2</f>
        <v>526100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IFERROR(VLOOKUP(B4,input_526100!L:R,7,FALSE),VLOOKUP(tables_526100!C4,input_526100!A:H,8,FALSE))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input_526100!A$2</f>
        <v>526100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IFERROR(VLOOKUP(B5,input_526100!L:R,7,FALSE),VLOOKUP(tables_526100!C5,input_526100!A:H,8,FALSE))</f>
        <v>699125</v>
      </c>
      <c r="P5" s="46">
        <f t="shared" ca="1" si="1"/>
        <v>1.1268939393903079E-2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input_526100!A$2</f>
        <v>526100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IFERROR(VLOOKUP(B6,input_526100!L:R,7,FALSE),VLOOKUP(tables_526100!C6,input_526100!A:H,8,FALSE))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input_526100!A$2</f>
        <v>526100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IFERROR(VLOOKUP(B7,input_526100!L:R,7,FALSE),VLOOKUP(tables_526100!C7,input_526100!A:H,8,FALSE))</f>
        <v>699125</v>
      </c>
      <c r="P7" s="46">
        <f t="shared" ca="1" si="1"/>
        <v>1.1268939393903079E-2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input_526100!A$2</f>
        <v>526100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IFERROR(VLOOKUP(B8,input_526100!L:R,7,FALSE),VLOOKUP(tables_526100!C8,input_526100!A:H,8,FALSE))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input_526100!A$2</f>
        <v>526100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IFERROR(VLOOKUP(B9,input_526100!L:R,7,FALSE),VLOOKUP(tables_526100!C9,input_526100!A:H,8,FALSE))</f>
        <v>699125</v>
      </c>
      <c r="P9" s="46">
        <f t="shared" ca="1" si="1"/>
        <v>1.1268939393903079E-2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input_526100!A$2</f>
        <v>526100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IFERROR(VLOOKUP(B10,input_526100!L:R,7,FALSE),VLOOKUP(tables_526100!C10,input_526100!A:H,8,FALSE))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input_526100!A$2</f>
        <v>526100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IFERROR(VLOOKUP(B11,input_526100!L:R,7,FALSE),VLOOKUP(tables_526100!C11,input_526100!A:H,8,FALSE))</f>
        <v>699125</v>
      </c>
      <c r="P11" s="46">
        <f t="shared" ca="1" si="1"/>
        <v>1.1268939393903079E-2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input_526100!A$2</f>
        <v>526100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IFERROR(VLOOKUP(B12,input_526100!L:R,7,FALSE),VLOOKUP(tables_526100!C12,input_526100!A:H,8,FALSE))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input_526100!A$2</f>
        <v>526100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IFERROR(VLOOKUP(B13,input_526100!L:R,7,FALSE),VLOOKUP(tables_526100!C13,input_526100!A:H,8,FALSE))</f>
        <v>699125</v>
      </c>
      <c r="P13" s="46">
        <f t="shared" ca="1" si="1"/>
        <v>1.1268939393903079E-2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input_526100!A$2</f>
        <v>526100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IFERROR(VLOOKUP(B14,input_526100!L:R,7,FALSE),VLOOKUP(tables_526100!C14,input_526100!A:H,8,FALSE))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input_526100!A$2</f>
        <v>526100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IFERROR(VLOOKUP(B15,input_526100!L:R,7,FALSE),VLOOKUP(tables_526100!C15,input_526100!A:H,8,FALSE))</f>
        <v>699125</v>
      </c>
      <c r="P15" s="46">
        <f t="shared" ca="1" si="1"/>
        <v>1.1268939393903079E-2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input_526100!A$2</f>
        <v>526100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IFERROR(VLOOKUP(B16,input_526100!L:R,7,FALSE),VLOOKUP(tables_526100!C16,input_526100!A:H,8,FALSE))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input_526100!A$2</f>
        <v>526100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IFERROR(VLOOKUP(B17,input_526100!L:R,7,FALSE),VLOOKUP(tables_526100!C17,input_526100!A:H,8,FALSE))</f>
        <v>699125</v>
      </c>
      <c r="P17" s="46">
        <f t="shared" ca="1" si="1"/>
        <v>1.1268939393903079E-2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input_526100!A$2</f>
        <v>526100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IFERROR(VLOOKUP(B18,input_526100!L:R,7,FALSE),VLOOKUP(tables_526100!C18,input_526100!A:H,8,FALSE))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input_526100!A$2</f>
        <v>526100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IFERROR(VLOOKUP(B19,input_526100!L:R,7,FALSE),VLOOKUP(tables_526100!C19,input_526100!A:H,8,FALSE))</f>
        <v>699125</v>
      </c>
      <c r="P19" s="46">
        <f t="shared" ca="1" si="1"/>
        <v>1.1268939393903079E-2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input_526100!A$2</f>
        <v>526100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IFERROR(VLOOKUP(B20,input_526100!L:R,7,FALSE),VLOOKUP(tables_526100!C20,input_526100!A:H,8,FALSE))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input_526100!A$2</f>
        <v>526100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IFERROR(VLOOKUP(B21,input_526100!L:R,7,FALSE),VLOOKUP(tables_526100!C21,input_526100!A:H,8,FALSE))</f>
        <v>699125</v>
      </c>
      <c r="P21" s="46">
        <f t="shared" ca="1" si="1"/>
        <v>1.1268939393903079E-2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input_526100!A$2</f>
        <v>526100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IFERROR(VLOOKUP(B22,input_526100!L:R,7,FALSE),VLOOKUP(tables_526100!C22,input_526100!A:H,8,FALSE))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input_526100!A$2</f>
        <v>526100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IFERROR(VLOOKUP(B23,input_526100!L:R,7,FALSE),VLOOKUP(tables_526100!C23,input_526100!A:H,8,FALSE))</f>
        <v>699125</v>
      </c>
      <c r="P23" s="46">
        <f t="shared" ca="1" si="1"/>
        <v>1.1268939393903079E-2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input_526100!A$2</f>
        <v>526100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IFERROR(VLOOKUP(B24,input_526100!L:R,7,FALSE),VLOOKUP(tables_526100!C24,input_526100!A:H,8,FALSE))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input_526100!A$2</f>
        <v>526100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IFERROR(VLOOKUP(B25,input_526100!L:R,7,FALSE),VLOOKUP(tables_526100!C25,input_526100!A:H,8,FALSE))</f>
        <v>699125</v>
      </c>
      <c r="P25" s="46">
        <f t="shared" ca="1" si="1"/>
        <v>1.1268939393903079E-2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input_526100!A$2</f>
        <v>526100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IFERROR(VLOOKUP(B26,input_526100!L:R,7,FALSE),VLOOKUP(tables_526100!C26,input_526100!A:H,8,FALSE))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input_526100!A$2</f>
        <v>526100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IFERROR(VLOOKUP(B27,input_526100!L:R,7,FALSE),VLOOKUP(tables_526100!C27,input_526100!A:H,8,FALSE))</f>
        <v>699125</v>
      </c>
      <c r="P27" s="46">
        <f t="shared" ca="1" si="1"/>
        <v>1.1268939393903079E-2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input_526100!A$2</f>
        <v>526100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IFERROR(VLOOKUP(B28,input_526100!L:R,7,FALSE),VLOOKUP(tables_526100!C28,input_526100!A:H,8,FALSE))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input_526100!A$2</f>
        <v>526100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IFERROR(VLOOKUP(B29,input_526100!L:R,7,FALSE),VLOOKUP(tables_526100!C29,input_526100!A:H,8,FALSE))</f>
        <v>699125</v>
      </c>
      <c r="P29" s="46">
        <f t="shared" ca="1" si="1"/>
        <v>1.1268939393903079E-2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input_526100!A$2</f>
        <v>526100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IFERROR(VLOOKUP(B30,input_526100!L:R,7,FALSE),VLOOKUP(tables_526100!C30,input_526100!A:H,8,FALSE))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input_526100!A$2</f>
        <v>526100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IFERROR(VLOOKUP(B31,input_526100!L:R,7,FALSE),VLOOKUP(tables_526100!C31,input_526100!A:H,8,FALSE))</f>
        <v>699125</v>
      </c>
      <c r="P31" s="46">
        <f t="shared" ca="1" si="1"/>
        <v>1.1268939393903079E-2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input_526100!A$2</f>
        <v>526100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IFERROR(VLOOKUP(B32,input_526100!L:R,7,FALSE),VLOOKUP(tables_526100!C32,input_526100!A:H,8,FALSE))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input_526100!A$2</f>
        <v>526100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IFERROR(VLOOKUP(B33,input_526100!L:R,7,FALSE),VLOOKUP(tables_526100!C33,input_526100!A:H,8,FALSE))</f>
        <v>699125</v>
      </c>
      <c r="P33" s="46">
        <f t="shared" ca="1" si="1"/>
        <v>1.1268939393903079E-2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input_526100!A$2</f>
        <v>526100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IFERROR(VLOOKUP(B34,input_526100!L:R,7,FALSE),VLOOKUP(tables_526100!C34,input_526100!A:H,8,FALSE))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input_526100!A$2</f>
        <v>526100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IFERROR(VLOOKUP(B35,input_526100!L:R,7,FALSE),VLOOKUP(tables_526100!C35,input_526100!A:H,8,FALSE))</f>
        <v>699125</v>
      </c>
      <c r="P35" s="46">
        <f t="shared" ca="1" si="1"/>
        <v>1.1268939393903079E-2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input_526100!A$2</f>
        <v>526100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IFERROR(VLOOKUP(B36,input_526100!L:R,7,FALSE),VLOOKUP(tables_526100!C36,input_526100!A:H,8,FALSE))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input_526100!A$2</f>
        <v>526100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IFERROR(VLOOKUP(B37,input_526100!L:R,7,FALSE),VLOOKUP(tables_526100!C37,input_526100!A:H,8,FALSE))</f>
        <v>699125</v>
      </c>
      <c r="P37" s="46">
        <f t="shared" ca="1" si="1"/>
        <v>1.1268939393903079E-2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input_526100!A$2</f>
        <v>526100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IFERROR(VLOOKUP(B38,input_526100!L:R,7,FALSE),VLOOKUP(tables_526100!C38,input_526100!A:H,8,FALSE))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input_526100!A$2</f>
        <v>526100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IFERROR(VLOOKUP(B39,input_526100!L:R,7,FALSE),VLOOKUP(tables_526100!C39,input_526100!A:H,8,FALSE))</f>
        <v>699125</v>
      </c>
      <c r="P39" s="46">
        <f t="shared" ca="1" si="1"/>
        <v>1.1268939393903079E-2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input_526100!A$2</f>
        <v>526100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IFERROR(VLOOKUP(B40,input_526100!L:R,7,FALSE),VLOOKUP(tables_526100!C40,input_526100!A:H,8,FALSE))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input_526100!A$2</f>
        <v>526100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IFERROR(VLOOKUP(B41,input_526100!L:R,7,FALSE),VLOOKUP(tables_526100!C41,input_526100!A:H,8,FALSE))</f>
        <v>699125</v>
      </c>
      <c r="P41" s="46">
        <f t="shared" ca="1" si="1"/>
        <v>1.1268939393903079E-2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input_526100!A$2</f>
        <v>526100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IFERROR(VLOOKUP(B42,input_526100!L:R,7,FALSE),VLOOKUP(tables_526100!C42,input_526100!A:H,8,FALSE))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input_526100!A$2</f>
        <v>526100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IFERROR(VLOOKUP(B43,input_526100!L:R,7,FALSE),VLOOKUP(tables_526100!C43,input_526100!A:H,8,FALSE))</f>
        <v>573870</v>
      </c>
      <c r="P43" s="46">
        <f t="shared" ca="1" si="1"/>
        <v>9.2499999999701918E-3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input_526100!A$2</f>
        <v>526100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IFERROR(VLOOKUP(B44,input_526100!L:R,7,FALSE),VLOOKUP(tables_526100!C44,input_526100!A:H,8,FALSE))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input_526100!A$2</f>
        <v>526100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IFERROR(VLOOKUP(B45,input_526100!L:R,7,FALSE),VLOOKUP(tables_526100!C45,input_526100!A:H,8,FALSE))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input_526100!A$2</f>
        <v>526100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IFERROR(VLOOKUP(B46,input_526100!L:R,7,FALSE),VLOOKUP(tables_526100!C46,input_526100!A:H,8,FALSE))</f>
        <v>573870</v>
      </c>
      <c r="P46" s="46">
        <f t="shared" ca="1" si="1"/>
        <v>9.2499999999701918E-3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input_526100!A$2</f>
        <v>526100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IFERROR(VLOOKUP(B47,input_526100!L:R,7,FALSE),VLOOKUP(tables_526100!C47,input_526100!A:H,8,FALSE))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input_526100!A$2</f>
        <v>526100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IFERROR(VLOOKUP(B48,input_526100!L:R,7,FALSE),VLOOKUP(tables_526100!C48,input_526100!A:H,8,FALSE))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input_526100!A$2</f>
        <v>526100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IFERROR(VLOOKUP(B49,input_526100!L:R,7,FALSE),VLOOKUP(tables_526100!C49,input_526100!A:H,8,FALSE))</f>
        <v>573870</v>
      </c>
      <c r="P49" s="46">
        <f t="shared" ca="1" si="1"/>
        <v>9.2499999999701918E-3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input_526100!A$2</f>
        <v>526100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IFERROR(VLOOKUP(B50,input_526100!L:R,7,FALSE),VLOOKUP(tables_526100!C50,input_526100!A:H,8,FALSE))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input_526100!A$2</f>
        <v>526100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IFERROR(VLOOKUP(B51,input_526100!L:R,7,FALSE),VLOOKUP(tables_526100!C51,input_526100!A:H,8,FALSE))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input_526100!A$2</f>
        <v>526100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IFERROR(VLOOKUP(B52,input_526100!L:R,7,FALSE),VLOOKUP(tables_526100!C52,input_526100!A:H,8,FALSE))</f>
        <v>573870</v>
      </c>
      <c r="P52" s="46">
        <f t="shared" ca="1" si="1"/>
        <v>9.2499999999701918E-3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input_526100!A$2</f>
        <v>526100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IFERROR(VLOOKUP(B53,input_526100!L:R,7,FALSE),VLOOKUP(tables_526100!C53,input_526100!A:H,8,FALSE))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input_526100!A$2</f>
        <v>526100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IFERROR(VLOOKUP(B54,input_526100!L:R,7,FALSE),VLOOKUP(tables_526100!C54,input_526100!A:H,8,FALSE))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input_526100!A$2</f>
        <v>526100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IFERROR(VLOOKUP(B55,input_526100!L:R,7,FALSE),VLOOKUP(tables_526100!C55,input_526100!A:H,8,FALSE))</f>
        <v>573870</v>
      </c>
      <c r="P55" s="46">
        <f t="shared" ca="1" si="1"/>
        <v>9.2499999999701918E-3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input_526100!A$2</f>
        <v>526100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IFERROR(VLOOKUP(B56,input_526100!L:R,7,FALSE),VLOOKUP(tables_526100!C56,input_526100!A:H,8,FALSE))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input_526100!A$2</f>
        <v>526100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IFERROR(VLOOKUP(B57,input_526100!L:R,7,FALSE),VLOOKUP(tables_526100!C57,input_526100!A:H,8,FALSE))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input_526100!A$2</f>
        <v>526100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IFERROR(VLOOKUP(B58,input_526100!L:R,7,FALSE),VLOOKUP(tables_526100!C58,input_526100!A:H,8,FALSE))</f>
        <v>573870</v>
      </c>
      <c r="P58" s="46">
        <f t="shared" ca="1" si="1"/>
        <v>9.2499999999701918E-3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input_526100!A$2</f>
        <v>526100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IFERROR(VLOOKUP(B59,input_526100!L:R,7,FALSE),VLOOKUP(tables_526100!C59,input_526100!A:H,8,FALSE))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input_526100!A$2</f>
        <v>526100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IFERROR(VLOOKUP(B60,input_526100!L:R,7,FALSE),VLOOKUP(tables_526100!C60,input_526100!A:H,8,FALSE))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input_526100!A$2</f>
        <v>526100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IFERROR(VLOOKUP(B61,input_526100!L:R,7,FALSE),VLOOKUP(tables_526100!C61,input_526100!A:H,8,FALSE))</f>
        <v>573870</v>
      </c>
      <c r="P61" s="46">
        <f t="shared" ca="1" si="1"/>
        <v>9.2499999999701918E-3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input_526100!A$2</f>
        <v>526100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IFERROR(VLOOKUP(B62,input_526100!L:R,7,FALSE),VLOOKUP(tables_526100!C62,input_526100!A:H,8,FALSE))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input_526100!A$2</f>
        <v>526100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IFERROR(VLOOKUP(B63,input_526100!L:R,7,FALSE),VLOOKUP(tables_526100!C63,input_526100!A:H,8,FALSE))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input_526100!A$2</f>
        <v>526100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IFERROR(VLOOKUP(B64,input_526100!L:R,7,FALSE),VLOOKUP(tables_526100!C64,input_526100!A:H,8,FALSE))</f>
        <v>573870</v>
      </c>
      <c r="P64" s="46">
        <f t="shared" ca="1" si="1"/>
        <v>9.2499999999701918E-3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input_526100!A$2</f>
        <v>526100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IFERROR(VLOOKUP(B65,input_526100!L:R,7,FALSE),VLOOKUP(tables_526100!C65,input_526100!A:H,8,FALSE))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input_526100!A$2</f>
        <v>526100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IFERROR(VLOOKUP(B66,input_526100!L:R,7,FALSE),VLOOKUP(tables_526100!C66,input_526100!A:H,8,FALSE))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input_526100!A$2</f>
        <v>526100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IFERROR(VLOOKUP(B67,input_526100!L:R,7,FALSE),VLOOKUP(tables_526100!C67,input_526100!A:H,8,FALSE))</f>
        <v>573870</v>
      </c>
      <c r="P67" s="46">
        <f t="shared" ca="1" si="4"/>
        <v>9.2499999999701918E-3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input_526100!A$2</f>
        <v>526100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IFERROR(VLOOKUP(B68,input_526100!L:R,7,FALSE),VLOOKUP(tables_526100!C68,input_526100!A:H,8,FALSE))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input_526100!A$2</f>
        <v>526100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IFERROR(VLOOKUP(B69,input_526100!L:R,7,FALSE),VLOOKUP(tables_526100!C69,input_526100!A:H,8,FALSE))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input_526100!A$2</f>
        <v>526100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IFERROR(VLOOKUP(B70,input_526100!L:R,7,FALSE),VLOOKUP(tables_526100!C70,input_526100!A:H,8,FALSE))</f>
        <v>573870</v>
      </c>
      <c r="P70" s="46">
        <f t="shared" ca="1" si="4"/>
        <v>9.2499999999701918E-3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input_526100!A$2</f>
        <v>526100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IFERROR(VLOOKUP(B71,input_526100!L:R,7,FALSE),VLOOKUP(tables_526100!C71,input_526100!A:H,8,FALSE))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input_526100!A$2</f>
        <v>526100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IFERROR(VLOOKUP(B72,input_526100!L:R,7,FALSE),VLOOKUP(tables_526100!C72,input_526100!A:H,8,FALSE))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input_526100!A$2</f>
        <v>526100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IFERROR(VLOOKUP(B73,input_526100!L:R,7,FALSE),VLOOKUP(tables_526100!C73,input_526100!A:H,8,FALSE))</f>
        <v>573870</v>
      </c>
      <c r="P73" s="46">
        <f t="shared" ca="1" si="4"/>
        <v>9.2499999999701918E-3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input_526100!A$2</f>
        <v>526100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IFERROR(VLOOKUP(B74,input_526100!L:R,7,FALSE),VLOOKUP(tables_526100!C74,input_526100!A:H,8,FALSE))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input_526100!A$2</f>
        <v>526100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IFERROR(VLOOKUP(B75,input_526100!L:R,7,FALSE),VLOOKUP(tables_526100!C75,input_526100!A:H,8,FALSE))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input_526100!A$2</f>
        <v>526100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IFERROR(VLOOKUP(B76,input_526100!L:R,7,FALSE),VLOOKUP(tables_526100!C76,input_526100!A:H,8,FALSE))</f>
        <v>573870</v>
      </c>
      <c r="P76" s="46">
        <f t="shared" ca="1" si="4"/>
        <v>9.2499999999701918E-3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input_526100!A$2</f>
        <v>526100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IFERROR(VLOOKUP(B77,input_526100!L:R,7,FALSE),VLOOKUP(tables_526100!C77,input_526100!A:H,8,FALSE))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input_526100!A$2</f>
        <v>526100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IFERROR(VLOOKUP(B78,input_526100!L:R,7,FALSE),VLOOKUP(tables_526100!C78,input_526100!A:H,8,FALSE))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input_526100!A$2</f>
        <v>526100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IFERROR(VLOOKUP(B79,input_526100!L:R,7,FALSE),VLOOKUP(tables_526100!C79,input_526100!A:H,8,FALSE))</f>
        <v>573870</v>
      </c>
      <c r="P79" s="46">
        <f t="shared" ca="1" si="4"/>
        <v>9.2499999999701918E-3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input_526100!A$2</f>
        <v>526100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IFERROR(VLOOKUP(B80,input_526100!L:R,7,FALSE),VLOOKUP(tables_526100!C80,input_526100!A:H,8,FALSE))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input_526100!A$2</f>
        <v>526100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IFERROR(VLOOKUP(B81,input_526100!L:R,7,FALSE),VLOOKUP(tables_526100!C81,input_526100!A:H,8,FALSE))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input_526100!A$2</f>
        <v>526100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IFERROR(VLOOKUP(B82,input_526100!L:R,7,FALSE),VLOOKUP(tables_526100!C82,input_526100!A:H,8,FALSE))</f>
        <v>573870</v>
      </c>
      <c r="P82" s="46">
        <f t="shared" ca="1" si="4"/>
        <v>9.2499999999701918E-3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input_526100!A$2</f>
        <v>526100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IFERROR(VLOOKUP(B83,input_526100!L:R,7,FALSE),VLOOKUP(tables_526100!C83,input_526100!A:H,8,FALSE))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input_526100!A$2</f>
        <v>526100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IFERROR(VLOOKUP(B84,input_526100!L:R,7,FALSE),VLOOKUP(tables_526100!C84,input_526100!A:H,8,FALSE))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input_526100!A$2</f>
        <v>526100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IFERROR(VLOOKUP(B85,input_526100!L:R,7,FALSE),VLOOKUP(tables_526100!C85,input_526100!A:H,8,FALSE))</f>
        <v>573870</v>
      </c>
      <c r="P85" s="46">
        <f t="shared" ca="1" si="4"/>
        <v>9.2499999999701918E-3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input_526100!A$2</f>
        <v>526100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IFERROR(VLOOKUP(B86,input_526100!L:R,7,FALSE),VLOOKUP(tables_526100!C86,input_526100!A:H,8,FALSE))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input_526100!A$2</f>
        <v>526100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IFERROR(VLOOKUP(B87,input_526100!L:R,7,FALSE),VLOOKUP(tables_526100!C87,input_526100!A:H,8,FALSE))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input_526100!A$2</f>
        <v>526100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IFERROR(VLOOKUP(B88,input_526100!L:R,7,FALSE),VLOOKUP(tables_526100!C88,input_526100!A:H,8,FALSE))</f>
        <v>573870</v>
      </c>
      <c r="P88" s="46">
        <f t="shared" ca="1" si="4"/>
        <v>9.2499999999701918E-3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input_526100!A$2</f>
        <v>526100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IFERROR(VLOOKUP(B89,input_526100!L:R,7,FALSE),VLOOKUP(tables_526100!C89,input_526100!A:H,8,FALSE))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input_526100!A$2</f>
        <v>526100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IFERROR(VLOOKUP(B90,input_526100!L:R,7,FALSE),VLOOKUP(tables_526100!C90,input_526100!A:H,8,FALSE))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input_526100!A$2</f>
        <v>526100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IFERROR(VLOOKUP(B91,input_526100!L:R,7,FALSE),VLOOKUP(tables_526100!C91,input_526100!A:H,8,FALSE))</f>
        <v>573870</v>
      </c>
      <c r="P91" s="46">
        <f t="shared" ca="1" si="4"/>
        <v>9.2499999999701918E-3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input_526100!A$2</f>
        <v>526100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IFERROR(VLOOKUP(B92,input_526100!L:R,7,FALSE),VLOOKUP(tables_526100!C92,input_526100!A:H,8,FALSE))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input_526100!A$2</f>
        <v>526100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IFERROR(VLOOKUP(B93,input_526100!L:R,7,FALSE),VLOOKUP(tables_526100!C93,input_526100!A:H,8,FALSE))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input_526100!A$2</f>
        <v>526100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IFERROR(VLOOKUP(B94,input_526100!L:R,7,FALSE),VLOOKUP(tables_526100!C94,input_526100!A:H,8,FALSE))</f>
        <v>573870</v>
      </c>
      <c r="P94" s="46">
        <f t="shared" ca="1" si="4"/>
        <v>9.2499999999701918E-3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input_526100!A$2</f>
        <v>526100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IFERROR(VLOOKUP(B95,input_526100!L:R,7,FALSE),VLOOKUP(tables_526100!C95,input_526100!A:H,8,FALSE))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input_526100!A$2</f>
        <v>526100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IFERROR(VLOOKUP(B96,input_526100!L:R,7,FALSE),VLOOKUP(tables_526100!C96,input_526100!A:H,8,FALSE))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input_526100!A$2</f>
        <v>526100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IFERROR(VLOOKUP(B97,input_526100!L:R,7,FALSE),VLOOKUP(tables_526100!C97,input_526100!A:H,8,FALSE))</f>
        <v>573870</v>
      </c>
      <c r="P97" s="46">
        <f t="shared" ca="1" si="4"/>
        <v>9.2499999999701918E-3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input_526100!A$2</f>
        <v>526100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IFERROR(VLOOKUP(B98,input_526100!L:R,7,FALSE),VLOOKUP(tables_526100!C98,input_526100!A:H,8,FALSE))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input_526100!A$2</f>
        <v>526100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IFERROR(VLOOKUP(B99,input_526100!L:R,7,FALSE),VLOOKUP(tables_526100!C99,input_526100!A:H,8,FALSE))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input_526100!A$2</f>
        <v>526100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IFERROR(VLOOKUP(B100,input_526100!L:R,7,FALSE),VLOOKUP(tables_526100!C100,input_526100!A:H,8,FALSE))</f>
        <v>573870</v>
      </c>
      <c r="P100" s="46">
        <f t="shared" ca="1" si="4"/>
        <v>9.2499999999701918E-3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input_526100!A$2</f>
        <v>526100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IFERROR(VLOOKUP(B101,input_526100!L:R,7,FALSE),VLOOKUP(tables_526100!C101,input_526100!A:H,8,FALSE))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input_526100!A$2</f>
        <v>526100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IFERROR(VLOOKUP(B102,input_526100!L:R,7,FALSE),VLOOKUP(tables_526100!C102,input_526100!A:H,8,FALSE))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input_526100!A$2</f>
        <v>526100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IFERROR(VLOOKUP(B103,input_526100!L:R,7,FALSE),VLOOKUP(tables_526100!C103,input_526100!A:H,8,FALSE))</f>
        <v>573870</v>
      </c>
      <c r="P103" s="46">
        <f t="shared" ca="1" si="4"/>
        <v>9.2499999999701918E-3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input_526100!A$2</f>
        <v>526100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IFERROR(VLOOKUP(B104,input_526100!L:R,7,FALSE),VLOOKUP(tables_526100!C104,input_526100!A:H,8,FALSE))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input_526100!A$2</f>
        <v>526100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IFERROR(VLOOKUP(B105,input_526100!L:R,7,FALSE),VLOOKUP(tables_526100!C105,input_526100!A:H,8,FALSE))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input_526100!A$2</f>
        <v>526100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IFERROR(VLOOKUP(B106,input_526100!L:R,7,FALSE),VLOOKUP(tables_526100!C106,input_526100!A:H,8,FALSE))</f>
        <v>573870</v>
      </c>
      <c r="P106" s="46">
        <f t="shared" ca="1" si="4"/>
        <v>9.2499999999701918E-3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input_526100!A$2</f>
        <v>526100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IFERROR(VLOOKUP(B107,input_526100!L:R,7,FALSE),VLOOKUP(tables_526100!C107,input_526100!A:H,8,FALSE))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input_526100!A$2</f>
        <v>526100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IFERROR(VLOOKUP(B108,input_526100!L:R,7,FALSE),VLOOKUP(tables_526100!C108,input_526100!A:H,8,FALSE))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input_526100!A$2</f>
        <v>526100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IFERROR(VLOOKUP(B109,input_526100!L:R,7,FALSE),VLOOKUP(tables_526100!C109,input_526100!A:H,8,FALSE))</f>
        <v>573870</v>
      </c>
      <c r="P109" s="46">
        <f t="shared" ca="1" si="4"/>
        <v>9.2499999999701918E-3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input_526100!A$2</f>
        <v>526100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IFERROR(VLOOKUP(B110,input_526100!L:R,7,FALSE),VLOOKUP(tables_526100!C110,input_526100!A:H,8,FALSE))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input_526100!A$2</f>
        <v>526100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IFERROR(VLOOKUP(B111,input_526100!L:R,7,FALSE),VLOOKUP(tables_526100!C111,input_526100!A:H,8,FALSE))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input_526100!A$2</f>
        <v>526100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IFERROR(VLOOKUP(B112,input_526100!L:R,7,FALSE),VLOOKUP(tables_526100!C112,input_526100!A:H,8,FALSE))</f>
        <v>573870</v>
      </c>
      <c r="P112" s="46">
        <f t="shared" ca="1" si="4"/>
        <v>9.2499999999701918E-3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input_526100!A$2</f>
        <v>526100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IFERROR(VLOOKUP(B113,input_526100!L:R,7,FALSE),VLOOKUP(tables_526100!C113,input_526100!A:H,8,FALSE))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input_526100!A$2</f>
        <v>526100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IFERROR(VLOOKUP(B114,input_526100!L:R,7,FALSE),VLOOKUP(tables_526100!C114,input_526100!A:H,8,FALSE))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input_526100!A$2</f>
        <v>526100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IFERROR(VLOOKUP(B115,input_526100!L:R,7,FALSE),VLOOKUP(tables_526100!C115,input_526100!A:H,8,FALSE))</f>
        <v>573870</v>
      </c>
      <c r="P115" s="46">
        <f t="shared" ca="1" si="4"/>
        <v>9.2499999999701918E-3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input_526100!A$2</f>
        <v>526100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IFERROR(VLOOKUP(B116,input_526100!L:R,7,FALSE),VLOOKUP(tables_526100!C116,input_526100!A:H,8,FALSE))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input_526100!A$2</f>
        <v>526100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IFERROR(VLOOKUP(B117,input_526100!L:R,7,FALSE),VLOOKUP(tables_526100!C117,input_526100!A:H,8,FALSE))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input_526100!A$2</f>
        <v>526100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IFERROR(VLOOKUP(B118,input_526100!L:R,7,FALSE),VLOOKUP(tables_526100!C118,input_526100!A:H,8,FALSE))</f>
        <v>573870</v>
      </c>
      <c r="P118" s="46">
        <f t="shared" ca="1" si="4"/>
        <v>9.2499999999701918E-3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input_526100!A$2</f>
        <v>526100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IFERROR(VLOOKUP(B119,input_526100!L:R,7,FALSE),VLOOKUP(tables_526100!C119,input_526100!A:H,8,FALSE))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input_526100!A$2</f>
        <v>526100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IFERROR(VLOOKUP(B120,input_526100!L:R,7,FALSE),VLOOKUP(tables_526100!C120,input_526100!A:H,8,FALSE))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input_526100!A$2</f>
        <v>526100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IFERROR(VLOOKUP(B121,input_526100!L:R,7,FALSE),VLOOKUP(tables_526100!C121,input_526100!A:H,8,FALSE))</f>
        <v>573870</v>
      </c>
      <c r="P121" s="46">
        <f t="shared" ca="1" si="4"/>
        <v>9.2499999999701918E-3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input_526100!A$2</f>
        <v>526100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IFERROR(VLOOKUP(B122,input_526100!L:R,7,FALSE),VLOOKUP(tables_526100!C122,input_526100!A:H,8,FALSE))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input_526100!A$2</f>
        <v>526100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IFERROR(VLOOKUP(B123,input_526100!L:R,7,FALSE),VLOOKUP(tables_526100!C123,input_526100!A:H,8,FALSE))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input_526100!A$2</f>
        <v>526100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IFERROR(VLOOKUP(B124,input_526100!L:R,7,FALSE),VLOOKUP(tables_526100!C124,input_526100!A:H,8,FALSE))</f>
        <v>573870</v>
      </c>
      <c r="P124" s="46">
        <f t="shared" ca="1" si="4"/>
        <v>9.2499999999701918E-3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input_526100!A$2</f>
        <v>526100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IFERROR(VLOOKUP(B125,input_526100!L:R,7,FALSE),VLOOKUP(tables_526100!C125,input_526100!A:H,8,FALSE))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input_526100!A$2</f>
        <v>526100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IFERROR(VLOOKUP(B126,input_526100!L:R,7,FALSE),VLOOKUP(tables_526100!C126,input_526100!A:H,8,FALSE))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input_526100!A$2</f>
        <v>526100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IFERROR(VLOOKUP(B127,input_526100!L:R,7,FALSE),VLOOKUP(tables_526100!C127,input_526100!A:H,8,FALSE))</f>
        <v>573870</v>
      </c>
      <c r="P127" s="46">
        <f t="shared" ca="1" si="4"/>
        <v>9.2499999999701918E-3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input_526100!A$2</f>
        <v>526100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IFERROR(VLOOKUP(B128,input_526100!L:R,7,FALSE),VLOOKUP(tables_526100!C128,input_526100!A:H,8,FALSE))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input_526100!A$2</f>
        <v>526100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IFERROR(VLOOKUP(B129,input_526100!L:R,7,FALSE),VLOOKUP(tables_526100!C129,input_526100!A:H,8,FALSE))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input_526100!A$2</f>
        <v>526100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IFERROR(VLOOKUP(B130,input_526100!L:R,7,FALSE),VLOOKUP(tables_526100!C130,input_526100!A:H,8,FALSE))</f>
        <v>573870</v>
      </c>
      <c r="P130" s="46">
        <f t="shared" ref="P130:P193" ca="1" si="7">O130/SUM(O:O)</f>
        <v>9.2499999999701918E-3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input_526100!A$2</f>
        <v>526100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IFERROR(VLOOKUP(B131,input_526100!L:R,7,FALSE),VLOOKUP(tables_526100!C131,input_526100!A:H,8,FALSE))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input_526100!A$2</f>
        <v>526100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IFERROR(VLOOKUP(B132,input_526100!L:R,7,FALSE),VLOOKUP(tables_526100!C132,input_526100!A:H,8,FALSE))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input_526100!A$2</f>
        <v>526100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IFERROR(VLOOKUP(B133,input_526100!L:R,7,FALSE),VLOOKUP(tables_526100!C133,input_526100!A:H,8,FALSE))</f>
        <v>573870</v>
      </c>
      <c r="P133" s="46">
        <f t="shared" ca="1" si="7"/>
        <v>9.2499999999701918E-3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input_526100!A$2</f>
        <v>526100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IFERROR(VLOOKUP(B134,input_526100!L:R,7,FALSE),VLOOKUP(tables_526100!C134,input_526100!A:H,8,FALSE))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input_526100!A$2</f>
        <v>526100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IFERROR(VLOOKUP(B135,input_526100!L:R,7,FALSE),VLOOKUP(tables_526100!C135,input_526100!A:H,8,FALSE))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input_526100!A$2</f>
        <v>526100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IFERROR(VLOOKUP(B136,input_526100!L:R,7,FALSE),VLOOKUP(tables_526100!C136,input_526100!A:H,8,FALSE))</f>
        <v>573870</v>
      </c>
      <c r="P136" s="46">
        <f t="shared" ca="1" si="7"/>
        <v>9.2499999999701918E-3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input_526100!A$2</f>
        <v>526100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IFERROR(VLOOKUP(B137,input_526100!L:R,7,FALSE),VLOOKUP(tables_526100!C137,input_526100!A:H,8,FALSE))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input_526100!A$2</f>
        <v>526100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IFERROR(VLOOKUP(B138,input_526100!L:R,7,FALSE),VLOOKUP(tables_526100!C138,input_526100!A:H,8,FALSE))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input_526100!A$2</f>
        <v>526100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IFERROR(VLOOKUP(B139,input_526100!L:R,7,FALSE),VLOOKUP(tables_526100!C139,input_526100!A:H,8,FALSE))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input_526100!A$2</f>
        <v>526100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IFERROR(VLOOKUP(B140,input_526100!L:R,7,FALSE),VLOOKUP(tables_526100!C140,input_526100!A:H,8,FALSE))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input_526100!A$2</f>
        <v>526100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IFERROR(VLOOKUP(B141,input_526100!L:R,7,FALSE),VLOOKUP(tables_526100!C141,input_526100!A:H,8,FALSE))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input_526100!A$2</f>
        <v>526100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IFERROR(VLOOKUP(B142,input_526100!L:R,7,FALSE),VLOOKUP(tables_526100!C142,input_526100!A:H,8,FALSE))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input_526100!A$2</f>
        <v>526100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IFERROR(VLOOKUP(B143,input_526100!L:R,7,FALSE),VLOOKUP(tables_526100!C143,input_526100!A:H,8,FALSE))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input_526100!A$2</f>
        <v>526100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IFERROR(VLOOKUP(B144,input_526100!L:R,7,FALSE),VLOOKUP(tables_526100!C144,input_526100!A:H,8,FALSE))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input_526100!A$2</f>
        <v>526100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IFERROR(VLOOKUP(B145,input_526100!L:R,7,FALSE),VLOOKUP(tables_526100!C145,input_526100!A:H,8,FALSE))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input_526100!A$2</f>
        <v>526100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IFERROR(VLOOKUP(B146,input_526100!L:R,7,FALSE),VLOOKUP(tables_526100!C146,input_526100!A:H,8,FALSE))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input_526100!A$2</f>
        <v>526100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IFERROR(VLOOKUP(B147,input_526100!L:R,7,FALSE),VLOOKUP(tables_526100!C147,input_526100!A:H,8,FALSE))</f>
        <v>573870</v>
      </c>
      <c r="P147" s="46">
        <f t="shared" ca="1" si="7"/>
        <v>9.2499999999701918E-3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input_526100!A$2</f>
        <v>526100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IFERROR(VLOOKUP(B148,input_526100!L:R,7,FALSE),VLOOKUP(tables_526100!C148,input_526100!A:H,8,FALSE))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input_526100!A$2</f>
        <v>526100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IFERROR(VLOOKUP(B149,input_526100!L:R,7,FALSE),VLOOKUP(tables_526100!C149,input_526100!A:H,8,FALSE))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input_526100!A$2</f>
        <v>526100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IFERROR(VLOOKUP(B150,input_526100!L:R,7,FALSE),VLOOKUP(tables_526100!C150,input_526100!A:H,8,FALSE))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input_526100!A$2</f>
        <v>526100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IFERROR(VLOOKUP(B151,input_526100!L:R,7,FALSE),VLOOKUP(tables_526100!C151,input_526100!A:H,8,FALSE))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input_526100!A$2</f>
        <v>526100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IFERROR(VLOOKUP(B152,input_526100!L:R,7,FALSE),VLOOKUP(tables_526100!C152,input_526100!A:H,8,FALSE))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input_526100!A$2</f>
        <v>526100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IFERROR(VLOOKUP(B153,input_526100!L:R,7,FALSE),VLOOKUP(tables_526100!C153,input_526100!A:H,8,FALSE))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input_526100!A$2</f>
        <v>526100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IFERROR(VLOOKUP(B154,input_526100!L:R,7,FALSE),VLOOKUP(tables_526100!C154,input_526100!A:H,8,FALSE))</f>
        <v>573870</v>
      </c>
      <c r="P154" s="46">
        <f t="shared" ca="1" si="7"/>
        <v>9.2499999999701918E-3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input_526100!A$2</f>
        <v>526100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IFERROR(VLOOKUP(B155,input_526100!L:R,7,FALSE),VLOOKUP(tables_526100!C155,input_526100!A:H,8,FALSE))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input_526100!A$2</f>
        <v>526100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IFERROR(VLOOKUP(B156,input_526100!L:R,7,FALSE),VLOOKUP(tables_526100!C156,input_526100!A:H,8,FALSE))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input_526100!A$2</f>
        <v>526100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IFERROR(VLOOKUP(B157,input_526100!L:R,7,FALSE),VLOOKUP(tables_526100!C157,input_526100!A:H,8,FALSE))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input_526100!A$2</f>
        <v>526100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IFERROR(VLOOKUP(B158,input_526100!L:R,7,FALSE),VLOOKUP(tables_526100!C158,input_526100!A:H,8,FALSE))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input_526100!A$2</f>
        <v>526100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IFERROR(VLOOKUP(B159,input_526100!L:R,7,FALSE),VLOOKUP(tables_526100!C159,input_526100!A:H,8,FALSE))</f>
        <v>573870</v>
      </c>
      <c r="P159" s="46">
        <f t="shared" ca="1" si="7"/>
        <v>9.2499999999701918E-3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input_526100!A$2</f>
        <v>526100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IFERROR(VLOOKUP(B160,input_526100!L:R,7,FALSE),VLOOKUP(tables_526100!C160,input_526100!A:H,8,FALSE))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input_526100!A$2</f>
        <v>526100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IFERROR(VLOOKUP(B161,input_526100!L:R,7,FALSE),VLOOKUP(tables_526100!C161,input_526100!A:H,8,FALSE))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input_526100!A$2</f>
        <v>526100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IFERROR(VLOOKUP(B162,input_526100!L:R,7,FALSE),VLOOKUP(tables_526100!C162,input_526100!A:H,8,FALSE))</f>
        <v>573870</v>
      </c>
      <c r="P162" s="46">
        <f t="shared" ca="1" si="7"/>
        <v>9.2499999999701918E-3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input_526100!A$2</f>
        <v>526100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IFERROR(VLOOKUP(B163,input_526100!L:R,7,FALSE),VLOOKUP(tables_526100!C163,input_526100!A:H,8,FALSE))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input_526100!A$2</f>
        <v>526100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IFERROR(VLOOKUP(B164,input_526100!L:R,7,FALSE),VLOOKUP(tables_526100!C164,input_526100!A:H,8,FALSE))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input_526100!A$2</f>
        <v>526100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IFERROR(VLOOKUP(B165,input_526100!L:R,7,FALSE),VLOOKUP(tables_526100!C165,input_526100!A:H,8,FALSE))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input_526100!A$2</f>
        <v>526100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IFERROR(VLOOKUP(B166,input_526100!L:R,7,FALSE),VLOOKUP(tables_526100!C166,input_526100!A:H,8,FALSE))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input_526100!A$2</f>
        <v>526100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IFERROR(VLOOKUP(B167,input_526100!L:R,7,FALSE),VLOOKUP(tables_526100!C167,input_526100!A:H,8,FALSE))</f>
        <v>573870</v>
      </c>
      <c r="P167" s="46">
        <f t="shared" ca="1" si="7"/>
        <v>9.2499999999701918E-3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input_526100!A$2</f>
        <v>526100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IFERROR(VLOOKUP(B168,input_526100!L:R,7,FALSE),VLOOKUP(tables_526100!C168,input_526100!A:H,8,FALSE))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input_526100!A$2</f>
        <v>526100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IFERROR(VLOOKUP(B169,input_526100!L:R,7,FALSE),VLOOKUP(tables_526100!C169,input_526100!A:H,8,FALSE))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input_526100!A$2</f>
        <v>526100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IFERROR(VLOOKUP(B170,input_526100!L:R,7,FALSE),VLOOKUP(tables_526100!C170,input_526100!A:H,8,FALSE))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input_526100!A$2</f>
        <v>526100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IFERROR(VLOOKUP(B171,input_526100!L:R,7,FALSE),VLOOKUP(tables_526100!C171,input_526100!A:H,8,FALSE))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input_526100!A$2</f>
        <v>526100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IFERROR(VLOOKUP(B172,input_526100!L:R,7,FALSE),VLOOKUP(tables_526100!C172,input_526100!A:H,8,FALSE))</f>
        <v>573870</v>
      </c>
      <c r="P172" s="46">
        <f t="shared" ca="1" si="7"/>
        <v>9.2499999999701918E-3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input_526100!A$2</f>
        <v>526100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IFERROR(VLOOKUP(B173,input_526100!L:R,7,FALSE),VLOOKUP(tables_526100!C173,input_526100!A:H,8,FALSE))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input_526100!A$2</f>
        <v>526100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IFERROR(VLOOKUP(B174,input_526100!L:R,7,FALSE),VLOOKUP(tables_526100!C174,input_526100!A:H,8,FALSE))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input_526100!A$2</f>
        <v>526100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IFERROR(VLOOKUP(B175,input_526100!L:R,7,FALSE),VLOOKUP(tables_526100!C175,input_526100!A:H,8,FALSE))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input_526100!A$2</f>
        <v>526100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IFERROR(VLOOKUP(B176,input_526100!L:R,7,FALSE),VLOOKUP(tables_526100!C176,input_526100!A:H,8,FALSE))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input_526100!A$2</f>
        <v>526100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IFERROR(VLOOKUP(B177,input_526100!L:R,7,FALSE),VLOOKUP(tables_526100!C177,input_526100!A:H,8,FALSE))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input_526100!A$2</f>
        <v>526100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IFERROR(VLOOKUP(B178,input_526100!L:R,7,FALSE),VLOOKUP(tables_526100!C178,input_526100!A:H,8,FALSE))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input_526100!A$2</f>
        <v>526100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IFERROR(VLOOKUP(B179,input_526100!L:R,7,FALSE),VLOOKUP(tables_526100!C179,input_526100!A:H,8,FALSE))</f>
        <v>573870</v>
      </c>
      <c r="P179" s="46">
        <f t="shared" ca="1" si="7"/>
        <v>9.2499999999701918E-3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input_526100!A$2</f>
        <v>526100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IFERROR(VLOOKUP(B180,input_526100!L:R,7,FALSE),VLOOKUP(tables_526100!C180,input_526100!A:H,8,FALSE))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input_526100!A$2</f>
        <v>526100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IFERROR(VLOOKUP(B181,input_526100!L:R,7,FALSE),VLOOKUP(tables_526100!C181,input_526100!A:H,8,FALSE))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input_526100!A$2</f>
        <v>526100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IFERROR(VLOOKUP(B182,input_526100!L:R,7,FALSE),VLOOKUP(tables_526100!C182,input_526100!A:H,8,FALSE))</f>
        <v>573870</v>
      </c>
      <c r="P182" s="46">
        <f t="shared" ca="1" si="7"/>
        <v>9.2499999999701918E-3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input_526100!A$2</f>
        <v>526100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IFERROR(VLOOKUP(B183,input_526100!L:R,7,FALSE),VLOOKUP(tables_526100!C183,input_526100!A:H,8,FALSE))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input_526100!A$2</f>
        <v>526100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IFERROR(VLOOKUP(B184,input_526100!L:R,7,FALSE),VLOOKUP(tables_526100!C184,input_526100!A:H,8,FALSE))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input_526100!A$2</f>
        <v>526100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IFERROR(VLOOKUP(B185,input_526100!L:R,7,FALSE),VLOOKUP(tables_526100!C185,input_526100!A:H,8,FALSE))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input_526100!A$2</f>
        <v>526100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IFERROR(VLOOKUP(B186,input_526100!L:R,7,FALSE),VLOOKUP(tables_526100!C186,input_526100!A:H,8,FALSE))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input_526100!A$2</f>
        <v>526100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IFERROR(VLOOKUP(B187,input_526100!L:R,7,FALSE),VLOOKUP(tables_526100!C187,input_526100!A:H,8,FALSE))</f>
        <v>573870</v>
      </c>
      <c r="P187" s="46">
        <f t="shared" ca="1" si="7"/>
        <v>9.2499999999701918E-3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input_526100!A$2</f>
        <v>526100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IFERROR(VLOOKUP(B188,input_526100!L:R,7,FALSE),VLOOKUP(tables_526100!C188,input_526100!A:H,8,FALSE))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input_526100!A$2</f>
        <v>526100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IFERROR(VLOOKUP(B189,input_526100!L:R,7,FALSE),VLOOKUP(tables_526100!C189,input_526100!A:H,8,FALSE))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input_526100!A$2</f>
        <v>526100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IFERROR(VLOOKUP(B190,input_526100!L:R,7,FALSE),VLOOKUP(tables_526100!C190,input_526100!A:H,8,FALSE))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input_526100!A$2</f>
        <v>526100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IFERROR(VLOOKUP(B191,input_526100!L:R,7,FALSE),VLOOKUP(tables_526100!C191,input_526100!A:H,8,FALSE))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input_526100!A$2</f>
        <v>526100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IFERROR(VLOOKUP(B192,input_526100!L:R,7,FALSE),VLOOKUP(tables_526100!C192,input_526100!A:H,8,FALSE))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input_526100!A$2</f>
        <v>526100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IFERROR(VLOOKUP(B193,input_526100!L:R,7,FALSE),VLOOKUP(tables_526100!C193,input_526100!A:H,8,FALSE))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input_526100!A$2</f>
        <v>526100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IFERROR(VLOOKUP(B194,input_526100!L:R,7,FALSE),VLOOKUP(tables_526100!C194,input_526100!A:H,8,FALSE))</f>
        <v>573870</v>
      </c>
      <c r="P194" s="46">
        <f t="shared" ref="P194:P257" ca="1" si="10">O194/SUM(O:O)</f>
        <v>9.2499999999701918E-3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input_526100!A$2</f>
        <v>526100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IFERROR(VLOOKUP(B195,input_526100!L:R,7,FALSE),VLOOKUP(tables_526100!C195,input_526100!A:H,8,FALSE))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input_526100!A$2</f>
        <v>526100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IFERROR(VLOOKUP(B196,input_526100!L:R,7,FALSE),VLOOKUP(tables_526100!C196,input_526100!A:H,8,FALSE))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input_526100!A$2</f>
        <v>526100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IFERROR(VLOOKUP(B197,input_526100!L:R,7,FALSE),VLOOKUP(tables_526100!C197,input_526100!A:H,8,FALSE))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input_526100!A$2</f>
        <v>526100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IFERROR(VLOOKUP(B198,input_526100!L:R,7,FALSE),VLOOKUP(tables_526100!C198,input_526100!A:H,8,FALSE))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input_526100!A$2</f>
        <v>526100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IFERROR(VLOOKUP(B199,input_526100!L:R,7,FALSE),VLOOKUP(tables_526100!C199,input_526100!A:H,8,FALSE))</f>
        <v>573870</v>
      </c>
      <c r="P199" s="46">
        <f t="shared" ca="1" si="10"/>
        <v>9.2499999999701918E-3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input_526100!A$2</f>
        <v>526100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IFERROR(VLOOKUP(B200,input_526100!L:R,7,FALSE),VLOOKUP(tables_526100!C200,input_526100!A:H,8,FALSE))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input_526100!A$2</f>
        <v>526100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IFERROR(VLOOKUP(B201,input_526100!L:R,7,FALSE),VLOOKUP(tables_526100!C201,input_526100!A:H,8,FALSE))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input_526100!A$2</f>
        <v>526100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IFERROR(VLOOKUP(B202,input_526100!L:R,7,FALSE),VLOOKUP(tables_526100!C202,input_526100!A:H,8,FALSE))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input_526100!A$2</f>
        <v>526100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IFERROR(VLOOKUP(B203,input_526100!L:R,7,FALSE),VLOOKUP(tables_526100!C203,input_526100!A:H,8,FALSE))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input_526100!A$2</f>
        <v>526100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IFERROR(VLOOKUP(B204,input_526100!L:R,7,FALSE),VLOOKUP(tables_526100!C204,input_526100!A:H,8,FALSE))</f>
        <v>573870</v>
      </c>
      <c r="P204" s="46">
        <f t="shared" ca="1" si="10"/>
        <v>9.2499999999701918E-3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input_526100!A$2</f>
        <v>526100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IFERROR(VLOOKUP(B205,input_526100!L:R,7,FALSE),VLOOKUP(tables_526100!C205,input_526100!A:H,8,FALSE))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input_526100!A$2</f>
        <v>526100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IFERROR(VLOOKUP(B206,input_526100!L:R,7,FALSE),VLOOKUP(tables_526100!C206,input_526100!A:H,8,FALSE))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input_526100!A$2</f>
        <v>526100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IFERROR(VLOOKUP(B207,input_526100!L:R,7,FALSE),VLOOKUP(tables_526100!C207,input_526100!A:H,8,FALSE))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input_526100!A$2</f>
        <v>526100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IFERROR(VLOOKUP(B208,input_526100!L:R,7,FALSE),VLOOKUP(tables_526100!C208,input_526100!A:H,8,FALSE))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input_526100!A$2</f>
        <v>526100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IFERROR(VLOOKUP(B209,input_526100!L:R,7,FALSE),VLOOKUP(tables_526100!C209,input_526100!A:H,8,FALSE))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input_526100!A$2</f>
        <v>526100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IFERROR(VLOOKUP(B210,input_526100!L:R,7,FALSE),VLOOKUP(tables_526100!C210,input_526100!A:H,8,FALSE))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input_526100!A$2</f>
        <v>526100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IFERROR(VLOOKUP(B211,input_526100!L:R,7,FALSE),VLOOKUP(tables_526100!C211,input_526100!A:H,8,FALSE))</f>
        <v>573870</v>
      </c>
      <c r="P211" s="46">
        <f t="shared" ca="1" si="10"/>
        <v>9.2499999999701918E-3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input_526100!A$2</f>
        <v>526100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IFERROR(VLOOKUP(B212,input_526100!L:R,7,FALSE),VLOOKUP(tables_526100!C212,input_526100!A:H,8,FALSE))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input_526100!A$2</f>
        <v>526100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IFERROR(VLOOKUP(B213,input_526100!L:R,7,FALSE),VLOOKUP(tables_526100!C213,input_526100!A:H,8,FALSE))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input_526100!A$2</f>
        <v>526100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IFERROR(VLOOKUP(B214,input_526100!L:R,7,FALSE),VLOOKUP(tables_526100!C214,input_526100!A:H,8,FALSE))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input_526100!A$2</f>
        <v>526100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IFERROR(VLOOKUP(B215,input_526100!L:R,7,FALSE),VLOOKUP(tables_526100!C215,input_526100!A:H,8,FALSE))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input_526100!A$2</f>
        <v>526100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IFERROR(VLOOKUP(B216,input_526100!L:R,7,FALSE),VLOOKUP(tables_526100!C216,input_526100!A:H,8,FALSE))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input_526100!A$2</f>
        <v>526100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IFERROR(VLOOKUP(B217,input_526100!L:R,7,FALSE),VLOOKUP(tables_526100!C217,input_526100!A:H,8,FALSE))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input_526100!A$2</f>
        <v>526100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IFERROR(VLOOKUP(B218,input_526100!L:R,7,FALSE),VLOOKUP(tables_526100!C218,input_526100!A:H,8,FALSE))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input_526100!A$2</f>
        <v>526100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IFERROR(VLOOKUP(B219,input_526100!L:R,7,FALSE),VLOOKUP(tables_526100!C219,input_526100!A:H,8,FALSE))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input_526100!A$2</f>
        <v>526100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IFERROR(VLOOKUP(B220,input_526100!L:R,7,FALSE),VLOOKUP(tables_526100!C220,input_526100!A:H,8,FALSE))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input_526100!A$2</f>
        <v>526100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IFERROR(VLOOKUP(B221,input_526100!L:R,7,FALSE),VLOOKUP(tables_526100!C221,input_526100!A:H,8,FALSE))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input_526100!A$2</f>
        <v>526100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IFERROR(VLOOKUP(B222,input_526100!L:R,7,FALSE),VLOOKUP(tables_526100!C222,input_526100!A:H,8,FALSE))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input_526100!A$2</f>
        <v>526100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IFERROR(VLOOKUP(B223,input_526100!L:R,7,FALSE),VLOOKUP(tables_526100!C223,input_526100!A:H,8,FALSE))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input_526100!A$2</f>
        <v>526100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IFERROR(VLOOKUP(B224,input_526100!L:R,7,FALSE),VLOOKUP(tables_526100!C224,input_526100!A:H,8,FALSE))</f>
        <v>573870</v>
      </c>
      <c r="P224" s="46">
        <f t="shared" ca="1" si="10"/>
        <v>9.2499999999701918E-3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input_526100!A$2</f>
        <v>526100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IFERROR(VLOOKUP(B225,input_526100!L:R,7,FALSE),VLOOKUP(tables_526100!C225,input_526100!A:H,8,FALSE))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input_526100!A$2</f>
        <v>526100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IFERROR(VLOOKUP(B226,input_526100!L:R,7,FALSE),VLOOKUP(tables_526100!C226,input_526100!A:H,8,FALSE))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input_526100!A$2</f>
        <v>526100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IFERROR(VLOOKUP(B227,input_526100!L:R,7,FALSE),VLOOKUP(tables_526100!C227,input_526100!A:H,8,FALSE))</f>
        <v>573870</v>
      </c>
      <c r="P227" s="46">
        <f t="shared" ca="1" si="10"/>
        <v>9.2499999999701918E-3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input_526100!A$2</f>
        <v>526100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IFERROR(VLOOKUP(B228,input_526100!L:R,7,FALSE),VLOOKUP(tables_526100!C228,input_526100!A:H,8,FALSE))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input_526100!A$2</f>
        <v>526100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IFERROR(VLOOKUP(B229,input_526100!L:R,7,FALSE),VLOOKUP(tables_526100!C229,input_526100!A:H,8,FALSE))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input_526100!A$2</f>
        <v>526100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IFERROR(VLOOKUP(B230,input_526100!L:R,7,FALSE),VLOOKUP(tables_526100!C230,input_526100!A:H,8,FALSE))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input_526100!A$2</f>
        <v>526100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IFERROR(VLOOKUP(B231,input_526100!L:R,7,FALSE),VLOOKUP(tables_526100!C231,input_526100!A:H,8,FALSE))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input_526100!A$2</f>
        <v>526100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IFERROR(VLOOKUP(B232,input_526100!L:R,7,FALSE),VLOOKUP(tables_526100!C232,input_526100!A:H,8,FALSE))</f>
        <v>573870</v>
      </c>
      <c r="P232" s="46">
        <f t="shared" ca="1" si="10"/>
        <v>9.2499999999701918E-3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input_526100!A$2</f>
        <v>526100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IFERROR(VLOOKUP(B233,input_526100!L:R,7,FALSE),VLOOKUP(tables_526100!C233,input_526100!A:H,8,FALSE))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input_526100!A$2</f>
        <v>526100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IFERROR(VLOOKUP(B234,input_526100!L:R,7,FALSE),VLOOKUP(tables_526100!C234,input_526100!A:H,8,FALSE))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input_526100!A$2</f>
        <v>526100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IFERROR(VLOOKUP(B235,input_526100!L:R,7,FALSE),VLOOKUP(tables_526100!C235,input_526100!A:H,8,FALSE))</f>
        <v>573870</v>
      </c>
      <c r="P235" s="46">
        <f t="shared" ca="1" si="10"/>
        <v>9.2499999999701918E-3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input_526100!A$2</f>
        <v>526100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IFERROR(VLOOKUP(B236,input_526100!L:R,7,FALSE),VLOOKUP(tables_526100!C236,input_526100!A:H,8,FALSE))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input_526100!A$2</f>
        <v>526100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IFERROR(VLOOKUP(B237,input_526100!L:R,7,FALSE),VLOOKUP(tables_526100!C237,input_526100!A:H,8,FALSE))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input_526100!A$2</f>
        <v>526100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IFERROR(VLOOKUP(B238,input_526100!L:R,7,FALSE),VLOOKUP(tables_526100!C238,input_526100!A:H,8,FALSE))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input_526100!A$2</f>
        <v>526100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IFERROR(VLOOKUP(B239,input_526100!L:R,7,FALSE),VLOOKUP(tables_526100!C239,input_526100!A:H,8,FALSE))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input_526100!A$2</f>
        <v>526100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IFERROR(VLOOKUP(B240,input_526100!L:R,7,FALSE),VLOOKUP(tables_526100!C240,input_526100!A:H,8,FALSE))</f>
        <v>573870</v>
      </c>
      <c r="P240" s="46">
        <f t="shared" ca="1" si="10"/>
        <v>9.2499999999701918E-3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input_526100!A$2</f>
        <v>526100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IFERROR(VLOOKUP(B241,input_526100!L:R,7,FALSE),VLOOKUP(tables_526100!C241,input_526100!A:H,8,FALSE))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input_526100!A$2</f>
        <v>526100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IFERROR(VLOOKUP(B242,input_526100!L:R,7,FALSE),VLOOKUP(tables_526100!C242,input_526100!A:H,8,FALSE))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input_526100!A$2</f>
        <v>526100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IFERROR(VLOOKUP(B243,input_526100!L:R,7,FALSE),VLOOKUP(tables_526100!C243,input_526100!A:H,8,FALSE))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input_526100!A$2</f>
        <v>526100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IFERROR(VLOOKUP(B244,input_526100!L:R,7,FALSE),VLOOKUP(tables_526100!C244,input_526100!A:H,8,FALSE))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input_526100!A$2</f>
        <v>526100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IFERROR(VLOOKUP(B245,input_526100!L:R,7,FALSE),VLOOKUP(tables_526100!C245,input_526100!A:H,8,FALSE))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input_526100!A$2</f>
        <v>526100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IFERROR(VLOOKUP(B246,input_526100!L:R,7,FALSE),VLOOKUP(tables_526100!C246,input_526100!A:H,8,FALSE))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input_526100!A$2</f>
        <v>526100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IFERROR(VLOOKUP(B247,input_526100!L:R,7,FALSE),VLOOKUP(tables_526100!C247,input_526100!A:H,8,FALSE))</f>
        <v>573870</v>
      </c>
      <c r="P247" s="46">
        <f t="shared" ca="1" si="10"/>
        <v>9.2499999999701918E-3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input_526100!A$2</f>
        <v>526100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IFERROR(VLOOKUP(B248,input_526100!L:R,7,FALSE),VLOOKUP(tables_526100!C248,input_526100!A:H,8,FALSE))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input_526100!A$2</f>
        <v>526100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IFERROR(VLOOKUP(B249,input_526100!L:R,7,FALSE),VLOOKUP(tables_526100!C249,input_526100!A:H,8,FALSE))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input_526100!A$2</f>
        <v>526100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IFERROR(VLOOKUP(B250,input_526100!L:R,7,FALSE),VLOOKUP(tables_526100!C250,input_526100!A:H,8,FALSE))</f>
        <v>573870</v>
      </c>
      <c r="P250" s="46">
        <f t="shared" ca="1" si="10"/>
        <v>9.2499999999701918E-3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input_526100!A$2</f>
        <v>526100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IFERROR(VLOOKUP(B251,input_526100!L:R,7,FALSE),VLOOKUP(tables_526100!C251,input_526100!A:H,8,FALSE))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input_526100!A$2</f>
        <v>526100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IFERROR(VLOOKUP(B252,input_526100!L:R,7,FALSE),VLOOKUP(tables_526100!C252,input_526100!A:H,8,FALSE))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input_526100!A$2</f>
        <v>526100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IFERROR(VLOOKUP(B253,input_526100!L:R,7,FALSE),VLOOKUP(tables_526100!C253,input_526100!A:H,8,FALSE))</f>
        <v>573870</v>
      </c>
      <c r="P253" s="46">
        <f t="shared" ca="1" si="10"/>
        <v>9.2499999999701918E-3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input_526100!A$2</f>
        <v>526100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IFERROR(VLOOKUP(B254,input_526100!L:R,7,FALSE),VLOOKUP(tables_526100!C254,input_526100!A:H,8,FALSE))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input_526100!A$2</f>
        <v>526100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IFERROR(VLOOKUP(B255,input_526100!L:R,7,FALSE),VLOOKUP(tables_526100!C255,input_526100!A:H,8,FALSE))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input_526100!A$2</f>
        <v>526100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IFERROR(VLOOKUP(B256,input_526100!L:R,7,FALSE),VLOOKUP(tables_526100!C256,input_526100!A:H,8,FALSE))</f>
        <v>573870</v>
      </c>
      <c r="P256" s="46">
        <f t="shared" ca="1" si="10"/>
        <v>9.2499999999701918E-3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input_526100!A$2</f>
        <v>526100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IFERROR(VLOOKUP(B257,input_526100!L:R,7,FALSE),VLOOKUP(tables_526100!C257,input_526100!A:H,8,FALSE))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input_526100!A$2</f>
        <v>526100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IFERROR(VLOOKUP(B258,input_526100!L:R,7,FALSE),VLOOKUP(tables_526100!C258,input_526100!A:H,8,FALSE))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input_526100!A$2</f>
        <v>526100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IFERROR(VLOOKUP(B259,input_526100!L:R,7,FALSE),VLOOKUP(tables_526100!C259,input_526100!A:H,8,FALSE))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input_526100!A$2</f>
        <v>526100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IFERROR(VLOOKUP(B260,input_526100!L:R,7,FALSE),VLOOKUP(tables_526100!C260,input_526100!A:H,8,FALSE))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input_526100!A$2</f>
        <v>526100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IFERROR(VLOOKUP(B261,input_526100!L:R,7,FALSE),VLOOKUP(tables_526100!C261,input_526100!A:H,8,FALSE))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input_526100!A$2</f>
        <v>526100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IFERROR(VLOOKUP(B262,input_526100!L:R,7,FALSE),VLOOKUP(tables_526100!C262,input_526100!A:H,8,FALSE))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input_526100!A$2</f>
        <v>526100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IFERROR(VLOOKUP(B263,input_526100!L:R,7,FALSE),VLOOKUP(tables_526100!C263,input_526100!A:H,8,FALSE))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input_526100!A$2</f>
        <v>526100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IFERROR(VLOOKUP(B264,input_526100!L:R,7,FALSE),VLOOKUP(tables_526100!C264,input_526100!A:H,8,FALSE))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input_526100!A$2</f>
        <v>526100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IFERROR(VLOOKUP(B265,input_526100!L:R,7,FALSE),VLOOKUP(tables_526100!C265,input_526100!A:H,8,FALSE))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input_526100!A$2</f>
        <v>526100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IFERROR(VLOOKUP(B266,input_526100!L:R,7,FALSE),VLOOKUP(tables_526100!C266,input_526100!A:H,8,FALSE))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input_526100!A$2</f>
        <v>526100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IFERROR(VLOOKUP(B267,input_526100!L:R,7,FALSE),VLOOKUP(tables_526100!C267,input_526100!A:H,8,FALSE))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input_526100!A$2</f>
        <v>526100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IFERROR(VLOOKUP(B268,input_526100!L:R,7,FALSE),VLOOKUP(tables_526100!C268,input_526100!A:H,8,FALSE))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input_526100!A$2</f>
        <v>526100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IFERROR(VLOOKUP(B269,input_526100!L:R,7,FALSE),VLOOKUP(tables_526100!C269,input_526100!A:H,8,FALSE))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input_526100!A$2</f>
        <v>526100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IFERROR(VLOOKUP(B270,input_526100!L:R,7,FALSE),VLOOKUP(tables_526100!C270,input_526100!A:H,8,FALSE))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input_526100!A$2</f>
        <v>526100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IFERROR(VLOOKUP(B271,input_526100!L:R,7,FALSE),VLOOKUP(tables_526100!C271,input_526100!A:H,8,FALSE))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input_526100!A$2</f>
        <v>526100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IFERROR(VLOOKUP(B272,input_526100!L:R,7,FALSE),VLOOKUP(tables_526100!C272,input_526100!A:H,8,FALSE))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input_526100!A$2</f>
        <v>526100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IFERROR(VLOOKUP(B273,input_526100!L:R,7,FALSE),VLOOKUP(tables_526100!C273,input_526100!A:H,8,FALSE))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input_526100!A$2</f>
        <v>526100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IFERROR(VLOOKUP(B274,input_526100!L:R,7,FALSE),VLOOKUP(tables_526100!C274,input_526100!A:H,8,FALSE))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input_526100!A$2</f>
        <v>526100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IFERROR(VLOOKUP(B275,input_526100!L:R,7,FALSE),VLOOKUP(tables_526100!C275,input_526100!A:H,8,FALSE))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input_526100!A$2</f>
        <v>526100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IFERROR(VLOOKUP(B276,input_526100!L:R,7,FALSE),VLOOKUP(tables_526100!C276,input_526100!A:H,8,FALSE))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input_526100!A$2</f>
        <v>526100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IFERROR(VLOOKUP(B277,input_526100!L:R,7,FALSE),VLOOKUP(tables_526100!C277,input_526100!A:H,8,FALSE))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input_526100!A$2</f>
        <v>526100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IFERROR(VLOOKUP(B278,input_526100!L:R,7,FALSE),VLOOKUP(tables_526100!C278,input_526100!A:H,8,FALSE))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input_526100!A$2</f>
        <v>526100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IFERROR(VLOOKUP(B279,input_526100!L:R,7,FALSE),VLOOKUP(tables_526100!C279,input_526100!A:H,8,FALSE))</f>
        <v>573870</v>
      </c>
      <c r="P279" s="46">
        <f t="shared" ca="1" si="13"/>
        <v>9.2499999999701918E-3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input_526100!A$2</f>
        <v>526100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IFERROR(VLOOKUP(B280,input_526100!L:R,7,FALSE),VLOOKUP(tables_526100!C280,input_526100!A:H,8,FALSE))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input_526100!A$2</f>
        <v>526100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IFERROR(VLOOKUP(B281,input_526100!L:R,7,FALSE),VLOOKUP(tables_526100!C281,input_526100!A:H,8,FALSE))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input_526100!A$2</f>
        <v>526100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IFERROR(VLOOKUP(B282,input_526100!L:R,7,FALSE),VLOOKUP(tables_526100!C282,input_526100!A:H,8,FALSE))</f>
        <v>573870</v>
      </c>
      <c r="P282" s="46">
        <f t="shared" ca="1" si="13"/>
        <v>9.2499999999701918E-3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input_526100!A$2</f>
        <v>526100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IFERROR(VLOOKUP(B283,input_526100!L:R,7,FALSE),VLOOKUP(tables_526100!C283,input_526100!A:H,8,FALSE))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input_526100!A$2</f>
        <v>526100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IFERROR(VLOOKUP(B284,input_526100!L:R,7,FALSE),VLOOKUP(tables_526100!C284,input_526100!A:H,8,FALSE))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input_526100!A$2</f>
        <v>526100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IFERROR(VLOOKUP(B285,input_526100!L:R,7,FALSE),VLOOKUP(tables_526100!C285,input_526100!A:H,8,FALSE))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input_526100!A$2</f>
        <v>526100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IFERROR(VLOOKUP(B286,input_526100!L:R,7,FALSE),VLOOKUP(tables_526100!C286,input_526100!A:H,8,FALSE))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input_526100!A$2</f>
        <v>526100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IFERROR(VLOOKUP(B287,input_526100!L:R,7,FALSE),VLOOKUP(tables_526100!C287,input_526100!A:H,8,FALSE))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input_526100!A$2</f>
        <v>526100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IFERROR(VLOOKUP(B288,input_526100!L:R,7,FALSE),VLOOKUP(tables_526100!C288,input_526100!A:H,8,FALSE))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input_526100!A$2</f>
        <v>526100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IFERROR(VLOOKUP(B289,input_526100!L:R,7,FALSE),VLOOKUP(tables_526100!C289,input_526100!A:H,8,FALSE))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input_526100!A$2</f>
        <v>526100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IFERROR(VLOOKUP(B290,input_526100!L:R,7,FALSE),VLOOKUP(tables_526100!C290,input_526100!A:H,8,FALSE))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input_526100!A$2</f>
        <v>526100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IFERROR(VLOOKUP(B291,input_526100!L:R,7,FALSE),VLOOKUP(tables_526100!C291,input_526100!A:H,8,FALSE))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input_526100!A$2</f>
        <v>526100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IFERROR(VLOOKUP(B292,input_526100!L:R,7,FALSE),VLOOKUP(tables_526100!C292,input_526100!A:H,8,FALSE))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input_526100!A$2</f>
        <v>526100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IFERROR(VLOOKUP(B293,input_526100!L:R,7,FALSE),VLOOKUP(tables_526100!C293,input_526100!A:H,8,FALSE))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input_526100!A$2</f>
        <v>526100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IFERROR(VLOOKUP(B294,input_526100!L:R,7,FALSE),VLOOKUP(tables_526100!C294,input_526100!A:H,8,FALSE))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input_526100!A$2</f>
        <v>526100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IFERROR(VLOOKUP(B295,input_526100!L:R,7,FALSE),VLOOKUP(tables_526100!C295,input_526100!A:H,8,FALSE))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input_526100!A$2</f>
        <v>526100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IFERROR(VLOOKUP(B296,input_526100!L:R,7,FALSE),VLOOKUP(tables_526100!C296,input_526100!A:H,8,FALSE))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input_526100!A$2</f>
        <v>526100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IFERROR(VLOOKUP(B297,input_526100!L:R,7,FALSE),VLOOKUP(tables_526100!C297,input_526100!A:H,8,FALSE))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input_526100!A$2</f>
        <v>526100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IFERROR(VLOOKUP(B298,input_526100!L:R,7,FALSE),VLOOKUP(tables_526100!C298,input_526100!A:H,8,FALSE))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input_526100!A$2</f>
        <v>526100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IFERROR(VLOOKUP(B299,input_526100!L:R,7,FALSE),VLOOKUP(tables_526100!C299,input_526100!A:H,8,FALSE))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input_526100!A$2</f>
        <v>526100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IFERROR(VLOOKUP(B300,input_526100!L:R,7,FALSE),VLOOKUP(tables_526100!C300,input_526100!A:H,8,FALSE))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input_526100!A$2</f>
        <v>526100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IFERROR(VLOOKUP(B301,input_526100!L:R,7,FALSE),VLOOKUP(tables_526100!C301,input_526100!A:H,8,FALSE))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input_526100!A$2</f>
        <v>526100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IFERROR(VLOOKUP(B302,input_526100!L:R,7,FALSE),VLOOKUP(tables_526100!C302,input_526100!A:H,8,FALSE))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input_526100!A$2</f>
        <v>526100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IFERROR(VLOOKUP(B303,input_526100!L:R,7,FALSE),VLOOKUP(tables_526100!C303,input_526100!A:H,8,FALSE))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input_526100!A$2</f>
        <v>526100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IFERROR(VLOOKUP(B304,input_526100!L:R,7,FALSE),VLOOKUP(tables_526100!C304,input_526100!A:H,8,FALSE))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input_526100!A$2</f>
        <v>526100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IFERROR(VLOOKUP(B305,input_526100!L:R,7,FALSE),VLOOKUP(tables_526100!C305,input_526100!A:H,8,FALSE))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input_526100!A$2</f>
        <v>526100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IFERROR(VLOOKUP(B306,input_526100!L:R,7,FALSE),VLOOKUP(tables_526100!C306,input_526100!A:H,8,FALSE))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input_526100!A$2</f>
        <v>526100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IFERROR(VLOOKUP(B307,input_526100!L:R,7,FALSE),VLOOKUP(tables_526100!C307,input_526100!A:H,8,FALSE))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input_526100!A$2</f>
        <v>526100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IFERROR(VLOOKUP(B308,input_526100!L:R,7,FALSE),VLOOKUP(tables_526100!C308,input_526100!A:H,8,FALSE))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input_526100!A$2</f>
        <v>526100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IFERROR(VLOOKUP(B309,input_526100!L:R,7,FALSE),VLOOKUP(tables_526100!C309,input_526100!A:H,8,FALSE))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input_526100!A$2</f>
        <v>526100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IFERROR(VLOOKUP(B310,input_526100!L:R,7,FALSE),VLOOKUP(tables_526100!C310,input_526100!A:H,8,FALSE))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input_526100!A$2</f>
        <v>526100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IFERROR(VLOOKUP(B311,input_526100!L:R,7,FALSE),VLOOKUP(tables_526100!C311,input_526100!A:H,8,FALSE))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input_526100!A$2</f>
        <v>526100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IFERROR(VLOOKUP(B312,input_526100!L:R,7,FALSE),VLOOKUP(tables_526100!C312,input_526100!A:H,8,FALSE))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input_526100!A$2</f>
        <v>526100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IFERROR(VLOOKUP(B313,input_526100!L:R,7,FALSE),VLOOKUP(tables_526100!C313,input_526100!A:H,8,FALSE))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input_526100!A$2</f>
        <v>526100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IFERROR(VLOOKUP(B314,input_526100!L:R,7,FALSE),VLOOKUP(tables_526100!C314,input_526100!A:H,8,FALSE))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input_526100!A$2</f>
        <v>526100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IFERROR(VLOOKUP(B315,input_526100!L:R,7,FALSE),VLOOKUP(tables_526100!C315,input_526100!A:H,8,FALSE))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input_526100!A$2</f>
        <v>526100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IFERROR(VLOOKUP(B316,input_526100!L:R,7,FALSE),VLOOKUP(tables_526100!C316,input_526100!A:H,8,FALSE))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input_526100!A$2</f>
        <v>526100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IFERROR(VLOOKUP(B317,input_526100!L:R,7,FALSE),VLOOKUP(tables_526100!C317,input_526100!A:H,8,FALSE))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input_526100!A$2</f>
        <v>526100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IFERROR(VLOOKUP(B318,input_526100!L:R,7,FALSE),VLOOKUP(tables_526100!C318,input_526100!A:H,8,FALSE))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input_526100!A$2</f>
        <v>526100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IFERROR(VLOOKUP(B319,input_526100!L:R,7,FALSE),VLOOKUP(tables_526100!C319,input_526100!A:H,8,FALSE))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input_526100!A$2</f>
        <v>526100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IFERROR(VLOOKUP(B320,input_526100!L:R,7,FALSE),VLOOKUP(tables_526100!C320,input_526100!A:H,8,FALSE))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input_526100!A$2</f>
        <v>526100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IFERROR(VLOOKUP(B321,input_526100!L:R,7,FALSE),VLOOKUP(tables_526100!C321,input_526100!A:H,8,FALSE))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input_526100!A$2</f>
        <v>526100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IFERROR(VLOOKUP(B322,input_526100!L:R,7,FALSE),VLOOKUP(tables_526100!C322,input_526100!A:H,8,FALSE))</f>
        <v>47000</v>
      </c>
      <c r="P322" s="46">
        <f t="shared" ref="P322:P340" ca="1" si="26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input_526100!A$2</f>
        <v>526100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IFERROR(VLOOKUP(B323,input_526100!L:R,7,FALSE),VLOOKUP(tables_526100!C323,input_526100!A:H,8,FALSE))</f>
        <v>47000</v>
      </c>
      <c r="P323" s="46">
        <f t="shared" ca="1" si="26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input_526100!A$2</f>
        <v>526100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IFERROR(VLOOKUP(B324,input_526100!L:R,7,FALSE),VLOOKUP(tables_526100!C324,input_526100!A:H,8,FALSE))</f>
        <v>558360</v>
      </c>
      <c r="P324" s="46">
        <f t="shared" ca="1" si="26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input_526100!A$2</f>
        <v>526100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IFERROR(VLOOKUP(B325,input_526100!L:R,7,FALSE),VLOOKUP(tables_526100!C325,input_526100!A:H,8,FALSE))</f>
        <v>46530</v>
      </c>
      <c r="P325" s="46">
        <f t="shared" ca="1" si="26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input_526100!A$2</f>
        <v>526100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IFERROR(VLOOKUP(B326,input_526100!L:R,7,FALSE),VLOOKUP(tables_526100!C326,input_526100!A:H,8,FALSE))</f>
        <v>558360</v>
      </c>
      <c r="P326" s="46">
        <f t="shared" ca="1" si="26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input_526100!A$2</f>
        <v>526100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IFERROR(VLOOKUP(B327,input_526100!L:R,7,FALSE),VLOOKUP(tables_526100!C327,input_526100!A:H,8,FALSE))</f>
        <v>46530</v>
      </c>
      <c r="P327" s="46">
        <f t="shared" ca="1" si="26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input_526100!A$2</f>
        <v>526100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IFERROR(VLOOKUP(B328,input_526100!L:R,7,FALSE),VLOOKUP(tables_526100!C328,input_526100!A:H,8,FALSE))</f>
        <v>47000</v>
      </c>
      <c r="P328" s="46">
        <f t="shared" ca="1" si="26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input_526100!A$2</f>
        <v>526100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IFERROR(VLOOKUP(B329,input_526100!L:R,7,FALSE),VLOOKUP(tables_526100!C329,input_526100!A:H,8,FALSE))</f>
        <v>47000</v>
      </c>
      <c r="P329" s="46">
        <f t="shared" ca="1" si="26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input_526100!A$2</f>
        <v>526100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IFERROR(VLOOKUP(B330,input_526100!L:R,7,FALSE),VLOOKUP(tables_526100!C330,input_526100!A:H,8,FALSE))</f>
        <v>47000</v>
      </c>
      <c r="P330" s="46">
        <f t="shared" ca="1" si="26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input_526100!A$2</f>
        <v>526100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IFERROR(VLOOKUP(B331,input_526100!L:R,7,FALSE),VLOOKUP(tables_526100!C331,input_526100!A:H,8,FALSE))</f>
        <v>47000</v>
      </c>
      <c r="P331" s="46">
        <f t="shared" ca="1" si="26"/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input_526100!A$2</f>
        <v>526100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IFERROR(VLOOKUP(B332,input_526100!L:R,7,FALSE),VLOOKUP(tables_526100!C332,input_526100!A:H,8,FALSE))</f>
        <v>47000</v>
      </c>
      <c r="P332" s="46">
        <f t="shared" ca="1" si="26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input_526100!A$2</f>
        <v>526100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IFERROR(VLOOKUP(B333,input_526100!L:R,7,FALSE),VLOOKUP(tables_526100!C333,input_526100!A:H,8,FALSE))</f>
        <v>47000</v>
      </c>
      <c r="P333" s="46">
        <f t="shared" ca="1" si="26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input_526100!A$2</f>
        <v>526100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IFERROR(VLOOKUP(B334,input_526100!L:R,7,FALSE),VLOOKUP(tables_526100!C334,input_526100!A:H,8,FALSE))</f>
        <v>558360</v>
      </c>
      <c r="P334" s="46">
        <f t="shared" ca="1" si="26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input_526100!A$2</f>
        <v>526100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IFERROR(VLOOKUP(B335,input_526100!L:R,7,FALSE),VLOOKUP(tables_526100!C335,input_526100!A:H,8,FALSE))</f>
        <v>46530</v>
      </c>
      <c r="P335" s="46">
        <f t="shared" ca="1" si="26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input_526100!A$2</f>
        <v>526100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IFERROR(VLOOKUP(B336,input_526100!L:R,7,FALSE),VLOOKUP(tables_526100!C336,input_526100!A:H,8,FALSE))</f>
        <v>558360</v>
      </c>
      <c r="P336" s="46">
        <f t="shared" ca="1" si="26"/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input_526100!A$2</f>
        <v>526100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IFERROR(VLOOKUP(B337,input_526100!L:R,7,FALSE),VLOOKUP(tables_526100!C337,input_526100!A:H,8,FALSE))</f>
        <v>46530</v>
      </c>
      <c r="P337" s="46">
        <f t="shared" ca="1" si="26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input_526100!A$2</f>
        <v>526100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IFERROR(VLOOKUP(B338,input_526100!L:R,7,FALSE),VLOOKUP(tables_526100!C338,input_526100!A:H,8,FALSE))</f>
        <v>47000</v>
      </c>
      <c r="P338" s="46">
        <f t="shared" ca="1" si="26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input_526100!A$2</f>
        <v>526100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IFERROR(VLOOKUP(B339,input_526100!L:R,7,FALSE),VLOOKUP(tables_526100!C339,input_526100!A:H,8,FALSE))</f>
        <v>47000</v>
      </c>
      <c r="P339" s="46">
        <f t="shared" ca="1" si="26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input_526100!A$2</f>
        <v>526100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IFERROR(VLOOKUP(B340,input_526100!L:R,7,FALSE),VLOOKUP(tables_526100!C340,input_526100!A:H,8,FALSE))</f>
        <v>47000</v>
      </c>
      <c r="P340" s="46">
        <f t="shared" ca="1" si="26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input_526100!A$2</f>
        <v>526100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IFERROR(VLOOKUP(B341,input_526100!L:R,7,FALSE),VLOOKUP(tables_526100!C341,input_526100!A:H,8,FALSE))</f>
        <v>47000</v>
      </c>
      <c r="P341" s="46">
        <f t="shared" ref="P341:P346" ca="1" si="35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input_526100!A$2</f>
        <v>526100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IFERROR(VLOOKUP(B342,input_526100!L:R,7,FALSE),VLOOKUP(tables_526100!C342,input_526100!A:H,8,FALSE))</f>
        <v>47000</v>
      </c>
      <c r="P342" s="46">
        <f t="shared" ca="1" si="35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input_526100!A$2</f>
        <v>526100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IFERROR(VLOOKUP(B343,input_526100!L:R,7,FALSE),VLOOKUP(tables_526100!C343,input_526100!A:H,8,FALSE))</f>
        <v>558360</v>
      </c>
      <c r="P343" s="46">
        <f t="shared" ca="1" si="35"/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input_526100!A$2</f>
        <v>526100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IFERROR(VLOOKUP(B344,input_526100!L:R,7,FALSE),VLOOKUP(tables_526100!C344,input_526100!A:H,8,FALSE))</f>
        <v>46530</v>
      </c>
      <c r="P344" s="46">
        <f t="shared" ca="1" si="35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input_526100!A$2</f>
        <v>526100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IFERROR(VLOOKUP(B345,input_526100!L:R,7,FALSE),VLOOKUP(tables_526100!C345,input_526100!A:H,8,FALSE))</f>
        <v>47000</v>
      </c>
      <c r="P345" s="46">
        <f t="shared" ca="1" si="35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input_526100!A$2</f>
        <v>526100</v>
      </c>
      <c r="B346" s="1">
        <v>1389</v>
      </c>
      <c r="C346" s="7" t="str">
        <f t="shared" si="33"/>
        <v>PremiumSSS5R3less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IFERROR(VLOOKUP(B346,input_526100!L:R,7,FALSE),VLOOKUP(tables_526100!C346,input_526100!A:H,8,FALSE))</f>
        <v>310200</v>
      </c>
      <c r="P346" s="46">
        <f t="shared" ca="1" si="35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input_526100!A$2</f>
        <v>526100</v>
      </c>
      <c r="B347" s="1">
        <v>1232</v>
      </c>
      <c r="C347" s="7" t="str">
        <f t="shared" ref="C347" si="36">D347&amp;J347&amp;E347&amp;F347&amp;G347</f>
        <v>PremiumSSS5R3less</v>
      </c>
      <c r="D347" s="97" t="str">
        <f t="shared" ref="D347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ケプラー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attack</v>
      </c>
      <c r="M347" s="7" t="str">
        <f>VLOOKUP(B347,[1]characters!$A:$M,13,FALSE)</f>
        <v>academia</v>
      </c>
      <c r="N347" s="7">
        <f>VLOOKUP(B347,[1]characters!$A:$G,7,FALSE)</f>
        <v>0</v>
      </c>
      <c r="O347" s="45">
        <f ca="1">IFERROR(VLOOKUP(B347,input_526100!L:R,7,FALSE),VLOOKUP(tables_526100!C347,input_526100!A:H,8,FALSE))</f>
        <v>310200</v>
      </c>
      <c r="P347" s="46">
        <f ca="1">O347/SUM(O:O)</f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13" sqref="B1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VLOOKUP(L3,tables_settle_526100!B:C,2,FALSE)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VLOOKUP(L4,tables_settle_526100!B:C,2,FALSE)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(COUNTIF(tables_settle_526100!C:C,input_settle_526100!A28)+COUNTIF(tables_settle_526100!C:C,input_settle_526100!A29))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VLOOKUP(L5,tables_settle_526100!B:C,2,FALSE)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0.01</v>
      </c>
      <c r="F6">
        <f>(COUNTIF(tables_settle_526100!C:C,input_settle_526100!A25)+COUNTIF(tables_settle_526100!C:C,input_settle_526100!A18)+COUNTIF(tables_settle_526100!C:C,input_settle_526100!A20)+COUNTIF(tables_settle_526100!C:C,input_settle_526100!A22))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VLOOKUP(L6,tables_settle_526100!B:C,2,FALSE)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VLOOKUP(L7,tables_settle_526100!B:C,2,FALSE)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VLOOKUP(L8,tables_settle_526100!B:C,2,FALSE)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VLOOKUP(L9,tables_settle_526100!B:C,2,FALSE)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VLOOKUP(L10,tables_settle_526100!B:C,2,FALSE)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VLOOKUP(L11,tables_settle_526100!B:C,2,FALSE)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VLOOKUP(L12,tables_settle_526100!B:C,2,FALSE)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VLOOKUP(L13,tables_settle_526100!B:C,2,FALSE)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VLOOKUP(L14,tables_settle_526100!B:C,2,FALSE)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VLOOKUP(L15,tables_settle_526100!B:C,2,FALSE)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VLOOKUP(L16,tables_settle_526100!B:C,2,FALSE)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COUNTIF(tables_settle_526100!C:C,input_settle_526100!A17)-COUNTIF(Q:Q,A17)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VLOOKUP(L17,tables_settle_526100!B:C,2,FALSE)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COUNTIF(tables_settle_526100!C:C,input_settle_526100!A18)-COUNTIF(Q:Q,A18)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VLOOKUP(L18,tables_settle_526100!B:C,2,FALSE)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COUNTIF(tables_settle_526100!C:C,input_settle_526100!A19)-COUNTIF(Q:Q,A19)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VLOOKUP(L19,tables_settle_526100!B:C,2,FALSE)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COUNTIF(tables_settle_526100!C:C,input_settle_526100!A20)-COUNTIF(Q:Q,A20)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VLOOKUP(L20,tables_settle_526100!B:C,2,FALSE)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0.65999999999999992</v>
      </c>
      <c r="C21" s="85">
        <f t="shared" si="2"/>
        <v>0</v>
      </c>
      <c r="D21" s="74">
        <f t="shared" si="3"/>
        <v>0.65999999999999992</v>
      </c>
      <c r="E21">
        <f>COUNTIF(tables_settle_526100!C:C,input_settle_526100!A21)-COUNTIF(Q:Q,A21)</f>
        <v>52</v>
      </c>
      <c r="F21" s="43">
        <f t="shared" si="8"/>
        <v>1.269230769230769E-2</v>
      </c>
      <c r="G21">
        <f t="shared" si="4"/>
        <v>40946399.999999993</v>
      </c>
      <c r="H21">
        <f t="shared" si="5"/>
        <v>787430.76922999998</v>
      </c>
      <c r="I21">
        <f t="shared" si="6"/>
        <v>0.76922999997623265</v>
      </c>
      <c r="J21">
        <f t="shared" si="7"/>
        <v>1.300001300041467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COUNTIF(tables_settle_526100!C:C,input_settle_526100!A22)-COUNTIF(Q:Q,A22)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</v>
      </c>
      <c r="D23" s="74">
        <f t="shared" si="3"/>
        <v>0.24</v>
      </c>
      <c r="E23">
        <f>COUNTIF(tables_settle_526100!C:C,input_settle_526100!A23)-COUNTIF(Q:Q,A23)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COUNTIF(tables_settle_526100!C:C,input_settle_526100!A24)-COUNTIF(Q:Q,A24)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COUNTIF(tables_settle_526100!C:C,input_settle_526100!A25)-COUNTIF(Q:Q,A25)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COUNTIF(tables_settle_526100!C:C,input_settle_526100!A26)-COUNTIF(Q:Q,A26)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COUNTIF(tables_settle_526100!C:C,input_settle_526100!A27)-COUNTIF(Q:Q,A27)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2.1212121212121213E-2</v>
      </c>
      <c r="C28" s="85">
        <f t="shared" si="2"/>
        <v>0</v>
      </c>
      <c r="D28" s="74">
        <f t="shared" si="3"/>
        <v>2.1212121212121213E-2</v>
      </c>
      <c r="E28">
        <f>COUNTIF(tables_settle_526100!C:C,input_settle_526100!A28)-COUNTIF(Q:Q,A28)</f>
        <v>28</v>
      </c>
      <c r="F28" s="43">
        <f t="shared" si="8"/>
        <v>7.5757575757575758E-4</v>
      </c>
      <c r="G28">
        <f t="shared" si="4"/>
        <v>1316000</v>
      </c>
      <c r="H28">
        <f t="shared" si="5"/>
        <v>47000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COUNTIF(tables_settle_526100!C:C,input_settle_526100!A29)-COUNTIF(Q:Q,A29)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COUNTIF(tables_settle_526100!C:C,input_settle_526100!A30)-COUNTIF(Q:Q,A30)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COUNTIF(tables_settle_526100!C:C,input_settle_526100!A31)-COUNTIF(Q:Q,A31)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SUMIF(tables_settle_526100!C:C,input_settle_526100!A40,tables_settle_526100!O:O)</f>
        <v>0</v>
      </c>
      <c r="C40" s="54">
        <f t="shared" ref="C40:C46" ca="1" si="9">B40/B$47</f>
        <v>0</v>
      </c>
      <c r="E40">
        <v>3</v>
      </c>
      <c r="F40">
        <f ca="1">SUMIF(tables_settle_526100!J:J,input_settle_526100!E40,tables_settle_526100!O:O)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SUMIF(tables_settle_526100!C:C,input_settle_526100!A41,tables_settle_526100!O:O)</f>
        <v>0</v>
      </c>
      <c r="C41" s="54">
        <f t="shared" ca="1" si="9"/>
        <v>0</v>
      </c>
      <c r="E41">
        <v>4</v>
      </c>
      <c r="F41">
        <f ca="1">SUMIF(tables_settle_526100!J:J,input_settle_526100!E41,tables_settle_526100!O:O)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SUMIF(tables_settle_526100!C:C,input_settle_526100!A42,tables_settle_526100!O:O)</f>
        <v>0</v>
      </c>
      <c r="C42" s="54">
        <f t="shared" ca="1" si="9"/>
        <v>0</v>
      </c>
      <c r="E42">
        <v>5</v>
      </c>
      <c r="F42">
        <f ca="1">SUMIF(tables_settle_526100!J:J,input_settle_526100!E42,tables_settle_526100!O:O)</f>
        <v>62039999.999960028</v>
      </c>
      <c r="G42">
        <f ca="1">F42/A36</f>
        <v>0.99999999999935574</v>
      </c>
    </row>
    <row r="43" spans="1:7" x14ac:dyDescent="0.15">
      <c r="A43" s="33" t="s">
        <v>109</v>
      </c>
      <c r="B43">
        <f>SUMIF(tables_settle_526100!C:C,input_settle_526100!A43,tables_settle_526100!O:O)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SUMIF(tables_settle_526100!C:C,input_settle_526100!A44,tables_settle_526100!O:O)</f>
        <v>40946399.99996002</v>
      </c>
      <c r="C44" s="54">
        <f t="shared" ca="1" si="9"/>
        <v>0.96886120996438341</v>
      </c>
      <c r="E44" t="s">
        <v>54</v>
      </c>
      <c r="F44" s="55"/>
    </row>
    <row r="45" spans="1:7" x14ac:dyDescent="0.15">
      <c r="A45" s="33" t="s">
        <v>107</v>
      </c>
      <c r="B45">
        <f ca="1">SUMIF(tables_settle_526100!C:C,input_settle_526100!A45,tables_settle_526100!O:O)</f>
        <v>1316000</v>
      </c>
      <c r="C45" s="54">
        <f t="shared" ca="1" si="9"/>
        <v>3.1138790035616645E-2</v>
      </c>
      <c r="E45" t="s">
        <v>204</v>
      </c>
      <c r="F45" s="55">
        <f ca="1">SUMIF(tables_settle_526100!I:I,input_settle_526100!E45,tables_settle_526100!P:P)</f>
        <v>6.0000000000038654E-2</v>
      </c>
    </row>
    <row r="46" spans="1:7" x14ac:dyDescent="0.15">
      <c r="A46" s="33" t="s">
        <v>108</v>
      </c>
      <c r="B46">
        <f>SUMIF(tables_settle_526100!C:C,input_settle_526100!A46,tables_settle_526100!O:O)</f>
        <v>0</v>
      </c>
      <c r="C46" s="54">
        <f t="shared" ca="1" si="9"/>
        <v>0</v>
      </c>
      <c r="E46" t="s">
        <v>205</v>
      </c>
      <c r="F46" s="55">
        <f ca="1">SUMIF(tables_settle_526100!I:I,input_settle_526100!E46,tables_settle_526100!P:P)</f>
        <v>0.24576923076917845</v>
      </c>
    </row>
    <row r="47" spans="1:7" x14ac:dyDescent="0.15">
      <c r="A47" s="39" t="s">
        <v>59</v>
      </c>
      <c r="B47">
        <f ca="1">SUM(B40:B46)</f>
        <v>42262399.99996002</v>
      </c>
      <c r="C47" s="55">
        <f ca="1">SUM(C40:C46)</f>
        <v>1</v>
      </c>
      <c r="E47" t="s">
        <v>206</v>
      </c>
      <c r="F47" s="55">
        <f ca="1">SUMIF(tables_settle_526100!I:I,input_settle_526100!E47,tables_settle_526100!P:P)</f>
        <v>0.63423076923074373</v>
      </c>
    </row>
    <row r="48" spans="1:7" x14ac:dyDescent="0.15">
      <c r="E48" t="s">
        <v>207</v>
      </c>
      <c r="F48" s="55">
        <f ca="1">SUMIF(tables_settle_526100!I:I,input_settle_526100!E48,tables_settle_526100!P:P)</f>
        <v>4.4696969696998524E-2</v>
      </c>
      <c r="G48" s="55">
        <f ca="1">0.05-F48-F49</f>
        <v>-3.2241570524504937E-14</v>
      </c>
    </row>
    <row r="49" spans="5:7" x14ac:dyDescent="0.15">
      <c r="E49" t="s">
        <v>249</v>
      </c>
      <c r="F49" s="55">
        <f ca="1">SUMIF(tables_settle_526100!I:I,input_settle_526100!E49,tables_settle_526100!P:P)</f>
        <v>5.3030303030337199E-3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28" activePane="bottomLeft" state="frozen"/>
      <selection activeCell="P347" sqref="P347"/>
      <selection pane="bottomLeft" activeCell="A347" sqref="A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input_settle_526100!A$2</f>
        <v>526100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IFERROR(VLOOKUP(B2,input_settle_526100!L:R,7,FALSE),VLOOKUP(tables_settle_526100!C2,input_settle_526100!A:H,8,FALSE))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input_settle_526100!A$2</f>
        <v>526100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IFERROR(VLOOKUP(B3,input_settle_526100!L:R,7,FALSE),VLOOKUP(tables_settle_526100!C3,input_settle_526100!A:H,8,FALSE))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input_settle_526100!A$2</f>
        <v>526100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IFERROR(VLOOKUP(B4,input_settle_526100!L:R,7,FALSE),VLOOKUP(tables_settle_526100!C4,input_settle_526100!A:H,8,FALSE))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input_settle_526100!A$2</f>
        <v>526100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IFERROR(VLOOKUP(B5,input_settle_526100!L:R,7,FALSE),VLOOKUP(tables_settle_526100!C5,input_settle_526100!A:H,8,FALSE))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input_settle_526100!A$2</f>
        <v>526100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IFERROR(VLOOKUP(B6,input_settle_526100!L:R,7,FALSE),VLOOKUP(tables_settle_526100!C6,input_settle_526100!A:H,8,FALSE))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input_settle_526100!A$2</f>
        <v>526100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IFERROR(VLOOKUP(B7,input_settle_526100!L:R,7,FALSE),VLOOKUP(tables_settle_526100!C7,input_settle_526100!A:H,8,FALSE))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input_settle_526100!A$2</f>
        <v>526100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IFERROR(VLOOKUP(B8,input_settle_526100!L:R,7,FALSE),VLOOKUP(tables_settle_526100!C8,input_settle_526100!A:H,8,FALSE))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input_settle_526100!A$2</f>
        <v>526100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IFERROR(VLOOKUP(B9,input_settle_526100!L:R,7,FALSE),VLOOKUP(tables_settle_526100!C9,input_settle_526100!A:H,8,FALSE))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input_settle_526100!A$2</f>
        <v>526100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IFERROR(VLOOKUP(B10,input_settle_526100!L:R,7,FALSE),VLOOKUP(tables_settle_526100!C10,input_settle_526100!A:H,8,FALSE))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input_settle_526100!A$2</f>
        <v>526100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IFERROR(VLOOKUP(B11,input_settle_526100!L:R,7,FALSE),VLOOKUP(tables_settle_526100!C11,input_settle_526100!A:H,8,FALSE))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input_settle_526100!A$2</f>
        <v>526100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IFERROR(VLOOKUP(B12,input_settle_526100!L:R,7,FALSE),VLOOKUP(tables_settle_526100!C12,input_settle_526100!A:H,8,FALSE))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input_settle_526100!A$2</f>
        <v>526100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IFERROR(VLOOKUP(B13,input_settle_526100!L:R,7,FALSE),VLOOKUP(tables_settle_526100!C13,input_settle_526100!A:H,8,FALSE))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input_settle_526100!A$2</f>
        <v>526100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IFERROR(VLOOKUP(B14,input_settle_526100!L:R,7,FALSE),VLOOKUP(tables_settle_526100!C14,input_settle_526100!A:H,8,FALSE))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input_settle_526100!A$2</f>
        <v>526100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IFERROR(VLOOKUP(B15,input_settle_526100!L:R,7,FALSE),VLOOKUP(tables_settle_526100!C15,input_settle_526100!A:H,8,FALSE))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input_settle_526100!A$2</f>
        <v>526100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IFERROR(VLOOKUP(B16,input_settle_526100!L:R,7,FALSE),VLOOKUP(tables_settle_526100!C16,input_settle_526100!A:H,8,FALSE))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input_settle_526100!A$2</f>
        <v>526100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IFERROR(VLOOKUP(B17,input_settle_526100!L:R,7,FALSE),VLOOKUP(tables_settle_526100!C17,input_settle_526100!A:H,8,FALSE))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input_settle_526100!A$2</f>
        <v>526100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IFERROR(VLOOKUP(B18,input_settle_526100!L:R,7,FALSE),VLOOKUP(tables_settle_526100!C18,input_settle_526100!A:H,8,FALSE))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input_settle_526100!A$2</f>
        <v>526100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IFERROR(VLOOKUP(B19,input_settle_526100!L:R,7,FALSE),VLOOKUP(tables_settle_526100!C19,input_settle_526100!A:H,8,FALSE))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input_settle_526100!A$2</f>
        <v>526100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IFERROR(VLOOKUP(B20,input_settle_526100!L:R,7,FALSE),VLOOKUP(tables_settle_526100!C20,input_settle_526100!A:H,8,FALSE))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input_settle_526100!A$2</f>
        <v>526100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IFERROR(VLOOKUP(B21,input_settle_526100!L:R,7,FALSE),VLOOKUP(tables_settle_526100!C21,input_settle_526100!A:H,8,FALSE))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input_settle_526100!A$2</f>
        <v>526100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IFERROR(VLOOKUP(B22,input_settle_526100!L:R,7,FALSE),VLOOKUP(tables_settle_526100!C22,input_settle_526100!A:H,8,FALSE))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input_settle_526100!A$2</f>
        <v>526100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IFERROR(VLOOKUP(B23,input_settle_526100!L:R,7,FALSE),VLOOKUP(tables_settle_526100!C23,input_settle_526100!A:H,8,FALSE))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input_settle_526100!A$2</f>
        <v>526100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IFERROR(VLOOKUP(B24,input_settle_526100!L:R,7,FALSE),VLOOKUP(tables_settle_526100!C24,input_settle_526100!A:H,8,FALSE))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input_settle_526100!A$2</f>
        <v>526100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IFERROR(VLOOKUP(B25,input_settle_526100!L:R,7,FALSE),VLOOKUP(tables_settle_526100!C25,input_settle_526100!A:H,8,FALSE))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input_settle_526100!A$2</f>
        <v>526100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IFERROR(VLOOKUP(B26,input_settle_526100!L:R,7,FALSE),VLOOKUP(tables_settle_526100!C26,input_settle_526100!A:H,8,FALSE))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input_settle_526100!A$2</f>
        <v>526100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IFERROR(VLOOKUP(B27,input_settle_526100!L:R,7,FALSE),VLOOKUP(tables_settle_526100!C27,input_settle_526100!A:H,8,FALSE))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input_settle_526100!A$2</f>
        <v>526100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IFERROR(VLOOKUP(B28,input_settle_526100!L:R,7,FALSE),VLOOKUP(tables_settle_526100!C28,input_settle_526100!A:H,8,FALSE))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input_settle_526100!A$2</f>
        <v>526100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IFERROR(VLOOKUP(B29,input_settle_526100!L:R,7,FALSE),VLOOKUP(tables_settle_526100!C29,input_settle_526100!A:H,8,FALSE))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input_settle_526100!A$2</f>
        <v>526100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IFERROR(VLOOKUP(B30,input_settle_526100!L:R,7,FALSE),VLOOKUP(tables_settle_526100!C30,input_settle_526100!A:H,8,FALSE))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input_settle_526100!A$2</f>
        <v>526100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IFERROR(VLOOKUP(B31,input_settle_526100!L:R,7,FALSE),VLOOKUP(tables_settle_526100!C31,input_settle_526100!A:H,8,FALSE))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input_settle_526100!A$2</f>
        <v>526100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IFERROR(VLOOKUP(B32,input_settle_526100!L:R,7,FALSE),VLOOKUP(tables_settle_526100!C32,input_settle_526100!A:H,8,FALSE))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input_settle_526100!A$2</f>
        <v>526100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IFERROR(VLOOKUP(B33,input_settle_526100!L:R,7,FALSE),VLOOKUP(tables_settle_526100!C33,input_settle_526100!A:H,8,FALSE))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input_settle_526100!A$2</f>
        <v>526100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IFERROR(VLOOKUP(B34,input_settle_526100!L:R,7,FALSE),VLOOKUP(tables_settle_526100!C34,input_settle_526100!A:H,8,FALSE))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input_settle_526100!A$2</f>
        <v>526100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IFERROR(VLOOKUP(B35,input_settle_526100!L:R,7,FALSE),VLOOKUP(tables_settle_526100!C35,input_settle_526100!A:H,8,FALSE))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input_settle_526100!A$2</f>
        <v>526100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IFERROR(VLOOKUP(B36,input_settle_526100!L:R,7,FALSE),VLOOKUP(tables_settle_526100!C36,input_settle_526100!A:H,8,FALSE))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input_settle_526100!A$2</f>
        <v>526100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IFERROR(VLOOKUP(B37,input_settle_526100!L:R,7,FALSE),VLOOKUP(tables_settle_526100!C37,input_settle_526100!A:H,8,FALSE))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input_settle_526100!A$2</f>
        <v>526100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IFERROR(VLOOKUP(B38,input_settle_526100!L:R,7,FALSE),VLOOKUP(tables_settle_526100!C38,input_settle_526100!A:H,8,FALSE))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input_settle_526100!A$2</f>
        <v>526100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IFERROR(VLOOKUP(B39,input_settle_526100!L:R,7,FALSE),VLOOKUP(tables_settle_526100!C39,input_settle_526100!A:H,8,FALSE))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input_settle_526100!A$2</f>
        <v>526100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IFERROR(VLOOKUP(B40,input_settle_526100!L:R,7,FALSE),VLOOKUP(tables_settle_526100!C40,input_settle_526100!A:H,8,FALSE))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input_settle_526100!A$2</f>
        <v>526100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IFERROR(VLOOKUP(B41,input_settle_526100!L:R,7,FALSE),VLOOKUP(tables_settle_526100!C41,input_settle_526100!A:H,8,FALSE))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input_settle_526100!A$2</f>
        <v>526100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IFERROR(VLOOKUP(B42,input_settle_526100!L:R,7,FALSE),VLOOKUP(tables_settle_526100!C42,input_settle_526100!A:H,8,FALSE))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input_settle_526100!A$2</f>
        <v>526100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IFERROR(VLOOKUP(B43,input_settle_526100!L:R,7,FALSE),VLOOKUP(tables_settle_526100!C43,input_settle_526100!A:H,8,FALSE))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input_settle_526100!A$2</f>
        <v>526100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IFERROR(VLOOKUP(B44,input_settle_526100!L:R,7,FALSE),VLOOKUP(tables_settle_526100!C44,input_settle_526100!A:H,8,FALSE))</f>
        <v>620400</v>
      </c>
      <c r="P44" s="46">
        <f t="shared" ca="1" si="1"/>
        <v>1.0000000000006443E-2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input_settle_526100!A$2</f>
        <v>526100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IFERROR(VLOOKUP(B45,input_settle_526100!L:R,7,FALSE),VLOOKUP(tables_settle_526100!C45,input_settle_526100!A:H,8,FALSE))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input_settle_526100!A$2</f>
        <v>526100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IFERROR(VLOOKUP(B46,input_settle_526100!L:R,7,FALSE),VLOOKUP(tables_settle_526100!C46,input_settle_526100!A:H,8,FALSE))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input_settle_526100!A$2</f>
        <v>526100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IFERROR(VLOOKUP(B47,input_settle_526100!L:R,7,FALSE),VLOOKUP(tables_settle_526100!C47,input_settle_526100!A:H,8,FALSE))</f>
        <v>620400</v>
      </c>
      <c r="P47" s="46">
        <f t="shared" ca="1" si="1"/>
        <v>1.0000000000006443E-2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input_settle_526100!A$2</f>
        <v>526100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IFERROR(VLOOKUP(B48,input_settle_526100!L:R,7,FALSE),VLOOKUP(tables_settle_526100!C48,input_settle_526100!A:H,8,FALSE))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input_settle_526100!A$2</f>
        <v>526100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IFERROR(VLOOKUP(B49,input_settle_526100!L:R,7,FALSE),VLOOKUP(tables_settle_526100!C49,input_settle_526100!A:H,8,FALSE))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input_settle_526100!A$2</f>
        <v>526100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IFERROR(VLOOKUP(B50,input_settle_526100!L:R,7,FALSE),VLOOKUP(tables_settle_526100!C50,input_settle_526100!A:H,8,FALSE))</f>
        <v>620400</v>
      </c>
      <c r="P50" s="46">
        <f t="shared" ca="1" si="1"/>
        <v>1.0000000000006443E-2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input_settle_526100!A$2</f>
        <v>526100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IFERROR(VLOOKUP(B51,input_settle_526100!L:R,7,FALSE),VLOOKUP(tables_settle_526100!C51,input_settle_526100!A:H,8,FALSE))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input_settle_526100!A$2</f>
        <v>526100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IFERROR(VLOOKUP(B52,input_settle_526100!L:R,7,FALSE),VLOOKUP(tables_settle_526100!C52,input_settle_526100!A:H,8,FALSE))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input_settle_526100!A$2</f>
        <v>526100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IFERROR(VLOOKUP(B53,input_settle_526100!L:R,7,FALSE),VLOOKUP(tables_settle_526100!C53,input_settle_526100!A:H,8,FALSE))</f>
        <v>787430.76922999998</v>
      </c>
      <c r="P53" s="46">
        <f t="shared" ca="1" si="1"/>
        <v>1.2692307692303471E-2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input_settle_526100!A$2</f>
        <v>526100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IFERROR(VLOOKUP(B54,input_settle_526100!L:R,7,FALSE),VLOOKUP(tables_settle_526100!C54,input_settle_526100!A:H,8,FALSE))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input_settle_526100!A$2</f>
        <v>526100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IFERROR(VLOOKUP(B55,input_settle_526100!L:R,7,FALSE),VLOOKUP(tables_settle_526100!C55,input_settle_526100!A:H,8,FALSE))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input_settle_526100!A$2</f>
        <v>526100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IFERROR(VLOOKUP(B56,input_settle_526100!L:R,7,FALSE),VLOOKUP(tables_settle_526100!C56,input_settle_526100!A:H,8,FALSE))</f>
        <v>787430.76922999998</v>
      </c>
      <c r="P56" s="46">
        <f t="shared" ca="1" si="1"/>
        <v>1.2692307692303471E-2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input_settle_526100!A$2</f>
        <v>526100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IFERROR(VLOOKUP(B57,input_settle_526100!L:R,7,FALSE),VLOOKUP(tables_settle_526100!C57,input_settle_526100!A:H,8,FALSE))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input_settle_526100!A$2</f>
        <v>526100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IFERROR(VLOOKUP(B58,input_settle_526100!L:R,7,FALSE),VLOOKUP(tables_settle_526100!C58,input_settle_526100!A:H,8,FALSE))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input_settle_526100!A$2</f>
        <v>526100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IFERROR(VLOOKUP(B59,input_settle_526100!L:R,7,FALSE),VLOOKUP(tables_settle_526100!C59,input_settle_526100!A:H,8,FALSE))</f>
        <v>787430.76922999998</v>
      </c>
      <c r="P59" s="46">
        <f t="shared" ca="1" si="1"/>
        <v>1.2692307692303471E-2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input_settle_526100!A$2</f>
        <v>526100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IFERROR(VLOOKUP(B60,input_settle_526100!L:R,7,FALSE),VLOOKUP(tables_settle_526100!C60,input_settle_526100!A:H,8,FALSE))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input_settle_526100!A$2</f>
        <v>526100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IFERROR(VLOOKUP(B61,input_settle_526100!L:R,7,FALSE),VLOOKUP(tables_settle_526100!C61,input_settle_526100!A:H,8,FALSE))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input_settle_526100!A$2</f>
        <v>526100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IFERROR(VLOOKUP(B62,input_settle_526100!L:R,7,FALSE),VLOOKUP(tables_settle_526100!C62,input_settle_526100!A:H,8,FALSE))</f>
        <v>787430.76922999998</v>
      </c>
      <c r="P62" s="46">
        <f t="shared" ca="1" si="1"/>
        <v>1.2692307692303471E-2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input_settle_526100!A$2</f>
        <v>526100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IFERROR(VLOOKUP(B63,input_settle_526100!L:R,7,FALSE),VLOOKUP(tables_settle_526100!C63,input_settle_526100!A:H,8,FALSE))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input_settle_526100!A$2</f>
        <v>526100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IFERROR(VLOOKUP(B64,input_settle_526100!L:R,7,FALSE),VLOOKUP(tables_settle_526100!C64,input_settle_526100!A:H,8,FALSE))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input_settle_526100!A$2</f>
        <v>526100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IFERROR(VLOOKUP(B65,input_settle_526100!L:R,7,FALSE),VLOOKUP(tables_settle_526100!C65,input_settle_526100!A:H,8,FALSE))</f>
        <v>787430.76922999998</v>
      </c>
      <c r="P65" s="46">
        <f t="shared" ca="1" si="1"/>
        <v>1.2692307692303471E-2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input_settle_526100!A$2</f>
        <v>526100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IFERROR(VLOOKUP(B66,input_settle_526100!L:R,7,FALSE),VLOOKUP(tables_settle_526100!C66,input_settle_526100!A:H,8,FALSE))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input_settle_526100!A$2</f>
        <v>526100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IFERROR(VLOOKUP(B67,input_settle_526100!L:R,7,FALSE),VLOOKUP(tables_settle_526100!C67,input_settle_526100!A:H,8,FALSE))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input_settle_526100!A$2</f>
        <v>526100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IFERROR(VLOOKUP(B68,input_settle_526100!L:R,7,FALSE),VLOOKUP(tables_settle_526100!C68,input_settle_526100!A:H,8,FALSE))</f>
        <v>787430.76922999998</v>
      </c>
      <c r="P68" s="46">
        <f t="shared" ca="1" si="4"/>
        <v>1.2692307692303471E-2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input_settle_526100!A$2</f>
        <v>526100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IFERROR(VLOOKUP(B69,input_settle_526100!L:R,7,FALSE),VLOOKUP(tables_settle_526100!C69,input_settle_526100!A:H,8,FALSE))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input_settle_526100!A$2</f>
        <v>526100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IFERROR(VLOOKUP(B70,input_settle_526100!L:R,7,FALSE),VLOOKUP(tables_settle_526100!C70,input_settle_526100!A:H,8,FALSE))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input_settle_526100!A$2</f>
        <v>526100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IFERROR(VLOOKUP(B71,input_settle_526100!L:R,7,FALSE),VLOOKUP(tables_settle_526100!C71,input_settle_526100!A:H,8,FALSE))</f>
        <v>787430.76922999998</v>
      </c>
      <c r="P71" s="46">
        <f t="shared" ca="1" si="4"/>
        <v>1.2692307692303471E-2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input_settle_526100!A$2</f>
        <v>526100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IFERROR(VLOOKUP(B72,input_settle_526100!L:R,7,FALSE),VLOOKUP(tables_settle_526100!C72,input_settle_526100!A:H,8,FALSE))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input_settle_526100!A$2</f>
        <v>526100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IFERROR(VLOOKUP(B73,input_settle_526100!L:R,7,FALSE),VLOOKUP(tables_settle_526100!C73,input_settle_526100!A:H,8,FALSE))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input_settle_526100!A$2</f>
        <v>526100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IFERROR(VLOOKUP(B74,input_settle_526100!L:R,7,FALSE),VLOOKUP(tables_settle_526100!C74,input_settle_526100!A:H,8,FALSE))</f>
        <v>787430.76922999998</v>
      </c>
      <c r="P74" s="46">
        <f t="shared" ca="1" si="4"/>
        <v>1.2692307692303471E-2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input_settle_526100!A$2</f>
        <v>526100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IFERROR(VLOOKUP(B75,input_settle_526100!L:R,7,FALSE),VLOOKUP(tables_settle_526100!C75,input_settle_526100!A:H,8,FALSE))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input_settle_526100!A$2</f>
        <v>526100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IFERROR(VLOOKUP(B76,input_settle_526100!L:R,7,FALSE),VLOOKUP(tables_settle_526100!C76,input_settle_526100!A:H,8,FALSE))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input_settle_526100!A$2</f>
        <v>526100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IFERROR(VLOOKUP(B77,input_settle_526100!L:R,7,FALSE),VLOOKUP(tables_settle_526100!C77,input_settle_526100!A:H,8,FALSE))</f>
        <v>787430.76922999998</v>
      </c>
      <c r="P77" s="46">
        <f t="shared" ca="1" si="4"/>
        <v>1.2692307692303471E-2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input_settle_526100!A$2</f>
        <v>526100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IFERROR(VLOOKUP(B78,input_settle_526100!L:R,7,FALSE),VLOOKUP(tables_settle_526100!C78,input_settle_526100!A:H,8,FALSE))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input_settle_526100!A$2</f>
        <v>526100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IFERROR(VLOOKUP(B79,input_settle_526100!L:R,7,FALSE),VLOOKUP(tables_settle_526100!C79,input_settle_526100!A:H,8,FALSE))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input_settle_526100!A$2</f>
        <v>526100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IFERROR(VLOOKUP(B80,input_settle_526100!L:R,7,FALSE),VLOOKUP(tables_settle_526100!C80,input_settle_526100!A:H,8,FALSE))</f>
        <v>787430.76922999998</v>
      </c>
      <c r="P80" s="46">
        <f t="shared" ca="1" si="4"/>
        <v>1.2692307692303471E-2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input_settle_526100!A$2</f>
        <v>526100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IFERROR(VLOOKUP(B81,input_settle_526100!L:R,7,FALSE),VLOOKUP(tables_settle_526100!C81,input_settle_526100!A:H,8,FALSE))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input_settle_526100!A$2</f>
        <v>526100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IFERROR(VLOOKUP(B82,input_settle_526100!L:R,7,FALSE),VLOOKUP(tables_settle_526100!C82,input_settle_526100!A:H,8,FALSE))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input_settle_526100!A$2</f>
        <v>526100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IFERROR(VLOOKUP(B83,input_settle_526100!L:R,7,FALSE),VLOOKUP(tables_settle_526100!C83,input_settle_526100!A:H,8,FALSE))</f>
        <v>787430.76922999998</v>
      </c>
      <c r="P83" s="46">
        <f t="shared" ca="1" si="4"/>
        <v>1.2692307692303471E-2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input_settle_526100!A$2</f>
        <v>526100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IFERROR(VLOOKUP(B84,input_settle_526100!L:R,7,FALSE),VLOOKUP(tables_settle_526100!C84,input_settle_526100!A:H,8,FALSE))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input_settle_526100!A$2</f>
        <v>526100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IFERROR(VLOOKUP(B85,input_settle_526100!L:R,7,FALSE),VLOOKUP(tables_settle_526100!C85,input_settle_526100!A:H,8,FALSE))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input_settle_526100!A$2</f>
        <v>526100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IFERROR(VLOOKUP(B86,input_settle_526100!L:R,7,FALSE),VLOOKUP(tables_settle_526100!C86,input_settle_526100!A:H,8,FALSE))</f>
        <v>787430.76922999998</v>
      </c>
      <c r="P86" s="46">
        <f t="shared" ca="1" si="4"/>
        <v>1.2692307692303471E-2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input_settle_526100!A$2</f>
        <v>526100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IFERROR(VLOOKUP(B87,input_settle_526100!L:R,7,FALSE),VLOOKUP(tables_settle_526100!C87,input_settle_526100!A:H,8,FALSE))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input_settle_526100!A$2</f>
        <v>526100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IFERROR(VLOOKUP(B88,input_settle_526100!L:R,7,FALSE),VLOOKUP(tables_settle_526100!C88,input_settle_526100!A:H,8,FALSE))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input_settle_526100!A$2</f>
        <v>526100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IFERROR(VLOOKUP(B89,input_settle_526100!L:R,7,FALSE),VLOOKUP(tables_settle_526100!C89,input_settle_526100!A:H,8,FALSE))</f>
        <v>787430.76922999998</v>
      </c>
      <c r="P89" s="46">
        <f t="shared" ca="1" si="4"/>
        <v>1.2692307692303471E-2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input_settle_526100!A$2</f>
        <v>526100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IFERROR(VLOOKUP(B90,input_settle_526100!L:R,7,FALSE),VLOOKUP(tables_settle_526100!C90,input_settle_526100!A:H,8,FALSE))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input_settle_526100!A$2</f>
        <v>526100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IFERROR(VLOOKUP(B91,input_settle_526100!L:R,7,FALSE),VLOOKUP(tables_settle_526100!C91,input_settle_526100!A:H,8,FALSE))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input_settle_526100!A$2</f>
        <v>526100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IFERROR(VLOOKUP(B92,input_settle_526100!L:R,7,FALSE),VLOOKUP(tables_settle_526100!C92,input_settle_526100!A:H,8,FALSE))</f>
        <v>787430.76922999998</v>
      </c>
      <c r="P92" s="46">
        <f t="shared" ca="1" si="4"/>
        <v>1.2692307692303471E-2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input_settle_526100!A$2</f>
        <v>526100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IFERROR(VLOOKUP(B93,input_settle_526100!L:R,7,FALSE),VLOOKUP(tables_settle_526100!C93,input_settle_526100!A:H,8,FALSE))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input_settle_526100!A$2</f>
        <v>526100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IFERROR(VLOOKUP(B94,input_settle_526100!L:R,7,FALSE),VLOOKUP(tables_settle_526100!C94,input_settle_526100!A:H,8,FALSE))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input_settle_526100!A$2</f>
        <v>526100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IFERROR(VLOOKUP(B95,input_settle_526100!L:R,7,FALSE),VLOOKUP(tables_settle_526100!C95,input_settle_526100!A:H,8,FALSE))</f>
        <v>787430.76922999998</v>
      </c>
      <c r="P95" s="46">
        <f t="shared" ca="1" si="4"/>
        <v>1.2692307692303471E-2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input_settle_526100!A$2</f>
        <v>526100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IFERROR(VLOOKUP(B96,input_settle_526100!L:R,7,FALSE),VLOOKUP(tables_settle_526100!C96,input_settle_526100!A:H,8,FALSE))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input_settle_526100!A$2</f>
        <v>526100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IFERROR(VLOOKUP(B97,input_settle_526100!L:R,7,FALSE),VLOOKUP(tables_settle_526100!C97,input_settle_526100!A:H,8,FALSE))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input_settle_526100!A$2</f>
        <v>526100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IFERROR(VLOOKUP(B98,input_settle_526100!L:R,7,FALSE),VLOOKUP(tables_settle_526100!C98,input_settle_526100!A:H,8,FALSE))</f>
        <v>787430.76922999998</v>
      </c>
      <c r="P98" s="46">
        <f t="shared" ca="1" si="4"/>
        <v>1.2692307692303471E-2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input_settle_526100!A$2</f>
        <v>526100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IFERROR(VLOOKUP(B99,input_settle_526100!L:R,7,FALSE),VLOOKUP(tables_settle_526100!C99,input_settle_526100!A:H,8,FALSE))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input_settle_526100!A$2</f>
        <v>526100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IFERROR(VLOOKUP(B100,input_settle_526100!L:R,7,FALSE),VLOOKUP(tables_settle_526100!C100,input_settle_526100!A:H,8,FALSE))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input_settle_526100!A$2</f>
        <v>526100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IFERROR(VLOOKUP(B101,input_settle_526100!L:R,7,FALSE),VLOOKUP(tables_settle_526100!C101,input_settle_526100!A:H,8,FALSE))</f>
        <v>787430.76922999998</v>
      </c>
      <c r="P101" s="46">
        <f t="shared" ca="1" si="4"/>
        <v>1.2692307692303471E-2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input_settle_526100!A$2</f>
        <v>526100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IFERROR(VLOOKUP(B102,input_settle_526100!L:R,7,FALSE),VLOOKUP(tables_settle_526100!C102,input_settle_526100!A:H,8,FALSE))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input_settle_526100!A$2</f>
        <v>526100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IFERROR(VLOOKUP(B103,input_settle_526100!L:R,7,FALSE),VLOOKUP(tables_settle_526100!C103,input_settle_526100!A:H,8,FALSE))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input_settle_526100!A$2</f>
        <v>526100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IFERROR(VLOOKUP(B104,input_settle_526100!L:R,7,FALSE),VLOOKUP(tables_settle_526100!C104,input_settle_526100!A:H,8,FALSE))</f>
        <v>787430.76922999998</v>
      </c>
      <c r="P104" s="46">
        <f t="shared" ca="1" si="4"/>
        <v>1.2692307692303471E-2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input_settle_526100!A$2</f>
        <v>526100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IFERROR(VLOOKUP(B105,input_settle_526100!L:R,7,FALSE),VLOOKUP(tables_settle_526100!C105,input_settle_526100!A:H,8,FALSE))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input_settle_526100!A$2</f>
        <v>526100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IFERROR(VLOOKUP(B106,input_settle_526100!L:R,7,FALSE),VLOOKUP(tables_settle_526100!C106,input_settle_526100!A:H,8,FALSE))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input_settle_526100!A$2</f>
        <v>526100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IFERROR(VLOOKUP(B107,input_settle_526100!L:R,7,FALSE),VLOOKUP(tables_settle_526100!C107,input_settle_526100!A:H,8,FALSE))</f>
        <v>787430.76922999998</v>
      </c>
      <c r="P107" s="46">
        <f t="shared" ca="1" si="4"/>
        <v>1.2692307692303471E-2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input_settle_526100!A$2</f>
        <v>526100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IFERROR(VLOOKUP(B108,input_settle_526100!L:R,7,FALSE),VLOOKUP(tables_settle_526100!C108,input_settle_526100!A:H,8,FALSE))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input_settle_526100!A$2</f>
        <v>526100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IFERROR(VLOOKUP(B109,input_settle_526100!L:R,7,FALSE),VLOOKUP(tables_settle_526100!C109,input_settle_526100!A:H,8,FALSE))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input_settle_526100!A$2</f>
        <v>526100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IFERROR(VLOOKUP(B110,input_settle_526100!L:R,7,FALSE),VLOOKUP(tables_settle_526100!C110,input_settle_526100!A:H,8,FALSE))</f>
        <v>787430.76922999998</v>
      </c>
      <c r="P110" s="46">
        <f t="shared" ca="1" si="4"/>
        <v>1.2692307692303471E-2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input_settle_526100!A$2</f>
        <v>526100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IFERROR(VLOOKUP(B111,input_settle_526100!L:R,7,FALSE),VLOOKUP(tables_settle_526100!C111,input_settle_526100!A:H,8,FALSE))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input_settle_526100!A$2</f>
        <v>526100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IFERROR(VLOOKUP(B112,input_settle_526100!L:R,7,FALSE),VLOOKUP(tables_settle_526100!C112,input_settle_526100!A:H,8,FALSE))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input_settle_526100!A$2</f>
        <v>526100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IFERROR(VLOOKUP(B113,input_settle_526100!L:R,7,FALSE),VLOOKUP(tables_settle_526100!C113,input_settle_526100!A:H,8,FALSE))</f>
        <v>620400</v>
      </c>
      <c r="P113" s="46">
        <f t="shared" ca="1" si="4"/>
        <v>1.0000000000006443E-2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input_settle_526100!A$2</f>
        <v>526100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IFERROR(VLOOKUP(B114,input_settle_526100!L:R,7,FALSE),VLOOKUP(tables_settle_526100!C114,input_settle_526100!A:H,8,FALSE))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input_settle_526100!A$2</f>
        <v>526100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IFERROR(VLOOKUP(B115,input_settle_526100!L:R,7,FALSE),VLOOKUP(tables_settle_526100!C115,input_settle_526100!A:H,8,FALSE))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input_settle_526100!A$2</f>
        <v>526100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IFERROR(VLOOKUP(B116,input_settle_526100!L:R,7,FALSE),VLOOKUP(tables_settle_526100!C116,input_settle_526100!A:H,8,FALSE))</f>
        <v>787430.76922999998</v>
      </c>
      <c r="P116" s="46">
        <f t="shared" ca="1" si="4"/>
        <v>1.2692307692303471E-2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input_settle_526100!A$2</f>
        <v>526100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IFERROR(VLOOKUP(B117,input_settle_526100!L:R,7,FALSE),VLOOKUP(tables_settle_526100!C117,input_settle_526100!A:H,8,FALSE))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input_settle_526100!A$2</f>
        <v>526100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IFERROR(VLOOKUP(B118,input_settle_526100!L:R,7,FALSE),VLOOKUP(tables_settle_526100!C118,input_settle_526100!A:H,8,FALSE))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input_settle_526100!A$2</f>
        <v>526100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IFERROR(VLOOKUP(B119,input_settle_526100!L:R,7,FALSE),VLOOKUP(tables_settle_526100!C119,input_settle_526100!A:H,8,FALSE))</f>
        <v>787430.76922999998</v>
      </c>
      <c r="P119" s="46">
        <f t="shared" ca="1" si="4"/>
        <v>1.2692307692303471E-2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input_settle_526100!A$2</f>
        <v>526100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IFERROR(VLOOKUP(B120,input_settle_526100!L:R,7,FALSE),VLOOKUP(tables_settle_526100!C120,input_settle_526100!A:H,8,FALSE))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input_settle_526100!A$2</f>
        <v>526100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IFERROR(VLOOKUP(B121,input_settle_526100!L:R,7,FALSE),VLOOKUP(tables_settle_526100!C121,input_settle_526100!A:H,8,FALSE))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input_settle_526100!A$2</f>
        <v>526100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IFERROR(VLOOKUP(B122,input_settle_526100!L:R,7,FALSE),VLOOKUP(tables_settle_526100!C122,input_settle_526100!A:H,8,FALSE))</f>
        <v>787430.76922999998</v>
      </c>
      <c r="P122" s="46">
        <f t="shared" ca="1" si="4"/>
        <v>1.2692307692303471E-2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input_settle_526100!A$2</f>
        <v>526100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IFERROR(VLOOKUP(B123,input_settle_526100!L:R,7,FALSE),VLOOKUP(tables_settle_526100!C123,input_settle_526100!A:H,8,FALSE))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input_settle_526100!A$2</f>
        <v>526100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IFERROR(VLOOKUP(B124,input_settle_526100!L:R,7,FALSE),VLOOKUP(tables_settle_526100!C124,input_settle_526100!A:H,8,FALSE))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input_settle_526100!A$2</f>
        <v>526100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IFERROR(VLOOKUP(B125,input_settle_526100!L:R,7,FALSE),VLOOKUP(tables_settle_526100!C125,input_settle_526100!A:H,8,FALSE))</f>
        <v>787430.76922999998</v>
      </c>
      <c r="P125" s="46">
        <f t="shared" ca="1" si="4"/>
        <v>1.2692307692303471E-2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input_settle_526100!A$2</f>
        <v>526100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IFERROR(VLOOKUP(B126,input_settle_526100!L:R,7,FALSE),VLOOKUP(tables_settle_526100!C126,input_settle_526100!A:H,8,FALSE))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input_settle_526100!A$2</f>
        <v>526100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IFERROR(VLOOKUP(B127,input_settle_526100!L:R,7,FALSE),VLOOKUP(tables_settle_526100!C127,input_settle_526100!A:H,8,FALSE))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input_settle_526100!A$2</f>
        <v>526100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IFERROR(VLOOKUP(B128,input_settle_526100!L:R,7,FALSE),VLOOKUP(tables_settle_526100!C128,input_settle_526100!A:H,8,FALSE))</f>
        <v>787430.76922999998</v>
      </c>
      <c r="P128" s="46">
        <f t="shared" ca="1" si="4"/>
        <v>1.2692307692303471E-2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input_settle_526100!A$2</f>
        <v>526100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IFERROR(VLOOKUP(B129,input_settle_526100!L:R,7,FALSE),VLOOKUP(tables_settle_526100!C129,input_settle_526100!A:H,8,FALSE))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input_settle_526100!A$2</f>
        <v>526100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IFERROR(VLOOKUP(B130,input_settle_526100!L:R,7,FALSE),VLOOKUP(tables_settle_526100!C130,input_settle_526100!A:H,8,FALSE))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input_settle_526100!A$2</f>
        <v>526100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IFERROR(VLOOKUP(B131,input_settle_526100!L:R,7,FALSE),VLOOKUP(tables_settle_526100!C131,input_settle_526100!A:H,8,FALSE))</f>
        <v>787430.76922999998</v>
      </c>
      <c r="P131" s="46">
        <f t="shared" ca="1" si="7"/>
        <v>1.2692307692303471E-2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input_settle_526100!A$2</f>
        <v>526100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IFERROR(VLOOKUP(B132,input_settle_526100!L:R,7,FALSE),VLOOKUP(tables_settle_526100!C132,input_settle_526100!A:H,8,FALSE))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input_settle_526100!A$2</f>
        <v>526100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IFERROR(VLOOKUP(B133,input_settle_526100!L:R,7,FALSE),VLOOKUP(tables_settle_526100!C133,input_settle_526100!A:H,8,FALSE))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input_settle_526100!A$2</f>
        <v>526100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IFERROR(VLOOKUP(B134,input_settle_526100!L:R,7,FALSE),VLOOKUP(tables_settle_526100!C134,input_settle_526100!A:H,8,FALSE))</f>
        <v>787430.76922999998</v>
      </c>
      <c r="P134" s="46">
        <f t="shared" ca="1" si="7"/>
        <v>1.2692307692303471E-2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input_settle_526100!A$2</f>
        <v>526100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IFERROR(VLOOKUP(B135,input_settle_526100!L:R,7,FALSE),VLOOKUP(tables_settle_526100!C135,input_settle_526100!A:H,8,FALSE))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input_settle_526100!A$2</f>
        <v>526100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IFERROR(VLOOKUP(B136,input_settle_526100!L:R,7,FALSE),VLOOKUP(tables_settle_526100!C136,input_settle_526100!A:H,8,FALSE))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input_settle_526100!A$2</f>
        <v>526100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IFERROR(VLOOKUP(B137,input_settle_526100!L:R,7,FALSE),VLOOKUP(tables_settle_526100!C137,input_settle_526100!A:H,8,FALSE))</f>
        <v>787430.76922999998</v>
      </c>
      <c r="P137" s="46">
        <f t="shared" ca="1" si="7"/>
        <v>1.2692307692303471E-2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input_settle_526100!A$2</f>
        <v>526100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IFERROR(VLOOKUP(B138,input_settle_526100!L:R,7,FALSE),VLOOKUP(tables_settle_526100!C138,input_settle_526100!A:H,8,FALSE))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input_settle_526100!A$2</f>
        <v>526100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IFERROR(VLOOKUP(B139,input_settle_526100!L:R,7,FALSE),VLOOKUP(tables_settle_526100!C139,input_settle_526100!A:H,8,FALSE))</f>
        <v>47000</v>
      </c>
      <c r="P139" s="46">
        <f t="shared" ca="1" si="7"/>
        <v>7.5757575757624568E-4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input_settle_526100!A$2</f>
        <v>526100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IFERROR(VLOOKUP(B140,input_settle_526100!L:R,7,FALSE),VLOOKUP(tables_settle_526100!C140,input_settle_526100!A:H,8,FALSE))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input_settle_526100!A$2</f>
        <v>526100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IFERROR(VLOOKUP(B141,input_settle_526100!L:R,7,FALSE),VLOOKUP(tables_settle_526100!C141,input_settle_526100!A:H,8,FALSE))</f>
        <v>47000</v>
      </c>
      <c r="P141" s="46">
        <f t="shared" ca="1" si="7"/>
        <v>7.5757575757624568E-4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input_settle_526100!A$2</f>
        <v>526100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IFERROR(VLOOKUP(B142,input_settle_526100!L:R,7,FALSE),VLOOKUP(tables_settle_526100!C142,input_settle_526100!A:H,8,FALSE))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input_settle_526100!A$2</f>
        <v>526100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IFERROR(VLOOKUP(B143,input_settle_526100!L:R,7,FALSE),VLOOKUP(tables_settle_526100!C143,input_settle_526100!A:H,8,FALSE))</f>
        <v>47000</v>
      </c>
      <c r="P143" s="46">
        <f t="shared" ca="1" si="7"/>
        <v>7.5757575757624568E-4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input_settle_526100!A$2</f>
        <v>526100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IFERROR(VLOOKUP(B144,input_settle_526100!L:R,7,FALSE),VLOOKUP(tables_settle_526100!C144,input_settle_526100!A:H,8,FALSE))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input_settle_526100!A$2</f>
        <v>526100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IFERROR(VLOOKUP(B145,input_settle_526100!L:R,7,FALSE),VLOOKUP(tables_settle_526100!C145,input_settle_526100!A:H,8,FALSE))</f>
        <v>47000</v>
      </c>
      <c r="P145" s="46">
        <f t="shared" ca="1" si="7"/>
        <v>7.5757575757624568E-4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input_settle_526100!A$2</f>
        <v>526100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IFERROR(VLOOKUP(B146,input_settle_526100!L:R,7,FALSE),VLOOKUP(tables_settle_526100!C146,input_settle_526100!A:H,8,FALSE))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input_settle_526100!A$2</f>
        <v>526100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IFERROR(VLOOKUP(B147,input_settle_526100!L:R,7,FALSE),VLOOKUP(tables_settle_526100!C147,input_settle_526100!A:H,8,FALSE))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input_settle_526100!A$2</f>
        <v>526100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IFERROR(VLOOKUP(B148,input_settle_526100!L:R,7,FALSE),VLOOKUP(tables_settle_526100!C148,input_settle_526100!A:H,8,FALSE))</f>
        <v>787430.76922999998</v>
      </c>
      <c r="P148" s="46">
        <f t="shared" ca="1" si="7"/>
        <v>1.2692307692303471E-2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input_settle_526100!A$2</f>
        <v>526100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IFERROR(VLOOKUP(B149,input_settle_526100!L:R,7,FALSE),VLOOKUP(tables_settle_526100!C149,input_settle_526100!A:H,8,FALSE))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input_settle_526100!A$2</f>
        <v>526100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IFERROR(VLOOKUP(B150,input_settle_526100!L:R,7,FALSE),VLOOKUP(tables_settle_526100!C150,input_settle_526100!A:H,8,FALSE))</f>
        <v>47000</v>
      </c>
      <c r="P150" s="46">
        <f t="shared" ca="1" si="7"/>
        <v>7.5757575757624568E-4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input_settle_526100!A$2</f>
        <v>526100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IFERROR(VLOOKUP(B151,input_settle_526100!L:R,7,FALSE),VLOOKUP(tables_settle_526100!C151,input_settle_526100!A:H,8,FALSE))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input_settle_526100!A$2</f>
        <v>526100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IFERROR(VLOOKUP(B152,input_settle_526100!L:R,7,FALSE),VLOOKUP(tables_settle_526100!C152,input_settle_526100!A:H,8,FALSE))</f>
        <v>47000</v>
      </c>
      <c r="P152" s="46">
        <f t="shared" ca="1" si="7"/>
        <v>7.5757575757624568E-4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input_settle_526100!A$2</f>
        <v>526100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IFERROR(VLOOKUP(B153,input_settle_526100!L:R,7,FALSE),VLOOKUP(tables_settle_526100!C153,input_settle_526100!A:H,8,FALSE))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input_settle_526100!A$2</f>
        <v>526100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IFERROR(VLOOKUP(B154,input_settle_526100!L:R,7,FALSE),VLOOKUP(tables_settle_526100!C154,input_settle_526100!A:H,8,FALSE))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input_settle_526100!A$2</f>
        <v>526100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IFERROR(VLOOKUP(B155,input_settle_526100!L:R,7,FALSE),VLOOKUP(tables_settle_526100!C155,input_settle_526100!A:H,8,FALSE))</f>
        <v>787430.76922999998</v>
      </c>
      <c r="P155" s="46">
        <f t="shared" ca="1" si="7"/>
        <v>1.2692307692303471E-2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input_settle_526100!A$2</f>
        <v>526100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IFERROR(VLOOKUP(B156,input_settle_526100!L:R,7,FALSE),VLOOKUP(tables_settle_526100!C156,input_settle_526100!A:H,8,FALSE))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input_settle_526100!A$2</f>
        <v>526100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IFERROR(VLOOKUP(B157,input_settle_526100!L:R,7,FALSE),VLOOKUP(tables_settle_526100!C157,input_settle_526100!A:H,8,FALSE))</f>
        <v>47000</v>
      </c>
      <c r="P157" s="46">
        <f t="shared" ca="1" si="7"/>
        <v>7.5757575757624568E-4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input_settle_526100!A$2</f>
        <v>526100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IFERROR(VLOOKUP(B158,input_settle_526100!L:R,7,FALSE),VLOOKUP(tables_settle_526100!C158,input_settle_526100!A:H,8,FALSE))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input_settle_526100!A$2</f>
        <v>526100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IFERROR(VLOOKUP(B159,input_settle_526100!L:R,7,FALSE),VLOOKUP(tables_settle_526100!C159,input_settle_526100!A:H,8,FALSE))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input_settle_526100!A$2</f>
        <v>526100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IFERROR(VLOOKUP(B160,input_settle_526100!L:R,7,FALSE),VLOOKUP(tables_settle_526100!C160,input_settle_526100!A:H,8,FALSE))</f>
        <v>787430.76922999998</v>
      </c>
      <c r="P160" s="46">
        <f t="shared" ca="1" si="7"/>
        <v>1.2692307692303471E-2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input_settle_526100!A$2</f>
        <v>526100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IFERROR(VLOOKUP(B161,input_settle_526100!L:R,7,FALSE),VLOOKUP(tables_settle_526100!C161,input_settle_526100!A:H,8,FALSE))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input_settle_526100!A$2</f>
        <v>526100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IFERROR(VLOOKUP(B162,input_settle_526100!L:R,7,FALSE),VLOOKUP(tables_settle_526100!C162,input_settle_526100!A:H,8,FALSE))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input_settle_526100!A$2</f>
        <v>526100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IFERROR(VLOOKUP(B163,input_settle_526100!L:R,7,FALSE),VLOOKUP(tables_settle_526100!C163,input_settle_526100!A:H,8,FALSE))</f>
        <v>787430.76922999998</v>
      </c>
      <c r="P163" s="46">
        <f t="shared" ca="1" si="7"/>
        <v>1.2692307692303471E-2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input_settle_526100!A$2</f>
        <v>526100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IFERROR(VLOOKUP(B164,input_settle_526100!L:R,7,FALSE),VLOOKUP(tables_settle_526100!C164,input_settle_526100!A:H,8,FALSE))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input_settle_526100!A$2</f>
        <v>526100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IFERROR(VLOOKUP(B165,input_settle_526100!L:R,7,FALSE),VLOOKUP(tables_settle_526100!C165,input_settle_526100!A:H,8,FALSE))</f>
        <v>47000</v>
      </c>
      <c r="P165" s="46">
        <f t="shared" ca="1" si="7"/>
        <v>7.5757575757624568E-4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input_settle_526100!A$2</f>
        <v>526100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IFERROR(VLOOKUP(B166,input_settle_526100!L:R,7,FALSE),VLOOKUP(tables_settle_526100!C166,input_settle_526100!A:H,8,FALSE))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input_settle_526100!A$2</f>
        <v>526100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IFERROR(VLOOKUP(B167,input_settle_526100!L:R,7,FALSE),VLOOKUP(tables_settle_526100!C167,input_settle_526100!A:H,8,FALSE))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input_settle_526100!A$2</f>
        <v>526100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IFERROR(VLOOKUP(B168,input_settle_526100!L:R,7,FALSE),VLOOKUP(tables_settle_526100!C168,input_settle_526100!A:H,8,FALSE))</f>
        <v>787430.76922999998</v>
      </c>
      <c r="P168" s="46">
        <f t="shared" ca="1" si="7"/>
        <v>1.2692307692303471E-2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input_settle_526100!A$2</f>
        <v>526100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IFERROR(VLOOKUP(B169,input_settle_526100!L:R,7,FALSE),VLOOKUP(tables_settle_526100!C169,input_settle_526100!A:H,8,FALSE))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input_settle_526100!A$2</f>
        <v>526100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IFERROR(VLOOKUP(B170,input_settle_526100!L:R,7,FALSE),VLOOKUP(tables_settle_526100!C170,input_settle_526100!A:H,8,FALSE))</f>
        <v>47000</v>
      </c>
      <c r="P170" s="46">
        <f t="shared" ca="1" si="7"/>
        <v>7.5757575757624568E-4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input_settle_526100!A$2</f>
        <v>526100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IFERROR(VLOOKUP(B171,input_settle_526100!L:R,7,FALSE),VLOOKUP(tables_settle_526100!C171,input_settle_526100!A:H,8,FALSE))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input_settle_526100!A$2</f>
        <v>526100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IFERROR(VLOOKUP(B172,input_settle_526100!L:R,7,FALSE),VLOOKUP(tables_settle_526100!C172,input_settle_526100!A:H,8,FALSE))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input_settle_526100!A$2</f>
        <v>526100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IFERROR(VLOOKUP(B173,input_settle_526100!L:R,7,FALSE),VLOOKUP(tables_settle_526100!C173,input_settle_526100!A:H,8,FALSE))</f>
        <v>787430.76922999998</v>
      </c>
      <c r="P173" s="46">
        <f t="shared" ca="1" si="7"/>
        <v>1.2692307692303471E-2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input_settle_526100!A$2</f>
        <v>526100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IFERROR(VLOOKUP(B174,input_settle_526100!L:R,7,FALSE),VLOOKUP(tables_settle_526100!C174,input_settle_526100!A:H,8,FALSE))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input_settle_526100!A$2</f>
        <v>526100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IFERROR(VLOOKUP(B175,input_settle_526100!L:R,7,FALSE),VLOOKUP(tables_settle_526100!C175,input_settle_526100!A:H,8,FALSE))</f>
        <v>47000</v>
      </c>
      <c r="P175" s="46">
        <f t="shared" ca="1" si="7"/>
        <v>7.5757575757624568E-4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input_settle_526100!A$2</f>
        <v>526100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IFERROR(VLOOKUP(B176,input_settle_526100!L:R,7,FALSE),VLOOKUP(tables_settle_526100!C176,input_settle_526100!A:H,8,FALSE))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input_settle_526100!A$2</f>
        <v>526100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IFERROR(VLOOKUP(B177,input_settle_526100!L:R,7,FALSE),VLOOKUP(tables_settle_526100!C177,input_settle_526100!A:H,8,FALSE))</f>
        <v>47000</v>
      </c>
      <c r="P177" s="46">
        <f t="shared" ca="1" si="7"/>
        <v>7.5757575757624568E-4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input_settle_526100!A$2</f>
        <v>526100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IFERROR(VLOOKUP(B178,input_settle_526100!L:R,7,FALSE),VLOOKUP(tables_settle_526100!C178,input_settle_526100!A:H,8,FALSE))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input_settle_526100!A$2</f>
        <v>526100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IFERROR(VLOOKUP(B179,input_settle_526100!L:R,7,FALSE),VLOOKUP(tables_settle_526100!C179,input_settle_526100!A:H,8,FALSE))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input_settle_526100!A$2</f>
        <v>526100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IFERROR(VLOOKUP(B180,input_settle_526100!L:R,7,FALSE),VLOOKUP(tables_settle_526100!C180,input_settle_526100!A:H,8,FALSE))</f>
        <v>787430.76922999998</v>
      </c>
      <c r="P180" s="46">
        <f t="shared" ca="1" si="7"/>
        <v>1.2692307692303471E-2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input_settle_526100!A$2</f>
        <v>526100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IFERROR(VLOOKUP(B181,input_settle_526100!L:R,7,FALSE),VLOOKUP(tables_settle_526100!C181,input_settle_526100!A:H,8,FALSE))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input_settle_526100!A$2</f>
        <v>526100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IFERROR(VLOOKUP(B182,input_settle_526100!L:R,7,FALSE),VLOOKUP(tables_settle_526100!C182,input_settle_526100!A:H,8,FALSE))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input_settle_526100!A$2</f>
        <v>526100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IFERROR(VLOOKUP(B183,input_settle_526100!L:R,7,FALSE),VLOOKUP(tables_settle_526100!C183,input_settle_526100!A:H,8,FALSE))</f>
        <v>787430.76922999998</v>
      </c>
      <c r="P183" s="46">
        <f t="shared" ca="1" si="7"/>
        <v>1.2692307692303471E-2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input_settle_526100!A$2</f>
        <v>526100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IFERROR(VLOOKUP(B184,input_settle_526100!L:R,7,FALSE),VLOOKUP(tables_settle_526100!C184,input_settle_526100!A:H,8,FALSE))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input_settle_526100!A$2</f>
        <v>526100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IFERROR(VLOOKUP(B185,input_settle_526100!L:R,7,FALSE),VLOOKUP(tables_settle_526100!C185,input_settle_526100!A:H,8,FALSE))</f>
        <v>47000</v>
      </c>
      <c r="P185" s="46">
        <f t="shared" ca="1" si="7"/>
        <v>7.5757575757624568E-4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input_settle_526100!A$2</f>
        <v>526100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IFERROR(VLOOKUP(B186,input_settle_526100!L:R,7,FALSE),VLOOKUP(tables_settle_526100!C186,input_settle_526100!A:H,8,FALSE))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input_settle_526100!A$2</f>
        <v>526100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IFERROR(VLOOKUP(B187,input_settle_526100!L:R,7,FALSE),VLOOKUP(tables_settle_526100!C187,input_settle_526100!A:H,8,FALSE))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input_settle_526100!A$2</f>
        <v>526100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IFERROR(VLOOKUP(B188,input_settle_526100!L:R,7,FALSE),VLOOKUP(tables_settle_526100!C188,input_settle_526100!A:H,8,FALSE))</f>
        <v>787430.76922999998</v>
      </c>
      <c r="P188" s="46">
        <f t="shared" ca="1" si="7"/>
        <v>1.2692307692303471E-2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input_settle_526100!A$2</f>
        <v>526100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IFERROR(VLOOKUP(B189,input_settle_526100!L:R,7,FALSE),VLOOKUP(tables_settle_526100!C189,input_settle_526100!A:H,8,FALSE))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input_settle_526100!A$2</f>
        <v>526100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IFERROR(VLOOKUP(B190,input_settle_526100!L:R,7,FALSE),VLOOKUP(tables_settle_526100!C190,input_settle_526100!A:H,8,FALSE))</f>
        <v>47000</v>
      </c>
      <c r="P190" s="46">
        <f t="shared" ca="1" si="7"/>
        <v>7.5757575757624568E-4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input_settle_526100!A$2</f>
        <v>526100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IFERROR(VLOOKUP(B191,input_settle_526100!L:R,7,FALSE),VLOOKUP(tables_settle_526100!C191,input_settle_526100!A:H,8,FALSE))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input_settle_526100!A$2</f>
        <v>526100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IFERROR(VLOOKUP(B192,input_settle_526100!L:R,7,FALSE),VLOOKUP(tables_settle_526100!C192,input_settle_526100!A:H,8,FALSE))</f>
        <v>47000</v>
      </c>
      <c r="P192" s="46">
        <f t="shared" ca="1" si="7"/>
        <v>7.5757575757624568E-4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input_settle_526100!A$2</f>
        <v>526100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IFERROR(VLOOKUP(B193,input_settle_526100!L:R,7,FALSE),VLOOKUP(tables_settle_526100!C193,input_settle_526100!A:H,8,FALSE))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input_settle_526100!A$2</f>
        <v>526100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IFERROR(VLOOKUP(B194,input_settle_526100!L:R,7,FALSE),VLOOKUP(tables_settle_526100!C194,input_settle_526100!A:H,8,FALSE))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input_settle_526100!A$2</f>
        <v>526100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IFERROR(VLOOKUP(B195,input_settle_526100!L:R,7,FALSE),VLOOKUP(tables_settle_526100!C195,input_settle_526100!A:H,8,FALSE))</f>
        <v>787430.76922999998</v>
      </c>
      <c r="P195" s="46">
        <f t="shared" ca="1" si="10"/>
        <v>1.2692307692303471E-2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input_settle_526100!A$2</f>
        <v>526100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IFERROR(VLOOKUP(B196,input_settle_526100!L:R,7,FALSE),VLOOKUP(tables_settle_526100!C196,input_settle_526100!A:H,8,FALSE))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input_settle_526100!A$2</f>
        <v>526100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IFERROR(VLOOKUP(B197,input_settle_526100!L:R,7,FALSE),VLOOKUP(tables_settle_526100!C197,input_settle_526100!A:H,8,FALSE))</f>
        <v>47000</v>
      </c>
      <c r="P197" s="46">
        <f t="shared" ca="1" si="10"/>
        <v>7.5757575757624568E-4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input_settle_526100!A$2</f>
        <v>526100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IFERROR(VLOOKUP(B198,input_settle_526100!L:R,7,FALSE),VLOOKUP(tables_settle_526100!C198,input_settle_526100!A:H,8,FALSE))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input_settle_526100!A$2</f>
        <v>526100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IFERROR(VLOOKUP(B199,input_settle_526100!L:R,7,FALSE),VLOOKUP(tables_settle_526100!C199,input_settle_526100!A:H,8,FALSE))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input_settle_526100!A$2</f>
        <v>526100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IFERROR(VLOOKUP(B200,input_settle_526100!L:R,7,FALSE),VLOOKUP(tables_settle_526100!C200,input_settle_526100!A:H,8,FALSE))</f>
        <v>787430.76922999998</v>
      </c>
      <c r="P200" s="46">
        <f t="shared" ca="1" si="10"/>
        <v>1.2692307692303471E-2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input_settle_526100!A$2</f>
        <v>526100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IFERROR(VLOOKUP(B201,input_settle_526100!L:R,7,FALSE),VLOOKUP(tables_settle_526100!C201,input_settle_526100!A:H,8,FALSE))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input_settle_526100!A$2</f>
        <v>526100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IFERROR(VLOOKUP(B202,input_settle_526100!L:R,7,FALSE),VLOOKUP(tables_settle_526100!C202,input_settle_526100!A:H,8,FALSE))</f>
        <v>47000</v>
      </c>
      <c r="P202" s="46">
        <f t="shared" ca="1" si="10"/>
        <v>7.5757575757624568E-4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input_settle_526100!A$2</f>
        <v>526100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IFERROR(VLOOKUP(B203,input_settle_526100!L:R,7,FALSE),VLOOKUP(tables_settle_526100!C203,input_settle_526100!A:H,8,FALSE))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input_settle_526100!A$2</f>
        <v>526100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IFERROR(VLOOKUP(B204,input_settle_526100!L:R,7,FALSE),VLOOKUP(tables_settle_526100!C204,input_settle_526100!A:H,8,FALSE))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input_settle_526100!A$2</f>
        <v>526100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IFERROR(VLOOKUP(B205,input_settle_526100!L:R,7,FALSE),VLOOKUP(tables_settle_526100!C205,input_settle_526100!A:H,8,FALSE))</f>
        <v>787430.76922999998</v>
      </c>
      <c r="P205" s="46">
        <f t="shared" ca="1" si="10"/>
        <v>1.2692307692303471E-2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input_settle_526100!A$2</f>
        <v>526100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IFERROR(VLOOKUP(B206,input_settle_526100!L:R,7,FALSE),VLOOKUP(tables_settle_526100!C206,input_settle_526100!A:H,8,FALSE))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input_settle_526100!A$2</f>
        <v>526100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IFERROR(VLOOKUP(B207,input_settle_526100!L:R,7,FALSE),VLOOKUP(tables_settle_526100!C207,input_settle_526100!A:H,8,FALSE))</f>
        <v>47000</v>
      </c>
      <c r="P207" s="46">
        <f t="shared" ca="1" si="10"/>
        <v>7.5757575757624568E-4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input_settle_526100!A$2</f>
        <v>526100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IFERROR(VLOOKUP(B208,input_settle_526100!L:R,7,FALSE),VLOOKUP(tables_settle_526100!C208,input_settle_526100!A:H,8,FALSE))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input_settle_526100!A$2</f>
        <v>526100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IFERROR(VLOOKUP(B209,input_settle_526100!L:R,7,FALSE),VLOOKUP(tables_settle_526100!C209,input_settle_526100!A:H,8,FALSE))</f>
        <v>47000</v>
      </c>
      <c r="P209" s="46">
        <f t="shared" ca="1" si="10"/>
        <v>7.5757575757624568E-4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input_settle_526100!A$2</f>
        <v>526100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IFERROR(VLOOKUP(B210,input_settle_526100!L:R,7,FALSE),VLOOKUP(tables_settle_526100!C210,input_settle_526100!A:H,8,FALSE))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input_settle_526100!A$2</f>
        <v>526100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IFERROR(VLOOKUP(B211,input_settle_526100!L:R,7,FALSE),VLOOKUP(tables_settle_526100!C211,input_settle_526100!A:H,8,FALSE))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input_settle_526100!A$2</f>
        <v>526100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IFERROR(VLOOKUP(B212,input_settle_526100!L:R,7,FALSE),VLOOKUP(tables_settle_526100!C212,input_settle_526100!A:H,8,FALSE))</f>
        <v>787430.76922999998</v>
      </c>
      <c r="P212" s="46">
        <f t="shared" ca="1" si="10"/>
        <v>1.2692307692303471E-2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input_settle_526100!A$2</f>
        <v>526100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IFERROR(VLOOKUP(B213,input_settle_526100!L:R,7,FALSE),VLOOKUP(tables_settle_526100!C213,input_settle_526100!A:H,8,FALSE))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input_settle_526100!A$2</f>
        <v>526100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IFERROR(VLOOKUP(B214,input_settle_526100!L:R,7,FALSE),VLOOKUP(tables_settle_526100!C214,input_settle_526100!A:H,8,FALSE))</f>
        <v>47000</v>
      </c>
      <c r="P214" s="46">
        <f t="shared" ca="1" si="10"/>
        <v>7.5757575757624568E-4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input_settle_526100!A$2</f>
        <v>526100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IFERROR(VLOOKUP(B215,input_settle_526100!L:R,7,FALSE),VLOOKUP(tables_settle_526100!C215,input_settle_526100!A:H,8,FALSE))</f>
        <v>620400</v>
      </c>
      <c r="P215" s="46">
        <f t="shared" ca="1" si="10"/>
        <v>1.0000000000006443E-2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input_settle_526100!A$2</f>
        <v>526100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IFERROR(VLOOKUP(B216,input_settle_526100!L:R,7,FALSE),VLOOKUP(tables_settle_526100!C216,input_settle_526100!A:H,8,FALSE))</f>
        <v>620400</v>
      </c>
      <c r="P216" s="46">
        <f t="shared" ca="1" si="10"/>
        <v>1.0000000000006443E-2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input_settle_526100!A$2</f>
        <v>526100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IFERROR(VLOOKUP(B217,input_settle_526100!L:R,7,FALSE),VLOOKUP(tables_settle_526100!C217,input_settle_526100!A:H,8,FALSE))</f>
        <v>620400</v>
      </c>
      <c r="P217" s="46">
        <f t="shared" ca="1" si="10"/>
        <v>1.0000000000006443E-2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input_settle_526100!A$2</f>
        <v>526100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IFERROR(VLOOKUP(B218,input_settle_526100!L:R,7,FALSE),VLOOKUP(tables_settle_526100!C218,input_settle_526100!A:H,8,FALSE))</f>
        <v>620400</v>
      </c>
      <c r="P218" s="46">
        <f t="shared" ca="1" si="10"/>
        <v>1.0000000000006443E-2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input_settle_526100!A$2</f>
        <v>526100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IFERROR(VLOOKUP(B219,input_settle_526100!L:R,7,FALSE),VLOOKUP(tables_settle_526100!C219,input_settle_526100!A:H,8,FALSE))</f>
        <v>620400</v>
      </c>
      <c r="P219" s="46">
        <f t="shared" ca="1" si="10"/>
        <v>1.0000000000006443E-2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input_settle_526100!A$2</f>
        <v>526100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IFERROR(VLOOKUP(B220,input_settle_526100!L:R,7,FALSE),VLOOKUP(tables_settle_526100!C220,input_settle_526100!A:H,8,FALSE))</f>
        <v>620400</v>
      </c>
      <c r="P220" s="46">
        <f t="shared" ca="1" si="10"/>
        <v>1.0000000000006443E-2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input_settle_526100!A$2</f>
        <v>526100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IFERROR(VLOOKUP(B221,input_settle_526100!L:R,7,FALSE),VLOOKUP(tables_settle_526100!C221,input_settle_526100!A:H,8,FALSE))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input_settle_526100!A$2</f>
        <v>526100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IFERROR(VLOOKUP(B222,input_settle_526100!L:R,7,FALSE),VLOOKUP(tables_settle_526100!C222,input_settle_526100!A:H,8,FALSE))</f>
        <v>47000</v>
      </c>
      <c r="P222" s="46">
        <f t="shared" ca="1" si="10"/>
        <v>7.5757575757624568E-4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input_settle_526100!A$2</f>
        <v>526100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IFERROR(VLOOKUP(B223,input_settle_526100!L:R,7,FALSE),VLOOKUP(tables_settle_526100!C223,input_settle_526100!A:H,8,FALSE))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input_settle_526100!A$2</f>
        <v>526100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IFERROR(VLOOKUP(B224,input_settle_526100!L:R,7,FALSE),VLOOKUP(tables_settle_526100!C224,input_settle_526100!A:H,8,FALSE))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input_settle_526100!A$2</f>
        <v>526100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IFERROR(VLOOKUP(B225,input_settle_526100!L:R,7,FALSE),VLOOKUP(tables_settle_526100!C225,input_settle_526100!A:H,8,FALSE))</f>
        <v>787430.76922999998</v>
      </c>
      <c r="P225" s="46">
        <f t="shared" ca="1" si="10"/>
        <v>1.2692307692303471E-2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input_settle_526100!A$2</f>
        <v>526100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IFERROR(VLOOKUP(B226,input_settle_526100!L:R,7,FALSE),VLOOKUP(tables_settle_526100!C226,input_settle_526100!A:H,8,FALSE))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input_settle_526100!A$2</f>
        <v>526100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IFERROR(VLOOKUP(B227,input_settle_526100!L:R,7,FALSE),VLOOKUP(tables_settle_526100!C227,input_settle_526100!A:H,8,FALSE))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input_settle_526100!A$2</f>
        <v>526100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IFERROR(VLOOKUP(B228,input_settle_526100!L:R,7,FALSE),VLOOKUP(tables_settle_526100!C228,input_settle_526100!A:H,8,FALSE))</f>
        <v>787430.76922999998</v>
      </c>
      <c r="P228" s="46">
        <f t="shared" ca="1" si="10"/>
        <v>1.2692307692303471E-2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input_settle_526100!A$2</f>
        <v>526100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IFERROR(VLOOKUP(B229,input_settle_526100!L:R,7,FALSE),VLOOKUP(tables_settle_526100!C229,input_settle_526100!A:H,8,FALSE))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input_settle_526100!A$2</f>
        <v>526100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IFERROR(VLOOKUP(B230,input_settle_526100!L:R,7,FALSE),VLOOKUP(tables_settle_526100!C230,input_settle_526100!A:H,8,FALSE))</f>
        <v>47000</v>
      </c>
      <c r="P230" s="46">
        <f t="shared" ca="1" si="10"/>
        <v>7.5757575757624568E-4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input_settle_526100!A$2</f>
        <v>526100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IFERROR(VLOOKUP(B231,input_settle_526100!L:R,7,FALSE),VLOOKUP(tables_settle_526100!C231,input_settle_526100!A:H,8,FALSE))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input_settle_526100!A$2</f>
        <v>526100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IFERROR(VLOOKUP(B232,input_settle_526100!L:R,7,FALSE),VLOOKUP(tables_settle_526100!C232,input_settle_526100!A:H,8,FALSE))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input_settle_526100!A$2</f>
        <v>526100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IFERROR(VLOOKUP(B233,input_settle_526100!L:R,7,FALSE),VLOOKUP(tables_settle_526100!C233,input_settle_526100!A:H,8,FALSE))</f>
        <v>787430.76922999998</v>
      </c>
      <c r="P233" s="46">
        <f t="shared" ca="1" si="10"/>
        <v>1.2692307692303471E-2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input_settle_526100!A$2</f>
        <v>526100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IFERROR(VLOOKUP(B234,input_settle_526100!L:R,7,FALSE),VLOOKUP(tables_settle_526100!C234,input_settle_526100!A:H,8,FALSE))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input_settle_526100!A$2</f>
        <v>526100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IFERROR(VLOOKUP(B235,input_settle_526100!L:R,7,FALSE),VLOOKUP(tables_settle_526100!C235,input_settle_526100!A:H,8,FALSE))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input_settle_526100!A$2</f>
        <v>526100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IFERROR(VLOOKUP(B236,input_settle_526100!L:R,7,FALSE),VLOOKUP(tables_settle_526100!C236,input_settle_526100!A:H,8,FALSE))</f>
        <v>787430.76922999998</v>
      </c>
      <c r="P236" s="46">
        <f t="shared" ca="1" si="10"/>
        <v>1.2692307692303471E-2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input_settle_526100!A$2</f>
        <v>526100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IFERROR(VLOOKUP(B237,input_settle_526100!L:R,7,FALSE),VLOOKUP(tables_settle_526100!C237,input_settle_526100!A:H,8,FALSE))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input_settle_526100!A$2</f>
        <v>526100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IFERROR(VLOOKUP(B238,input_settle_526100!L:R,7,FALSE),VLOOKUP(tables_settle_526100!C238,input_settle_526100!A:H,8,FALSE))</f>
        <v>47000</v>
      </c>
      <c r="P238" s="46">
        <f t="shared" ca="1" si="10"/>
        <v>7.5757575757624568E-4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input_settle_526100!A$2</f>
        <v>526100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IFERROR(VLOOKUP(B239,input_settle_526100!L:R,7,FALSE),VLOOKUP(tables_settle_526100!C239,input_settle_526100!A:H,8,FALSE))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input_settle_526100!A$2</f>
        <v>526100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IFERROR(VLOOKUP(B240,input_settle_526100!L:R,7,FALSE),VLOOKUP(tables_settle_526100!C240,input_settle_526100!A:H,8,FALSE))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input_settle_526100!A$2</f>
        <v>526100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IFERROR(VLOOKUP(B241,input_settle_526100!L:R,7,FALSE),VLOOKUP(tables_settle_526100!C241,input_settle_526100!A:H,8,FALSE))</f>
        <v>787430.76922999998</v>
      </c>
      <c r="P241" s="46">
        <f t="shared" ca="1" si="10"/>
        <v>1.2692307692303471E-2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input_settle_526100!A$2</f>
        <v>526100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IFERROR(VLOOKUP(B242,input_settle_526100!L:R,7,FALSE),VLOOKUP(tables_settle_526100!C242,input_settle_526100!A:H,8,FALSE))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input_settle_526100!A$2</f>
        <v>526100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IFERROR(VLOOKUP(B243,input_settle_526100!L:R,7,FALSE),VLOOKUP(tables_settle_526100!C243,input_settle_526100!A:H,8,FALSE))</f>
        <v>47000</v>
      </c>
      <c r="P243" s="46">
        <f t="shared" ca="1" si="10"/>
        <v>7.5757575757624568E-4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input_settle_526100!A$2</f>
        <v>526100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IFERROR(VLOOKUP(B244,input_settle_526100!L:R,7,FALSE),VLOOKUP(tables_settle_526100!C244,input_settle_526100!A:H,8,FALSE))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input_settle_526100!A$2</f>
        <v>526100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IFERROR(VLOOKUP(B245,input_settle_526100!L:R,7,FALSE),VLOOKUP(tables_settle_526100!C245,input_settle_526100!A:H,8,FALSE))</f>
        <v>47000</v>
      </c>
      <c r="P245" s="46">
        <f t="shared" ca="1" si="10"/>
        <v>7.5757575757624568E-4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input_settle_526100!A$2</f>
        <v>526100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IFERROR(VLOOKUP(B246,input_settle_526100!L:R,7,FALSE),VLOOKUP(tables_settle_526100!C246,input_settle_526100!A:H,8,FALSE))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input_settle_526100!A$2</f>
        <v>526100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IFERROR(VLOOKUP(B247,input_settle_526100!L:R,7,FALSE),VLOOKUP(tables_settle_526100!C247,input_settle_526100!A:H,8,FALSE))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input_settle_526100!A$2</f>
        <v>526100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IFERROR(VLOOKUP(B248,input_settle_526100!L:R,7,FALSE),VLOOKUP(tables_settle_526100!C248,input_settle_526100!A:H,8,FALSE))</f>
        <v>787430.76922999998</v>
      </c>
      <c r="P248" s="46">
        <f t="shared" ca="1" si="10"/>
        <v>1.2692307692303471E-2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input_settle_526100!A$2</f>
        <v>526100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IFERROR(VLOOKUP(B249,input_settle_526100!L:R,7,FALSE),VLOOKUP(tables_settle_526100!C249,input_settle_526100!A:H,8,FALSE))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input_settle_526100!A$2</f>
        <v>526100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IFERROR(VLOOKUP(B250,input_settle_526100!L:R,7,FALSE),VLOOKUP(tables_settle_526100!C250,input_settle_526100!A:H,8,FALSE))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input_settle_526100!A$2</f>
        <v>526100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IFERROR(VLOOKUP(B251,input_settle_526100!L:R,7,FALSE),VLOOKUP(tables_settle_526100!C251,input_settle_526100!A:H,8,FALSE))</f>
        <v>787430.76922999998</v>
      </c>
      <c r="P251" s="46">
        <f t="shared" ca="1" si="10"/>
        <v>1.2692307692303471E-2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input_settle_526100!A$2</f>
        <v>526100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IFERROR(VLOOKUP(B252,input_settle_526100!L:R,7,FALSE),VLOOKUP(tables_settle_526100!C252,input_settle_526100!A:H,8,FALSE))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input_settle_526100!A$2</f>
        <v>526100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IFERROR(VLOOKUP(B253,input_settle_526100!L:R,7,FALSE),VLOOKUP(tables_settle_526100!C253,input_settle_526100!A:H,8,FALSE))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input_settle_526100!A$2</f>
        <v>526100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IFERROR(VLOOKUP(B254,input_settle_526100!L:R,7,FALSE),VLOOKUP(tables_settle_526100!C254,input_settle_526100!A:H,8,FALSE))</f>
        <v>787430.76922999998</v>
      </c>
      <c r="P254" s="46">
        <f t="shared" ca="1" si="10"/>
        <v>1.2692307692303471E-2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input_settle_526100!A$2</f>
        <v>526100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IFERROR(VLOOKUP(B255,input_settle_526100!L:R,7,FALSE),VLOOKUP(tables_settle_526100!C255,input_settle_526100!A:H,8,FALSE))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input_settle_526100!A$2</f>
        <v>526100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IFERROR(VLOOKUP(B256,input_settle_526100!L:R,7,FALSE),VLOOKUP(tables_settle_526100!C256,input_settle_526100!A:H,8,FALSE))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input_settle_526100!A$2</f>
        <v>526100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IFERROR(VLOOKUP(B257,input_settle_526100!L:R,7,FALSE),VLOOKUP(tables_settle_526100!C257,input_settle_526100!A:H,8,FALSE))</f>
        <v>787430.76922999998</v>
      </c>
      <c r="P257" s="46">
        <f t="shared" ca="1" si="10"/>
        <v>1.2692307692303471E-2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input_settle_526100!A$2</f>
        <v>526100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IFERROR(VLOOKUP(B258,input_settle_526100!L:R,7,FALSE),VLOOKUP(tables_settle_526100!C258,input_settle_526100!A:H,8,FALSE))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input_settle_526100!A$2</f>
        <v>526100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IFERROR(VLOOKUP(B259,input_settle_526100!L:R,7,FALSE),VLOOKUP(tables_settle_526100!C259,input_settle_526100!A:H,8,FALSE))</f>
        <v>47000</v>
      </c>
      <c r="P259" s="46">
        <f t="shared" ca="1" si="13"/>
        <v>7.5757575757624568E-4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input_settle_526100!A$2</f>
        <v>526100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IFERROR(VLOOKUP(B260,input_settle_526100!L:R,7,FALSE),VLOOKUP(tables_settle_526100!C260,input_settle_526100!A:H,8,FALSE))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input_settle_526100!A$2</f>
        <v>526100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IFERROR(VLOOKUP(B261,input_settle_526100!L:R,7,FALSE),VLOOKUP(tables_settle_526100!C261,input_settle_526100!A:H,8,FALSE))</f>
        <v>47000</v>
      </c>
      <c r="P261" s="46">
        <f t="shared" ca="1" si="13"/>
        <v>7.5757575757624568E-4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input_settle_526100!A$2</f>
        <v>526100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IFERROR(VLOOKUP(B262,input_settle_526100!L:R,7,FALSE),VLOOKUP(tables_settle_526100!C262,input_settle_526100!A:H,8,FALSE))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input_settle_526100!A$2</f>
        <v>526100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IFERROR(VLOOKUP(B263,input_settle_526100!L:R,7,FALSE),VLOOKUP(tables_settle_526100!C263,input_settle_526100!A:H,8,FALSE))</f>
        <v>620400</v>
      </c>
      <c r="P263" s="46">
        <f t="shared" ca="1" si="13"/>
        <v>1.0000000000006443E-2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input_settle_526100!A$2</f>
        <v>526100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IFERROR(VLOOKUP(B264,input_settle_526100!L:R,7,FALSE),VLOOKUP(tables_settle_526100!C264,input_settle_526100!A:H,8,FALSE))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input_settle_526100!A$2</f>
        <v>526100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IFERROR(VLOOKUP(B265,input_settle_526100!L:R,7,FALSE),VLOOKUP(tables_settle_526100!C265,input_settle_526100!A:H,8,FALSE))</f>
        <v>620400</v>
      </c>
      <c r="P265" s="46">
        <f t="shared" ca="1" si="13"/>
        <v>1.0000000000006443E-2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input_settle_526100!A$2</f>
        <v>526100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IFERROR(VLOOKUP(B266,input_settle_526100!L:R,7,FALSE),VLOOKUP(tables_settle_526100!C266,input_settle_526100!A:H,8,FALSE))</f>
        <v>47000</v>
      </c>
      <c r="P266" s="46">
        <f t="shared" ca="1" si="13"/>
        <v>7.5757575757624568E-4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input_settle_526100!A$2</f>
        <v>526100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IFERROR(VLOOKUP(B267,input_settle_526100!L:R,7,FALSE),VLOOKUP(tables_settle_526100!C267,input_settle_526100!A:H,8,FALSE))</f>
        <v>47000</v>
      </c>
      <c r="P267" s="46">
        <f t="shared" ca="1" si="13"/>
        <v>7.5757575757624568E-4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input_settle_526100!A$2</f>
        <v>526100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IFERROR(VLOOKUP(B268,input_settle_526100!L:R,7,FALSE),VLOOKUP(tables_settle_526100!C268,input_settle_526100!A:H,8,FALSE))</f>
        <v>47000</v>
      </c>
      <c r="P268" s="46">
        <f t="shared" ca="1" si="13"/>
        <v>7.5757575757624568E-4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input_settle_526100!A$2</f>
        <v>526100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IFERROR(VLOOKUP(B269,input_settle_526100!L:R,7,FALSE),VLOOKUP(tables_settle_526100!C269,input_settle_526100!A:H,8,FALSE))</f>
        <v>47000</v>
      </c>
      <c r="P269" s="46">
        <f t="shared" ca="1" si="13"/>
        <v>7.5757575757624568E-4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input_settle_526100!A$2</f>
        <v>526100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IFERROR(VLOOKUP(B270,input_settle_526100!L:R,7,FALSE),VLOOKUP(tables_settle_526100!C270,input_settle_526100!A:H,8,FALSE))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input_settle_526100!A$2</f>
        <v>526100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IFERROR(VLOOKUP(B271,input_settle_526100!L:R,7,FALSE),VLOOKUP(tables_settle_526100!C271,input_settle_526100!A:H,8,FALSE))</f>
        <v>620400</v>
      </c>
      <c r="P271" s="46">
        <f t="shared" ca="1" si="13"/>
        <v>1.0000000000006443E-2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input_settle_526100!A$2</f>
        <v>526100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IFERROR(VLOOKUP(B272,input_settle_526100!L:R,7,FALSE),VLOOKUP(tables_settle_526100!C272,input_settle_526100!A:H,8,FALSE))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input_settle_526100!A$2</f>
        <v>526100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IFERROR(VLOOKUP(B273,input_settle_526100!L:R,7,FALSE),VLOOKUP(tables_settle_526100!C273,input_settle_526100!A:H,8,FALSE))</f>
        <v>620400</v>
      </c>
      <c r="P273" s="46">
        <f t="shared" ca="1" si="13"/>
        <v>1.0000000000006443E-2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input_settle_526100!A$2</f>
        <v>526100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IFERROR(VLOOKUP(B274,input_settle_526100!L:R,7,FALSE),VLOOKUP(tables_settle_526100!C274,input_settle_526100!A:H,8,FALSE))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input_settle_526100!A$2</f>
        <v>526100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IFERROR(VLOOKUP(B275,input_settle_526100!L:R,7,FALSE),VLOOKUP(tables_settle_526100!C275,input_settle_526100!A:H,8,FALSE))</f>
        <v>47000</v>
      </c>
      <c r="P275" s="46">
        <f t="shared" ca="1" si="13"/>
        <v>7.5757575757624568E-4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input_settle_526100!A$2</f>
        <v>526100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IFERROR(VLOOKUP(B276,input_settle_526100!L:R,7,FALSE),VLOOKUP(tables_settle_526100!C276,input_settle_526100!A:H,8,FALSE))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input_settle_526100!A$2</f>
        <v>526100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IFERROR(VLOOKUP(B277,input_settle_526100!L:R,7,FALSE),VLOOKUP(tables_settle_526100!C277,input_settle_526100!A:H,8,FALSE))</f>
        <v>47000</v>
      </c>
      <c r="P277" s="46">
        <f t="shared" ca="1" si="13"/>
        <v>7.5757575757624568E-4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input_settle_526100!A$2</f>
        <v>526100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IFERROR(VLOOKUP(B278,input_settle_526100!L:R,7,FALSE),VLOOKUP(tables_settle_526100!C278,input_settle_526100!A:H,8,FALSE))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input_settle_526100!A$2</f>
        <v>526100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IFERROR(VLOOKUP(B279,input_settle_526100!L:R,7,FALSE),VLOOKUP(tables_settle_526100!C279,input_settle_526100!A:H,8,FALSE))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input_settle_526100!A$2</f>
        <v>526100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IFERROR(VLOOKUP(B280,input_settle_526100!L:R,7,FALSE),VLOOKUP(tables_settle_526100!C280,input_settle_526100!A:H,8,FALSE))</f>
        <v>787430.76922999998</v>
      </c>
      <c r="P280" s="46">
        <f t="shared" ca="1" si="13"/>
        <v>1.2692307692303471E-2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input_settle_526100!A$2</f>
        <v>526100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IFERROR(VLOOKUP(B281,input_settle_526100!L:R,7,FALSE),VLOOKUP(tables_settle_526100!C281,input_settle_526100!A:H,8,FALSE))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input_settle_526100!A$2</f>
        <v>526100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IFERROR(VLOOKUP(B282,input_settle_526100!L:R,7,FALSE),VLOOKUP(tables_settle_526100!C282,input_settle_526100!A:H,8,FALSE))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input_settle_526100!A$2</f>
        <v>526100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IFERROR(VLOOKUP(B283,input_settle_526100!L:R,7,FALSE),VLOOKUP(tables_settle_526100!C283,input_settle_526100!A:H,8,FALSE))</f>
        <v>787430.76922999998</v>
      </c>
      <c r="P283" s="46">
        <f t="shared" ca="1" si="13"/>
        <v>1.2692307692303471E-2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input_settle_526100!A$2</f>
        <v>526100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IFERROR(VLOOKUP(B284,input_settle_526100!L:R,7,FALSE),VLOOKUP(tables_settle_526100!C284,input_settle_526100!A:H,8,FALSE))</f>
        <v>47000</v>
      </c>
      <c r="P284" s="46">
        <f t="shared" ca="1" si="13"/>
        <v>7.5757575757624568E-4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input_settle_526100!A$2</f>
        <v>526100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IFERROR(VLOOKUP(B285,input_settle_526100!L:R,7,FALSE),VLOOKUP(tables_settle_526100!C285,input_settle_526100!A:H,8,FALSE))</f>
        <v>47000</v>
      </c>
      <c r="P285" s="46">
        <f t="shared" ca="1" si="13"/>
        <v>7.5757575757624568E-4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input_settle_526100!A$2</f>
        <v>526100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IFERROR(VLOOKUP(B286,input_settle_526100!L:R,7,FALSE),VLOOKUP(tables_settle_526100!C286,input_settle_526100!A:H,8,FALSE))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input_settle_526100!A$2</f>
        <v>526100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IFERROR(VLOOKUP(B287,input_settle_526100!L:R,7,FALSE),VLOOKUP(tables_settle_526100!C287,input_settle_526100!A:H,8,FALSE))</f>
        <v>620400</v>
      </c>
      <c r="P287" s="46">
        <f t="shared" ca="1" si="13"/>
        <v>1.0000000000006443E-2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input_settle_526100!A$2</f>
        <v>526100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IFERROR(VLOOKUP(B288,input_settle_526100!L:R,7,FALSE),VLOOKUP(tables_settle_526100!C288,input_settle_526100!A:H,8,FALSE))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input_settle_526100!A$2</f>
        <v>526100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IFERROR(VLOOKUP(B289,input_settle_526100!L:R,7,FALSE),VLOOKUP(tables_settle_526100!C289,input_settle_526100!A:H,8,FALSE))</f>
        <v>620400</v>
      </c>
      <c r="P289" s="46">
        <f t="shared" ca="1" si="13"/>
        <v>1.0000000000006443E-2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input_settle_526100!A$2</f>
        <v>526100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IFERROR(VLOOKUP(B290,input_settle_526100!L:R,7,FALSE),VLOOKUP(tables_settle_526100!C290,input_settle_526100!A:H,8,FALSE))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input_settle_526100!A$2</f>
        <v>526100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IFERROR(VLOOKUP(B291,input_settle_526100!L:R,7,FALSE),VLOOKUP(tables_settle_526100!C291,input_settle_526100!A:H,8,FALSE))</f>
        <v>620400</v>
      </c>
      <c r="P291" s="46">
        <f t="shared" ca="1" si="13"/>
        <v>1.0000000000006443E-2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input_settle_526100!A$2</f>
        <v>526100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IFERROR(VLOOKUP(B292,input_settle_526100!L:R,7,FALSE),VLOOKUP(tables_settle_526100!C292,input_settle_526100!A:H,8,FALSE))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input_settle_526100!A$2</f>
        <v>526100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IFERROR(VLOOKUP(B293,input_settle_526100!L:R,7,FALSE),VLOOKUP(tables_settle_526100!C293,input_settle_526100!A:H,8,FALSE))</f>
        <v>620400</v>
      </c>
      <c r="P293" s="46">
        <f t="shared" ca="1" si="13"/>
        <v>1.0000000000006443E-2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input_settle_526100!A$2</f>
        <v>526100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IFERROR(VLOOKUP(B294,input_settle_526100!L:R,7,FALSE),VLOOKUP(tables_settle_526100!C294,input_settle_526100!A:H,8,FALSE))</f>
        <v>47000</v>
      </c>
      <c r="P294" s="46">
        <f t="shared" ca="1" si="13"/>
        <v>7.5757575757624568E-4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input_settle_526100!A$2</f>
        <v>526100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IFERROR(VLOOKUP(B295,input_settle_526100!L:R,7,FALSE),VLOOKUP(tables_settle_526100!C295,input_settle_526100!A:H,8,FALSE))</f>
        <v>47000</v>
      </c>
      <c r="P295" s="46">
        <f t="shared" ca="1" si="13"/>
        <v>7.5757575757624568E-4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input_settle_526100!A$2</f>
        <v>526100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IFERROR(VLOOKUP(B296,input_settle_526100!L:R,7,FALSE),VLOOKUP(tables_settle_526100!C296,input_settle_526100!A:H,8,FALSE))</f>
        <v>47000</v>
      </c>
      <c r="P296" s="46">
        <f t="shared" ca="1" si="13"/>
        <v>7.5757575757624568E-4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input_settle_526100!A$2</f>
        <v>526100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IFERROR(VLOOKUP(B297,input_settle_526100!L:R,7,FALSE),VLOOKUP(tables_settle_526100!C297,input_settle_526100!A:H,8,FALSE))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input_settle_526100!A$2</f>
        <v>526100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IFERROR(VLOOKUP(B298,input_settle_526100!L:R,7,FALSE),VLOOKUP(tables_settle_526100!C298,input_settle_526100!A:H,8,FALSE))</f>
        <v>620400</v>
      </c>
      <c r="P298" s="46">
        <f t="shared" ca="1" si="13"/>
        <v>1.0000000000006443E-2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input_settle_526100!A$2</f>
        <v>526100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IFERROR(VLOOKUP(B299,input_settle_526100!L:R,7,FALSE),VLOOKUP(tables_settle_526100!C299,input_settle_526100!A:H,8,FALSE))</f>
        <v>47000</v>
      </c>
      <c r="P299" s="46">
        <f t="shared" ca="1" si="13"/>
        <v>7.5757575757624568E-4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input_settle_526100!A$2</f>
        <v>526100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IFERROR(VLOOKUP(B300,input_settle_526100!L:R,7,FALSE),VLOOKUP(tables_settle_526100!C300,input_settle_526100!A:H,8,FALSE))</f>
        <v>47000</v>
      </c>
      <c r="P300" s="46">
        <f t="shared" ca="1" si="13"/>
        <v>7.5757575757624568E-4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input_settle_526100!A$2</f>
        <v>526100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IFERROR(VLOOKUP(B301,input_settle_526100!L:R,7,FALSE),VLOOKUP(tables_settle_526100!C301,input_settle_526100!A:H,8,FALSE))</f>
        <v>47000</v>
      </c>
      <c r="P301" s="46">
        <f t="shared" ca="1" si="13"/>
        <v>7.5757575757624568E-4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input_settle_526100!A$2</f>
        <v>526100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IFERROR(VLOOKUP(B302,input_settle_526100!L:R,7,FALSE),VLOOKUP(tables_settle_526100!C302,input_settle_526100!A:H,8,FALSE))</f>
        <v>47000</v>
      </c>
      <c r="P302" s="46">
        <f t="shared" ca="1" si="13"/>
        <v>7.5757575757624568E-4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input_settle_526100!A$2</f>
        <v>526100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IFERROR(VLOOKUP(B303,input_settle_526100!L:R,7,FALSE),VLOOKUP(tables_settle_526100!C303,input_settle_526100!A:H,8,FALSE))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input_settle_526100!A$2</f>
        <v>526100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IFERROR(VLOOKUP(B304,input_settle_526100!L:R,7,FALSE),VLOOKUP(tables_settle_526100!C304,input_settle_526100!A:H,8,FALSE))</f>
        <v>620400</v>
      </c>
      <c r="P304" s="46">
        <f t="shared" ca="1" si="13"/>
        <v>1.0000000000006443E-2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input_settle_526100!A$2</f>
        <v>526100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IFERROR(VLOOKUP(B305,input_settle_526100!L:R,7,FALSE),VLOOKUP(tables_settle_526100!C305,input_settle_526100!A:H,8,FALSE))</f>
        <v>47000</v>
      </c>
      <c r="P305" s="46">
        <f t="shared" ca="1" si="13"/>
        <v>7.5757575757624568E-4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input_settle_526100!A$2</f>
        <v>526100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IFERROR(VLOOKUP(B306,input_settle_526100!L:R,7,FALSE),VLOOKUP(tables_settle_526100!C306,input_settle_526100!A:H,8,FALSE))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input_settle_526100!A$2</f>
        <v>526100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IFERROR(VLOOKUP(B307,input_settle_526100!L:R,7,FALSE),VLOOKUP(tables_settle_526100!C307,input_settle_526100!A:H,8,FALSE))</f>
        <v>620400</v>
      </c>
      <c r="P307" s="46">
        <f t="shared" ca="1" si="13"/>
        <v>1.0000000000006443E-2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input_settle_526100!A$2</f>
        <v>526100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IFERROR(VLOOKUP(B308,input_settle_526100!L:R,7,FALSE),VLOOKUP(tables_settle_526100!C308,input_settle_526100!A:H,8,FALSE))</f>
        <v>47000</v>
      </c>
      <c r="P308" s="46">
        <f t="shared" ca="1" si="13"/>
        <v>7.5757575757624568E-4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input_settle_526100!A$2</f>
        <v>526100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IFERROR(VLOOKUP(B309,input_settle_526100!L:R,7,FALSE),VLOOKUP(tables_settle_526100!C309,input_settle_526100!A:H,8,FALSE))</f>
        <v>47000</v>
      </c>
      <c r="P309" s="46">
        <f t="shared" ca="1" si="13"/>
        <v>7.5757575757624568E-4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input_settle_526100!A$2</f>
        <v>526100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IFERROR(VLOOKUP(B310,input_settle_526100!L:R,7,FALSE),VLOOKUP(tables_settle_526100!C310,input_settle_526100!A:H,8,FALSE))</f>
        <v>47000</v>
      </c>
      <c r="P310" s="46">
        <f t="shared" ca="1" si="13"/>
        <v>7.5757575757624568E-4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input_settle_526100!A$2</f>
        <v>526100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IFERROR(VLOOKUP(B311,input_settle_526100!L:R,7,FALSE),VLOOKUP(tables_settle_526100!C311,input_settle_526100!A:H,8,FALSE))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input_settle_526100!A$2</f>
        <v>526100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IFERROR(VLOOKUP(B312,input_settle_526100!L:R,7,FALSE),VLOOKUP(tables_settle_526100!C312,input_settle_526100!A:H,8,FALSE))</f>
        <v>620400</v>
      </c>
      <c r="P312" s="46">
        <f t="shared" ca="1" si="13"/>
        <v>1.0000000000006443E-2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input_settle_526100!A$2</f>
        <v>526100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IFERROR(VLOOKUP(B313,input_settle_526100!L:R,7,FALSE),VLOOKUP(tables_settle_526100!C313,input_settle_526100!A:H,8,FALSE))</f>
        <v>47000</v>
      </c>
      <c r="P313" s="46">
        <f t="shared" ca="1" si="13"/>
        <v>7.5757575757624568E-4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input_settle_526100!A$2</f>
        <v>526100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IFERROR(VLOOKUP(B314,input_settle_526100!L:R,7,FALSE),VLOOKUP(tables_settle_526100!C314,input_settle_526100!A:H,8,FALSE))</f>
        <v>47000</v>
      </c>
      <c r="P314" s="46">
        <f t="shared" ca="1" si="13"/>
        <v>7.5757575757624568E-4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input_settle_526100!A$2</f>
        <v>526100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IFERROR(VLOOKUP(B315,input_settle_526100!L:R,7,FALSE),VLOOKUP(tables_settle_526100!C315,input_settle_526100!A:H,8,FALSE))</f>
        <v>47000</v>
      </c>
      <c r="P315" s="46">
        <f t="shared" ca="1" si="13"/>
        <v>7.5757575757624568E-4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input_settle_526100!A$2</f>
        <v>526100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IFERROR(VLOOKUP(B316,input_settle_526100!L:R,7,FALSE),VLOOKUP(tables_settle_526100!C316,input_settle_526100!A:H,8,FALSE))</f>
        <v>47000</v>
      </c>
      <c r="P316" s="46">
        <f t="shared" ca="1" si="13"/>
        <v>7.5757575757624568E-4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input_settle_526100!A$2</f>
        <v>526100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IFERROR(VLOOKUP(B317,input_settle_526100!L:R,7,FALSE),VLOOKUP(tables_settle_526100!C317,input_settle_526100!A:H,8,FALSE))</f>
        <v>47000</v>
      </c>
      <c r="P317" s="46">
        <f t="shared" ca="1" si="13"/>
        <v>7.5757575757624568E-4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input_settle_526100!A$2</f>
        <v>526100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IFERROR(VLOOKUP(B318,input_settle_526100!L:R,7,FALSE),VLOOKUP(tables_settle_526100!C318,input_settle_526100!A:H,8,FALSE))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input_settle_526100!A$2</f>
        <v>526100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IFERROR(VLOOKUP(B319,input_settle_526100!L:R,7,FALSE),VLOOKUP(tables_settle_526100!C319,input_settle_526100!A:H,8,FALSE))</f>
        <v>620400</v>
      </c>
      <c r="P319" s="46">
        <f t="shared" ca="1" si="13"/>
        <v>1.0000000000006443E-2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input_settle_526100!A$2</f>
        <v>526100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IFERROR(VLOOKUP(B320,input_settle_526100!L:R,7,FALSE),VLOOKUP(tables_settle_526100!C320,input_settle_526100!A:H,8,FALSE))</f>
        <v>47000</v>
      </c>
      <c r="P320" s="46">
        <f t="shared" ca="1" si="13"/>
        <v>7.5757575757624568E-4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input_settle_526100!A$2</f>
        <v>526100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IFERROR(VLOOKUP(B321,input_settle_526100!L:R,7,FALSE),VLOOKUP(tables_settle_526100!C321,input_settle_526100!A:H,8,FALSE))</f>
        <v>47000</v>
      </c>
      <c r="P321" s="46">
        <f t="shared" ca="1" si="13"/>
        <v>7.5757575757624568E-4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input_settle_526100!A$2</f>
        <v>526100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IFERROR(VLOOKUP(B322,input_settle_526100!L:R,7,FALSE),VLOOKUP(tables_settle_526100!C322,input_settle_526100!A:H,8,FALSE))</f>
        <v>47000</v>
      </c>
      <c r="P322" s="46">
        <f t="shared" ref="P322:P346" ca="1" si="16">O322/SUM(O:O)</f>
        <v>7.5757575757624568E-4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input_settle_526100!A$2</f>
        <v>526100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IFERROR(VLOOKUP(B323,input_settle_526100!L:R,7,FALSE),VLOOKUP(tables_settle_526100!C323,input_settle_526100!A:H,8,FALSE))</f>
        <v>47000</v>
      </c>
      <c r="P323" s="46">
        <f t="shared" ca="1" si="16"/>
        <v>7.5757575757624568E-4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input_settle_526100!A$2</f>
        <v>526100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IFERROR(VLOOKUP(B324,input_settle_526100!L:R,7,FALSE),VLOOKUP(tables_settle_526100!C324,input_settle_526100!A:H,8,FALSE))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input_settle_526100!A$2</f>
        <v>526100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IFERROR(VLOOKUP(B325,input_settle_526100!L:R,7,FALSE),VLOOKUP(tables_settle_526100!C325,input_settle_526100!A:H,8,FALSE))</f>
        <v>620400</v>
      </c>
      <c r="P325" s="46">
        <f t="shared" ca="1" si="16"/>
        <v>1.0000000000006443E-2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input_settle_526100!A$2</f>
        <v>526100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IFERROR(VLOOKUP(B326,input_settle_526100!L:R,7,FALSE),VLOOKUP(tables_settle_526100!C326,input_settle_526100!A:H,8,FALSE))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input_settle_526100!A$2</f>
        <v>526100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IFERROR(VLOOKUP(B327,input_settle_526100!L:R,7,FALSE),VLOOKUP(tables_settle_526100!C327,input_settle_526100!A:H,8,FALSE))</f>
        <v>620400</v>
      </c>
      <c r="P327" s="46">
        <f t="shared" ca="1" si="16"/>
        <v>1.0000000000006443E-2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input_settle_526100!A$2</f>
        <v>526100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IFERROR(VLOOKUP(B328,input_settle_526100!L:R,7,FALSE),VLOOKUP(tables_settle_526100!C328,input_settle_526100!A:H,8,FALSE))</f>
        <v>47000</v>
      </c>
      <c r="P328" s="46">
        <f t="shared" ca="1" si="16"/>
        <v>7.5757575757624568E-4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input_settle_526100!A$2</f>
        <v>526100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IFERROR(VLOOKUP(B329,input_settle_526100!L:R,7,FALSE),VLOOKUP(tables_settle_526100!C329,input_settle_526100!A:H,8,FALSE))</f>
        <v>47000</v>
      </c>
      <c r="P329" s="46">
        <f t="shared" ca="1" si="16"/>
        <v>7.5757575757624568E-4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input_settle_526100!A$2</f>
        <v>526100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IFERROR(VLOOKUP(B330,input_settle_526100!L:R,7,FALSE),VLOOKUP(tables_settle_526100!C330,input_settle_526100!A:H,8,FALSE))</f>
        <v>47000</v>
      </c>
      <c r="P330" s="46">
        <f t="shared" ca="1" si="16"/>
        <v>7.5757575757624568E-4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input_settle_526100!A$2</f>
        <v>526100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IFERROR(VLOOKUP(B331,input_settle_526100!L:R,7,FALSE),VLOOKUP(tables_settle_526100!C331,input_settle_526100!A:H,8,FALSE))</f>
        <v>47000</v>
      </c>
      <c r="P331" s="46">
        <f t="shared" ca="1" si="16"/>
        <v>7.5757575757624568E-4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input_settle_526100!A$2</f>
        <v>526100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IFERROR(VLOOKUP(B332,input_settle_526100!L:R,7,FALSE),VLOOKUP(tables_settle_526100!C332,input_settle_526100!A:H,8,FALSE))</f>
        <v>47000</v>
      </c>
      <c r="P332" s="46">
        <f t="shared" ca="1" si="16"/>
        <v>7.5757575757624568E-4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input_settle_526100!A$2</f>
        <v>526100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IFERROR(VLOOKUP(B333,input_settle_526100!L:R,7,FALSE),VLOOKUP(tables_settle_526100!C333,input_settle_526100!A:H,8,FALSE))</f>
        <v>47000</v>
      </c>
      <c r="P333" s="46">
        <f t="shared" ca="1" si="16"/>
        <v>7.5757575757624568E-4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input_settle_526100!A$2</f>
        <v>526100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IFERROR(VLOOKUP(B334,input_settle_526100!L:R,7,FALSE),VLOOKUP(tables_settle_526100!C334,input_settle_526100!A:H,8,FALSE))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input_settle_526100!A$2</f>
        <v>526100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IFERROR(VLOOKUP(B335,input_settle_526100!L:R,7,FALSE),VLOOKUP(tables_settle_526100!C335,input_settle_526100!A:H,8,FALSE))</f>
        <v>620400</v>
      </c>
      <c r="P335" s="46">
        <f t="shared" ca="1" si="16"/>
        <v>1.0000000000006443E-2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input_settle_526100!A$2</f>
        <v>526100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IFERROR(VLOOKUP(B336,input_settle_526100!L:R,7,FALSE),VLOOKUP(tables_settle_526100!C336,input_settle_526100!A:H,8,FALSE))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input_settle_526100!A$2</f>
        <v>526100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IFERROR(VLOOKUP(B337,input_settle_526100!L:R,7,FALSE),VLOOKUP(tables_settle_526100!C337,input_settle_526100!A:H,8,FALSE))</f>
        <v>620400</v>
      </c>
      <c r="P337" s="46">
        <f t="shared" ca="1" si="16"/>
        <v>1.0000000000006443E-2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input_settle_526100!A$2</f>
        <v>526100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IFERROR(VLOOKUP(B338,input_settle_526100!L:R,7,FALSE),VLOOKUP(tables_settle_526100!C338,input_settle_526100!A:H,8,FALSE))</f>
        <v>47000</v>
      </c>
      <c r="P338" s="46">
        <f t="shared" ca="1" si="16"/>
        <v>7.5757575757624568E-4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input_settle_526100!A$2</f>
        <v>526100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IFERROR(VLOOKUP(B339,input_settle_526100!L:R,7,FALSE),VLOOKUP(tables_settle_526100!C339,input_settle_526100!A:H,8,FALSE))</f>
        <v>47000</v>
      </c>
      <c r="P339" s="46">
        <f t="shared" ca="1" si="16"/>
        <v>7.5757575757624568E-4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input_settle_526100!A$2</f>
        <v>526100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IFERROR(VLOOKUP(B340,input_settle_526100!L:R,7,FALSE),VLOOKUP(tables_settle_526100!C340,input_settle_526100!A:H,8,FALSE))</f>
        <v>47000</v>
      </c>
      <c r="P340" s="46">
        <f t="shared" ca="1" si="16"/>
        <v>7.5757575757624568E-4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input_settle_526100!A$2</f>
        <v>526100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IFERROR(VLOOKUP(B341,input_settle_526100!L:R,7,FALSE),VLOOKUP(tables_settle_526100!C341,input_settle_526100!A:H,8,FALSE))</f>
        <v>47000</v>
      </c>
      <c r="P341" s="46">
        <f t="shared" ca="1" si="16"/>
        <v>7.5757575757624568E-4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input_settle_526100!A$2</f>
        <v>526100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IFERROR(VLOOKUP(B342,input_settle_526100!L:R,7,FALSE),VLOOKUP(tables_settle_526100!C342,input_settle_526100!A:H,8,FALSE))</f>
        <v>47000</v>
      </c>
      <c r="P342" s="46">
        <f t="shared" ca="1" si="16"/>
        <v>7.5757575757624568E-4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input_settle_526100!A$2</f>
        <v>526100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IFERROR(VLOOKUP(B343,input_settle_526100!L:R,7,FALSE),VLOOKUP(tables_settle_526100!C343,input_settle_526100!A:H,8,FALSE))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input_settle_526100!A$2</f>
        <v>526100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IFERROR(VLOOKUP(B344,input_settle_526100!L:R,7,FALSE),VLOOKUP(tables_settle_526100!C344,input_settle_526100!A:H,8,FALSE))</f>
        <v>620400</v>
      </c>
      <c r="P344" s="46">
        <f t="shared" ca="1" si="16"/>
        <v>1.0000000000006443E-2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input_settle_526100!A$2</f>
        <v>526100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IFERROR(VLOOKUP(B345,input_settle_526100!L:R,7,FALSE),VLOOKUP(tables_settle_526100!C345,input_settle_526100!A:H,8,FALSE))</f>
        <v>47000</v>
      </c>
      <c r="P345" s="46">
        <f t="shared" ca="1" si="16"/>
        <v>7.5757575757624568E-4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input_settle_526100!A$2</f>
        <v>526100</v>
      </c>
      <c r="B346" s="1">
        <v>1389</v>
      </c>
      <c r="C346" s="7" t="str">
        <f t="shared" si="15"/>
        <v>PremiumSSS5R3less</v>
      </c>
      <c r="D346" s="97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ユング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IFERROR(VLOOKUP(B346,input_settle_526100!L:R,7,FALSE),VLOOKUP(tables_settle_526100!C346,input_settle_526100!A:H,8,FALSE))</f>
        <v>310200</v>
      </c>
      <c r="P346" s="46">
        <f t="shared" ca="1" si="16"/>
        <v>5.0000000000032215E-3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input_settle_526100!A$2</f>
        <v>526100</v>
      </c>
      <c r="B347" s="1">
        <v>1232</v>
      </c>
      <c r="C347" s="7" t="str">
        <f t="shared" si="15"/>
        <v>PremiumSSS5R3less</v>
      </c>
      <c r="D347" s="97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ケプラー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attack</v>
      </c>
      <c r="M347" s="7" t="str">
        <f>VLOOKUP(B347,[1]characters!$A:$M,13,FALSE)</f>
        <v>academia</v>
      </c>
      <c r="N347" s="7">
        <f>VLOOKUP(B347,[1]characters!$A:$G,7,FALSE)</f>
        <v>0</v>
      </c>
      <c r="O347" s="45">
        <f ca="1">IFERROR(VLOOKUP(B347,input_settle_526100!L:R,7,FALSE),VLOOKUP(tables_settle_526100!C347,input_settle_526100!A:H,8,FALSE))</f>
        <v>310200</v>
      </c>
      <c r="P347" s="46">
        <f ca="1">O347/SUM(O:O)</f>
        <v>5.0000000000032215E-3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526105</v>
      </c>
      <c r="B2" s="100">
        <v>5261051</v>
      </c>
      <c r="C2" s="79" t="s">
        <v>254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255</v>
      </c>
      <c r="O2" s="79" t="s">
        <v>256</v>
      </c>
      <c r="P2" s="79" t="s">
        <v>257</v>
      </c>
      <c r="Q2" s="80" t="s">
        <v>260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input_526010</vt:lpstr>
      <vt:lpstr>tables_526010</vt:lpstr>
      <vt:lpstr>input_526100</vt:lpstr>
      <vt:lpstr>tables_526100</vt:lpstr>
      <vt:lpstr>input_settle_526100</vt:lpstr>
      <vt:lpstr>tables_settle_526100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2017-02-14T05:02:29Z</dcterms:modified>
</cp:coreProperties>
</file>