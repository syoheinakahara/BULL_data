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24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500" yWindow="860" windowWidth="25100" windowHeight="14640" tabRatio="943" activeTab="3"/>
  </bookViews>
  <sheets>
    <sheet name="確率の考え方" sheetId="110" r:id="rId1"/>
    <sheet name="Sheet1" sheetId="107" r:id="rId2"/>
    <sheet name="output" sheetId="103" r:id="rId3"/>
    <sheet name="input_settle_7107100" sheetId="130" r:id="rId4"/>
    <sheet name="tables_settle_7107100" sheetId="131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tables_settle_7107100!$A$1:$V$271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30" l="1"/>
  <c r="A24" i="131"/>
  <c r="I24" i="131"/>
  <c r="D24" i="131"/>
  <c r="J24" i="131"/>
  <c r="E24" i="131"/>
  <c r="F24" i="131"/>
  <c r="C24" i="131"/>
  <c r="H24" i="131"/>
  <c r="K24" i="131"/>
  <c r="L24" i="131"/>
  <c r="M24" i="131"/>
  <c r="N24" i="131"/>
  <c r="P24" i="131"/>
  <c r="A22" i="131"/>
  <c r="I22" i="131"/>
  <c r="D22" i="131"/>
  <c r="J22" i="131"/>
  <c r="E22" i="131"/>
  <c r="F22" i="131"/>
  <c r="C22" i="131"/>
  <c r="H22" i="131"/>
  <c r="K22" i="131"/>
  <c r="L22" i="131"/>
  <c r="M22" i="131"/>
  <c r="N22" i="131"/>
  <c r="P22" i="131"/>
  <c r="A23" i="131"/>
  <c r="I23" i="131"/>
  <c r="D23" i="131"/>
  <c r="J23" i="131"/>
  <c r="E23" i="131"/>
  <c r="F23" i="131"/>
  <c r="C23" i="131"/>
  <c r="H23" i="131"/>
  <c r="K23" i="131"/>
  <c r="L23" i="131"/>
  <c r="M23" i="131"/>
  <c r="N23" i="131"/>
  <c r="P23" i="131"/>
  <c r="A20" i="131"/>
  <c r="I20" i="131"/>
  <c r="D20" i="131"/>
  <c r="J20" i="131"/>
  <c r="E20" i="131"/>
  <c r="F20" i="131"/>
  <c r="C20" i="131"/>
  <c r="H20" i="131"/>
  <c r="K20" i="131"/>
  <c r="L20" i="131"/>
  <c r="M20" i="131"/>
  <c r="N20" i="131"/>
  <c r="P20" i="131"/>
  <c r="A21" i="131"/>
  <c r="I21" i="131"/>
  <c r="D21" i="131"/>
  <c r="J21" i="131"/>
  <c r="E21" i="131"/>
  <c r="F21" i="131"/>
  <c r="C21" i="131"/>
  <c r="H21" i="131"/>
  <c r="K21" i="131"/>
  <c r="L21" i="131"/>
  <c r="M21" i="131"/>
  <c r="N21" i="131"/>
  <c r="P21" i="131"/>
  <c r="A2" i="131"/>
  <c r="A18" i="131"/>
  <c r="I18" i="131"/>
  <c r="D18" i="131"/>
  <c r="J18" i="131"/>
  <c r="E18" i="131"/>
  <c r="F18" i="131"/>
  <c r="C18" i="131"/>
  <c r="H18" i="131"/>
  <c r="K18" i="131"/>
  <c r="L18" i="131"/>
  <c r="M18" i="131"/>
  <c r="N18" i="131"/>
  <c r="P18" i="131"/>
  <c r="A19" i="131"/>
  <c r="I19" i="131"/>
  <c r="D19" i="131"/>
  <c r="J19" i="131"/>
  <c r="E19" i="131"/>
  <c r="F19" i="131"/>
  <c r="C19" i="131"/>
  <c r="H19" i="131"/>
  <c r="K19" i="131"/>
  <c r="L19" i="131"/>
  <c r="M19" i="131"/>
  <c r="N19" i="131"/>
  <c r="P19" i="131"/>
  <c r="I16" i="131"/>
  <c r="D16" i="131"/>
  <c r="J16" i="131"/>
  <c r="E16" i="131"/>
  <c r="F16" i="131"/>
  <c r="C16" i="131"/>
  <c r="H16" i="131"/>
  <c r="K16" i="131"/>
  <c r="L16" i="131"/>
  <c r="M16" i="131"/>
  <c r="N16" i="131"/>
  <c r="P16" i="131"/>
  <c r="I17" i="131"/>
  <c r="D17" i="131"/>
  <c r="J17" i="131"/>
  <c r="E17" i="131"/>
  <c r="F17" i="131"/>
  <c r="C17" i="131"/>
  <c r="H17" i="131"/>
  <c r="K17" i="131"/>
  <c r="L17" i="131"/>
  <c r="M17" i="131"/>
  <c r="N17" i="131"/>
  <c r="P17" i="131"/>
  <c r="A16" i="131"/>
  <c r="A17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E3" i="131"/>
  <c r="E4" i="131"/>
  <c r="E5" i="131"/>
  <c r="I6" i="131"/>
  <c r="E6" i="131"/>
  <c r="I7" i="131"/>
  <c r="E7" i="131"/>
  <c r="E8" i="131"/>
  <c r="E9" i="131"/>
  <c r="I10" i="131"/>
  <c r="E10" i="131"/>
  <c r="I11" i="131"/>
  <c r="E11" i="131"/>
  <c r="E12" i="131"/>
  <c r="E13" i="131"/>
  <c r="I14" i="131"/>
  <c r="E14" i="131"/>
  <c r="I15" i="131"/>
  <c r="E15" i="131"/>
  <c r="E2" i="131"/>
  <c r="F3" i="131"/>
  <c r="F4" i="131"/>
  <c r="F5" i="131"/>
  <c r="F6" i="131"/>
  <c r="F7" i="131"/>
  <c r="F8" i="131"/>
  <c r="F9" i="131"/>
  <c r="F10" i="131"/>
  <c r="F11" i="131"/>
  <c r="F12" i="131"/>
  <c r="F13" i="131"/>
  <c r="F14" i="131"/>
  <c r="F15" i="131"/>
  <c r="F2" i="131"/>
  <c r="I12" i="131"/>
  <c r="D12" i="131"/>
  <c r="J12" i="131"/>
  <c r="C12" i="131"/>
  <c r="I13" i="131"/>
  <c r="D13" i="131"/>
  <c r="J13" i="131"/>
  <c r="C13" i="131"/>
  <c r="D14" i="131"/>
  <c r="J14" i="131"/>
  <c r="C14" i="131"/>
  <c r="D15" i="131"/>
  <c r="J15" i="131"/>
  <c r="C15" i="131"/>
  <c r="I2" i="131"/>
  <c r="D2" i="131"/>
  <c r="J2" i="131"/>
  <c r="C2" i="131"/>
  <c r="I3" i="131"/>
  <c r="D3" i="131"/>
  <c r="J3" i="131"/>
  <c r="C3" i="131"/>
  <c r="I4" i="131"/>
  <c r="D4" i="131"/>
  <c r="J4" i="131"/>
  <c r="C4" i="131"/>
  <c r="I5" i="131"/>
  <c r="D5" i="131"/>
  <c r="J5" i="131"/>
  <c r="C5" i="131"/>
  <c r="D6" i="131"/>
  <c r="J6" i="131"/>
  <c r="C6" i="131"/>
  <c r="D7" i="131"/>
  <c r="J7" i="131"/>
  <c r="C7" i="131"/>
  <c r="I8" i="131"/>
  <c r="D8" i="131"/>
  <c r="J8" i="131"/>
  <c r="C8" i="131"/>
  <c r="I9" i="131"/>
  <c r="D9" i="131"/>
  <c r="J9" i="131"/>
  <c r="C9" i="131"/>
  <c r="D10" i="131"/>
  <c r="J10" i="131"/>
  <c r="C10" i="131"/>
  <c r="D11" i="131"/>
  <c r="J11" i="131"/>
  <c r="C11" i="131"/>
  <c r="F6" i="130"/>
  <c r="E6" i="130"/>
  <c r="H15" i="131"/>
  <c r="H14" i="131"/>
  <c r="C3" i="103"/>
  <c r="K14" i="131"/>
  <c r="L14" i="131"/>
  <c r="M14" i="131"/>
  <c r="N14" i="131"/>
  <c r="P14" i="131"/>
  <c r="K15" i="131"/>
  <c r="L15" i="131"/>
  <c r="M15" i="131"/>
  <c r="N15" i="131"/>
  <c r="P15" i="131"/>
  <c r="H12" i="131"/>
  <c r="K12" i="131"/>
  <c r="L12" i="131"/>
  <c r="M12" i="131"/>
  <c r="N12" i="131"/>
  <c r="P12" i="131"/>
  <c r="H13" i="131"/>
  <c r="K13" i="131"/>
  <c r="L13" i="131"/>
  <c r="M13" i="131"/>
  <c r="N13" i="131"/>
  <c r="P13" i="131"/>
  <c r="H10" i="131"/>
  <c r="K10" i="131"/>
  <c r="L10" i="131"/>
  <c r="M10" i="131"/>
  <c r="N10" i="131"/>
  <c r="P10" i="131"/>
  <c r="H11" i="131"/>
  <c r="K11" i="131"/>
  <c r="L11" i="131"/>
  <c r="M11" i="131"/>
  <c r="N11" i="131"/>
  <c r="P11" i="131"/>
  <c r="P9" i="131"/>
  <c r="N9" i="131"/>
  <c r="M9" i="131"/>
  <c r="L9" i="131"/>
  <c r="K9" i="131"/>
  <c r="H9" i="131"/>
  <c r="P8" i="131"/>
  <c r="N8" i="131"/>
  <c r="M8" i="131"/>
  <c r="L8" i="131"/>
  <c r="K8" i="131"/>
  <c r="H8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5" i="131"/>
  <c r="N5" i="131"/>
  <c r="M5" i="131"/>
  <c r="L5" i="131"/>
  <c r="K5" i="131"/>
  <c r="H5" i="131"/>
  <c r="P4" i="131"/>
  <c r="N4" i="131"/>
  <c r="M4" i="131"/>
  <c r="L4" i="131"/>
  <c r="K4" i="131"/>
  <c r="H4" i="131"/>
  <c r="P3" i="131"/>
  <c r="N3" i="131"/>
  <c r="M3" i="131"/>
  <c r="L3" i="131"/>
  <c r="K3" i="131"/>
  <c r="H3" i="131"/>
  <c r="P2" i="131"/>
  <c r="N2" i="131"/>
  <c r="M2" i="131"/>
  <c r="L2" i="131"/>
  <c r="K2" i="131"/>
  <c r="H2" i="131"/>
  <c r="F5" i="130"/>
  <c r="A36" i="130"/>
  <c r="E5" i="130"/>
  <c r="G26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H26" i="130"/>
  <c r="G29" i="130"/>
  <c r="E29" i="130"/>
  <c r="H29" i="130"/>
  <c r="G28" i="130"/>
  <c r="E28" i="130"/>
  <c r="H28" i="130"/>
  <c r="G17" i="130"/>
  <c r="E17" i="130"/>
  <c r="H17" i="130"/>
  <c r="G18" i="130"/>
  <c r="E18" i="130"/>
  <c r="H18" i="130"/>
  <c r="B5" i="130"/>
  <c r="G24" i="130"/>
  <c r="E24" i="130"/>
  <c r="H24" i="130"/>
  <c r="G25" i="130"/>
  <c r="E25" i="130"/>
  <c r="H25" i="130"/>
  <c r="G19" i="130"/>
  <c r="E19" i="130"/>
  <c r="H19" i="130"/>
  <c r="G20" i="130"/>
  <c r="E20" i="130"/>
  <c r="H20" i="130"/>
  <c r="G21" i="130"/>
  <c r="E21" i="130"/>
  <c r="H21" i="130"/>
  <c r="G27" i="130"/>
  <c r="E27" i="130"/>
  <c r="H27" i="130"/>
  <c r="G22" i="130"/>
  <c r="E22" i="130"/>
  <c r="H22" i="130"/>
  <c r="B23" i="130"/>
  <c r="G23" i="130"/>
  <c r="E23" i="130"/>
  <c r="H23" i="130"/>
  <c r="F42" i="130"/>
  <c r="B10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<sst xmlns="http://schemas.openxmlformats.org/spreadsheetml/2006/main" count="304" uniqueCount="211">
  <si>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</si>
  <si>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</si>
  <si>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</si>
  <si>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</si>
  <si>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</si>
  <si>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</si>
  <si>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</si>
  <si>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</si>
  <si>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</si>
  <si>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</si>
  <si>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</si>
  <si>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</si>
  <si>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</si>
  <si>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</si>
  <si>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</si>
  <si>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</si>
  <si>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</si>
  <si>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</si>
  <si>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</si>
  <si>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</si>
  <si>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</si>
  <si>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</si>
  <si>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</si>
  <si>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</si>
  <si>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</si>
  <si>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</si>
  <si>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</si>
  <si>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</si>
  <si>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</si>
  <si>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</si>
  <si>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</si>
  <si>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</si>
  <si>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</si>
  <si>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</si>
  <si>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</si>
  <si>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</si>
  <si>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</si>
  <si>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</si>
  <si>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</si>
  <si>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</si>
  <si>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</si>
  <si>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</si>
  <si>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</si>
  <si>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</si>
  <si>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</si>
  <si>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</si>
  <si>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</si>
  <si>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</si>
  <si>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</si>
  <si>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</si>
  <si>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</si>
  <si>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</si>
  <si>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</si>
  <si>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</si>
  <si>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</si>
  <si>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</si>
  <si>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</si>
  <si>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</si>
  <si>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</si>
  <si>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</si>
  <si>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</si>
  <si>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</si>
  <si>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</si>
  <si>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</si>
  <si>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</si>
  <si>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</si>
  <si>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</si>
  <si>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</si>
  <si>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</si>
  <si>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</si>
  <si>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</si>
  <si>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skill_level</t>
  </si>
  <si>
    <t>level</t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</si>
  <si>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</si>
  <si>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</si>
  <si>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</si>
  <si>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</si>
  <si>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</si>
  <si>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</si>
  <si>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</si>
  <si>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</si>
  <si>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</si>
  <si>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</si>
  <si>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</si>
  <si>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</si>
  <si>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</si>
  <si>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</si>
  <si>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</si>
  <si>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</si>
  <si>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</si>
  <si>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</si>
  <si>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</si>
  <si>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</si>
  <si>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</si>
  <si>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</si>
  <si>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</si>
  <si>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</si>
  <si>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</si>
  <si>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</si>
  <si>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</si>
  <si>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</si>
  <si>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</si>
  <si>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</si>
  <si>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</si>
  <si>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</si>
  <si>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</si>
  <si>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</si>
  <si>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</si>
  <si>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</si>
  <si>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</si>
  <si>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</si>
  <si>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</si>
  <si>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</si>
  <si>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</si>
  <si>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</si>
  <si>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</si>
  <si>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</si>
  <si>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</si>
  <si>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</si>
  <si>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</si>
  <si>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</si>
  <si>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</si>
  <si>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</si>
  <si>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</si>
  <si>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</si>
  <si>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</si>
  <si>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</si>
  <si>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</si>
  <si>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</si>
  <si>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</si>
  <si>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</si>
  <si>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</si>
  <si>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</si>
  <si>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</si>
  <si>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</si>
  <si>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</si>
  <si>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</si>
  <si>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</si>
  <si>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</si>
  <si>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</si>
  <si>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</si>
  <si>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</si>
  <si>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</si>
  <si>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</si>
  <si>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</si>
  <si>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</si>
  <si>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</si>
  <si>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</si>
  <si>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</si>
  <si>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</si>
  <si>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</si>
  <si>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</si>
  <si>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</si>
  <si>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</si>
  <si>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</si>
  <si>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</si>
  <si>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</si>
  <si>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</si>
  <si>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</si>
  <si>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</si>
  <si>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</si>
  <si>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</si>
  <si>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</si>
  <si>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</si>
  <si>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</si>
  <si>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</si>
  <si>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</si>
  <si>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</si>
  <si>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</si>
  <si>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</si>
  <si>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</si>
  <si>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</si>
  <si>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</si>
  <si>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</si>
  <si>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</si>
  <si>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</si>
  <si>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</si>
  <si>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</si>
  <si>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</si>
  <si>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</si>
  <si>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</si>
  <si>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</si>
  <si>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</si>
  <si>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</si>
  <si>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</si>
  <si>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</si>
  <si>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</si>
  <si>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</si>
  <si>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</si>
  <si>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</si>
  <si>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</si>
  <si>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</si>
  <si>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skip</t>
    <phoneticPr fontId="18"/>
  </si>
  <si>
    <t>hogehoge</t>
    <phoneticPr fontId="18"/>
  </si>
  <si>
    <t>いつもの確率</t>
    <rPh sb="4" eb="6">
      <t>カクリツ</t>
    </rPh>
    <phoneticPr fontId="18"/>
  </si>
  <si>
    <t>tables_337010</t>
    <phoneticPr fontId="18"/>
  </si>
  <si>
    <t>skip</t>
    <phoneticPr fontId="18"/>
  </si>
  <si>
    <t>gacha_settle_tables_</t>
    <phoneticPr fontId="18"/>
  </si>
  <si>
    <t>table_no</t>
    <phoneticPr fontId="18"/>
  </si>
  <si>
    <t>drop_label2</t>
    <phoneticPr fontId="18"/>
  </si>
  <si>
    <t>color2</t>
    <phoneticPr fontId="18"/>
  </si>
  <si>
    <t>name</t>
    <phoneticPr fontId="18"/>
  </si>
  <si>
    <t>drop_label</t>
    <phoneticPr fontId="18"/>
  </si>
  <si>
    <t>rare</t>
    <phoneticPr fontId="18"/>
  </si>
  <si>
    <t>color</t>
    <phoneticPr fontId="18"/>
  </si>
  <si>
    <t>character_type_id</t>
    <phoneticPr fontId="18"/>
  </si>
  <si>
    <t>character_tribe_id</t>
    <phoneticPr fontId="18"/>
  </si>
  <si>
    <t>weight</t>
    <phoneticPr fontId="18"/>
  </si>
  <si>
    <t>unit_level</t>
    <phoneticPr fontId="18"/>
  </si>
  <si>
    <t>old</t>
    <phoneticPr fontId="18"/>
  </si>
  <si>
    <t>tables_settle_7107100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</si>
</sst>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6" fillId="0" borderId="0"/>
  </cellStyleXfs>
  <cellXfs count="85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3" xfId="0" applyFont="1" applyFill="1" applyBorder="1" applyAlignment="1">
      <alignment horizontal="right" vertical="center"/>
    </xf>
    <xf numFmtId="0" fontId="23" fillId="2" borderId="1" xfId="2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1" borderId="1" xfId="2978" applyFont="1" applyFill="1" applyBorder="1"/>
    <xf numFmtId="0" fontId="11" fillId="21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1" borderId="1" xfId="0" applyFont="1" applyFill="1" applyBorder="1"/>
    <xf numFmtId="0" fontId="50" fillId="22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0" fontId="0" fillId="27" borderId="1" xfId="0" applyNumberFormat="1" applyFill="1" applyBorder="1"/>
    <xf numFmtId="178" fontId="0" fillId="27" borderId="1" xfId="3575" applyNumberFormat="1" applyFont="1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4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4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10" fontId="0" fillId="29" borderId="1" xfId="3575" applyNumberFormat="1" applyFont="1" applyFill="1" applyBorder="1"/>
    <xf numFmtId="177" fontId="0" fillId="29" borderId="1" xfId="0" applyNumberFormat="1" applyFill="1" applyBorder="1"/>
    <xf numFmtId="177" fontId="0" fillId="0" borderId="0" xfId="3575" applyNumberFormat="1" applyFont="1"/>
    <xf numFmtId="178" fontId="55" fillId="30" borderId="1" xfId="0" applyNumberFormat="1" applyFont="1" applyFill="1" applyBorder="1"/>
    <xf numFmtId="0" fontId="5" fillId="0" borderId="1" xfId="3036" applyFont="1" applyBorder="1"/>
    <xf numFmtId="0" fontId="5" fillId="0" borderId="1" xfId="2978" applyFont="1" applyBorder="1"/>
    <xf numFmtId="178" fontId="0" fillId="4" borderId="0" xfId="0" applyNumberFormat="1" applyFill="1"/>
    <xf numFmtId="0" fontId="4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181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23" fillId="24" borderId="1" xfId="2" applyFont="1" applyFill="1" applyBorder="1" applyAlignment="1">
      <alignment vertical="center"/>
    </xf>
    <xf numFmtId="0" fontId="2" fillId="0" borderId="1" xfId="3036" applyFont="1" applyBorder="1"/>
    <xf numFmtId="0" fontId="1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red</v>
          </cell>
          <cell r="I561">
            <v>6</v>
          </cell>
          <cell r="J561" t="str">
            <v>Material</v>
          </cell>
          <cell r="K561" t="str">
            <v>exp</v>
          </cell>
          <cell r="L561" t="str">
            <v>強化素材タイプ</v>
          </cell>
          <cell r="M561" t="str">
            <v>unknown</v>
          </cell>
        </row>
        <row r="562">
          <cell r="A562">
            <v>561</v>
          </cell>
          <cell r="B562" t="str">
            <v>ja</v>
          </cell>
          <cell r="C562" t="str">
            <v>未定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green</v>
          </cell>
          <cell r="I562">
            <v>6</v>
          </cell>
          <cell r="J562" t="str">
            <v>Material</v>
          </cell>
          <cell r="K562" t="str">
            <v>exp</v>
          </cell>
          <cell r="L562" t="str">
            <v>強化素材タイプ</v>
          </cell>
          <cell r="M562" t="str">
            <v>unknown</v>
          </cell>
        </row>
        <row r="563">
          <cell r="A563">
            <v>562</v>
          </cell>
          <cell r="B563" t="str">
            <v>ja</v>
          </cell>
          <cell r="C563" t="str">
            <v>未定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6</v>
          </cell>
          <cell r="J563" t="str">
            <v>Material</v>
          </cell>
          <cell r="K563" t="str">
            <v>exp</v>
          </cell>
          <cell r="L563" t="str">
            <v>強化素材タイプ</v>
          </cell>
          <cell r="M563" t="str">
            <v>unknown</v>
          </cell>
        </row>
        <row r="564">
          <cell r="A564">
            <v>563</v>
          </cell>
          <cell r="B564" t="str">
            <v>ja</v>
          </cell>
          <cell r="C564" t="str">
            <v>未定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6</v>
          </cell>
          <cell r="J564" t="str">
            <v>Material</v>
          </cell>
          <cell r="K564" t="str">
            <v>exp</v>
          </cell>
          <cell r="L564" t="str">
            <v>強化素材タイプ</v>
          </cell>
          <cell r="M564" t="str">
            <v>unknown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unknown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hero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hero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devil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ラグランジュチャレンジ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ラグランジュチャレンジ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ラグランジュチャレンジ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ラグランジュチャレンジ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ラグランジュチャレンジ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ラグランジュチャレンジ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ラグランジュチャレンジ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ラグランジュチャレンジ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女性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ラグランジュチャレンジ</v>
          </cell>
          <cell r="M1069" t="str">
            <v>human</v>
          </cell>
        </row>
        <row r="1070">
          <cell r="A1070">
            <v>6011</v>
          </cell>
          <cell r="B1070" t="str">
            <v>ja</v>
          </cell>
          <cell r="C1070" t="str">
            <v>パトドッグリーダー ポチ</v>
          </cell>
          <cell r="D1070" t="str">
            <v>ガチャ:フィーバーフェス02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blue</v>
          </cell>
          <cell r="I1070">
            <v>2</v>
          </cell>
          <cell r="J1070" t="str">
            <v>Drop1T</v>
          </cell>
          <cell r="K1070" t="str">
            <v>ra002</v>
          </cell>
          <cell r="L1070" t="str">
            <v>Uチャレンジ</v>
          </cell>
          <cell r="M1070" t="str">
            <v>unknown</v>
          </cell>
        </row>
        <row r="1071">
          <cell r="A1071">
            <v>6012</v>
          </cell>
          <cell r="B1071" t="str">
            <v>ja</v>
          </cell>
          <cell r="C1071" t="str">
            <v>ミミ</v>
          </cell>
          <cell r="D1071" t="str">
            <v>ガチャ:フィーバーフェス02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yellow</v>
          </cell>
          <cell r="I1071">
            <v>1</v>
          </cell>
          <cell r="J1071" t="str">
            <v>Drop1W</v>
          </cell>
          <cell r="K1071" t="str">
            <v>ra002</v>
          </cell>
          <cell r="L1071" t="str">
            <v>Uチャレンジ</v>
          </cell>
          <cell r="M1071" t="str">
            <v>animal</v>
          </cell>
        </row>
        <row r="1072">
          <cell r="A1072">
            <v>6013</v>
          </cell>
          <cell r="B1072" t="str">
            <v>ja</v>
          </cell>
          <cell r="C1072" t="str">
            <v>護衛機人 スケアクロウ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blue</v>
          </cell>
          <cell r="I1072">
            <v>2</v>
          </cell>
          <cell r="J1072" t="str">
            <v>Drop1N</v>
          </cell>
          <cell r="K1072" t="str">
            <v>ra002</v>
          </cell>
          <cell r="L1072" t="str">
            <v>Uチャレンジ</v>
          </cell>
          <cell r="M1072" t="str">
            <v>machine</v>
          </cell>
        </row>
        <row r="1073">
          <cell r="A1073">
            <v>6014</v>
          </cell>
          <cell r="B1073" t="str">
            <v>ja</v>
          </cell>
          <cell r="C1073" t="str">
            <v>月下の人狼 ローレンス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4</v>
          </cell>
          <cell r="J1073" t="str">
            <v>PremiumW</v>
          </cell>
          <cell r="K1073" t="str">
            <v>ra002</v>
          </cell>
          <cell r="L1073" t="str">
            <v>Uチャレンジ</v>
          </cell>
          <cell r="M1073" t="str">
            <v>animal</v>
          </cell>
        </row>
        <row r="1074">
          <cell r="A1074">
            <v>6015</v>
          </cell>
          <cell r="B1074" t="str">
            <v>ja</v>
          </cell>
          <cell r="C1074" t="str">
            <v>フレイヤ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4</v>
          </cell>
          <cell r="J1074" t="str">
            <v>PremiumSS</v>
          </cell>
          <cell r="K1074" t="str">
            <v>ra002</v>
          </cell>
          <cell r="L1074" t="str">
            <v>Uチャレンジ</v>
          </cell>
          <cell r="M1074" t="str">
            <v>animal</v>
          </cell>
        </row>
        <row r="1075">
          <cell r="A1075">
            <v>6016</v>
          </cell>
          <cell r="B1075" t="str">
            <v>ja</v>
          </cell>
          <cell r="C1075" t="str">
            <v>根原論理 ユークリッド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blue</v>
          </cell>
          <cell r="I1075">
            <v>5</v>
          </cell>
          <cell r="J1075" t="str">
            <v>PremiumSSS</v>
          </cell>
          <cell r="K1075" t="str">
            <v>ra002</v>
          </cell>
          <cell r="L1075" t="str">
            <v>Uチャレンジ</v>
          </cell>
          <cell r="M1075" t="str">
            <v>human</v>
          </cell>
        </row>
        <row r="1076">
          <cell r="A1076">
            <v>6017</v>
          </cell>
          <cell r="B1076" t="str">
            <v>ja</v>
          </cell>
          <cell r="C1076" t="str">
            <v>不朽の極論 ユークリッド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6</v>
          </cell>
          <cell r="J1076" t="str">
            <v>PremiumSSS</v>
          </cell>
          <cell r="K1076" t="str">
            <v>ra002</v>
          </cell>
          <cell r="L1076" t="str">
            <v>Uチャレンジ</v>
          </cell>
          <cell r="M1076" t="str">
            <v>human</v>
          </cell>
        </row>
        <row r="1077">
          <cell r="A1077">
            <v>6018</v>
          </cell>
          <cell r="B1077" t="str">
            <v>ja</v>
          </cell>
          <cell r="C1077" t="str">
            <v>ハヅル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red</v>
          </cell>
          <cell r="I1077">
            <v>4</v>
          </cell>
          <cell r="J1077" t="str">
            <v>PremiumSS</v>
          </cell>
          <cell r="K1077" t="str">
            <v>ra002</v>
          </cell>
          <cell r="L1077" t="str">
            <v>Uチャレンジ</v>
          </cell>
          <cell r="M1077" t="str">
            <v>animal</v>
          </cell>
        </row>
        <row r="1078">
          <cell r="A1078">
            <v>6019</v>
          </cell>
          <cell r="B1078" t="str">
            <v>ja</v>
          </cell>
          <cell r="C1078" t="str">
            <v>天織羽鶴 ハヅル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red</v>
          </cell>
          <cell r="I1078">
            <v>5</v>
          </cell>
          <cell r="J1078" t="str">
            <v>PremiumSS</v>
          </cell>
          <cell r="K1078" t="str">
            <v>ra002</v>
          </cell>
          <cell r="L1078" t="str">
            <v>Uチャレンジ</v>
          </cell>
          <cell r="M1078" t="str">
            <v>animal</v>
          </cell>
        </row>
        <row r="1079">
          <cell r="A1079">
            <v>6020</v>
          </cell>
          <cell r="B1079" t="str">
            <v>ja</v>
          </cell>
          <cell r="C1079" t="str">
            <v>ミズチ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4</v>
          </cell>
          <cell r="J1079" t="str">
            <v>PremiumS</v>
          </cell>
          <cell r="K1079" t="str">
            <v>ra002</v>
          </cell>
          <cell r="L1079" t="str">
            <v>Uチャレンジ</v>
          </cell>
          <cell r="M1079" t="str">
            <v>dragon</v>
          </cell>
        </row>
        <row r="1080">
          <cell r="A1080">
            <v>8001</v>
          </cell>
          <cell r="B1080" t="str">
            <v>ja</v>
          </cell>
          <cell r="C1080" t="str">
            <v>媽祖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yellow</v>
          </cell>
          <cell r="I1080">
            <v>5</v>
          </cell>
          <cell r="J1080" t="str">
            <v>PremiumSS</v>
          </cell>
          <cell r="K1080" t="str">
            <v>attack</v>
          </cell>
          <cell r="L1080" t="str">
            <v>攻撃タイプ</v>
          </cell>
          <cell r="M1080" t="str">
            <v>god</v>
          </cell>
        </row>
        <row r="1081">
          <cell r="A1081">
            <v>8002</v>
          </cell>
          <cell r="B1081" t="str">
            <v>ja</v>
          </cell>
          <cell r="C1081" t="str">
            <v>天后 媽祖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PremiumSS</v>
          </cell>
          <cell r="K1081" t="str">
            <v>attack</v>
          </cell>
          <cell r="L1081" t="str">
            <v>攻撃タイプ</v>
          </cell>
          <cell r="M1081" t="str">
            <v>god</v>
          </cell>
        </row>
        <row r="1082">
          <cell r="A1082">
            <v>8003</v>
          </cell>
          <cell r="B1082" t="str">
            <v>ja</v>
          </cell>
          <cell r="C1082" t="str">
            <v>蛟龍</v>
          </cell>
          <cell r="D1082" t="str">
            <v>イベント:ミクコラボ01</v>
          </cell>
          <cell r="E1082" t="str">
            <v>執行者</v>
          </cell>
          <cell r="F1082" t="str">
            <v>格好いい</v>
          </cell>
          <cell r="G1082" t="str">
            <v>不明</v>
          </cell>
          <cell r="H1082" t="str">
            <v>blue</v>
          </cell>
          <cell r="I1082">
            <v>5</v>
          </cell>
          <cell r="J1082" t="str">
            <v>DropWizS</v>
          </cell>
          <cell r="K1082" t="str">
            <v>hp</v>
          </cell>
          <cell r="L1082" t="str">
            <v>体力タイプ</v>
          </cell>
          <cell r="M1082" t="str">
            <v>dragon</v>
          </cell>
        </row>
        <row r="1083">
          <cell r="A1083">
            <v>8004</v>
          </cell>
          <cell r="B1083" t="str">
            <v>ja</v>
          </cell>
          <cell r="C1083" t="str">
            <v>深海蛟龍怪‧晏公</v>
          </cell>
          <cell r="D1083" t="str">
            <v>イベント:ミクコラボ01</v>
          </cell>
          <cell r="E1083" t="str">
            <v>執行者</v>
          </cell>
          <cell r="F1083" t="str">
            <v>格好いい</v>
          </cell>
          <cell r="G1083" t="str">
            <v>不明</v>
          </cell>
          <cell r="H1083" t="str">
            <v>blue</v>
          </cell>
          <cell r="I1083">
            <v>6</v>
          </cell>
          <cell r="J1083" t="str">
            <v>DropWizS</v>
          </cell>
          <cell r="K1083" t="str">
            <v>hp</v>
          </cell>
          <cell r="L1083" t="str">
            <v>体力タイプ</v>
          </cell>
          <cell r="M1083" t="str">
            <v>dragon</v>
          </cell>
        </row>
        <row r="1084">
          <cell r="A1084">
            <v>8005</v>
          </cell>
          <cell r="B1084" t="str">
            <v>ja</v>
          </cell>
          <cell r="C1084" t="str">
            <v>三蔵法師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不明</v>
          </cell>
          <cell r="H1084" t="str">
            <v>blue</v>
          </cell>
          <cell r="I1084">
            <v>5</v>
          </cell>
          <cell r="J1084" t="str">
            <v>PremiumSS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8006</v>
          </cell>
          <cell r="B1085" t="str">
            <v>ja</v>
          </cell>
          <cell r="C1085" t="str">
            <v>三蔵法師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不明</v>
          </cell>
          <cell r="H1085" t="str">
            <v>blue</v>
          </cell>
          <cell r="I1085">
            <v>6</v>
          </cell>
          <cell r="J1085" t="str">
            <v>PremiumSS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8007</v>
          </cell>
          <cell r="B1086" t="str">
            <v>ja</v>
          </cell>
          <cell r="C1086" t="str">
            <v>孫悟空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red</v>
          </cell>
          <cell r="I1086">
            <v>5</v>
          </cell>
          <cell r="J1086" t="str">
            <v>DropWizS</v>
          </cell>
          <cell r="K1086" t="str">
            <v>attack</v>
          </cell>
          <cell r="L1086" t="str">
            <v>攻撃タイプ</v>
          </cell>
          <cell r="M1086" t="str">
            <v>animal</v>
          </cell>
        </row>
        <row r="1087">
          <cell r="A1087">
            <v>8008</v>
          </cell>
          <cell r="B1087" t="str">
            <v>ja</v>
          </cell>
          <cell r="C1087" t="str">
            <v>孫悟空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red</v>
          </cell>
          <cell r="I1087">
            <v>6</v>
          </cell>
          <cell r="J1087" t="str">
            <v>DropWizS</v>
          </cell>
          <cell r="K1087" t="str">
            <v>attack</v>
          </cell>
          <cell r="L1087" t="str">
            <v>攻撃タイプ</v>
          </cell>
          <cell r="M1087" t="str">
            <v>animal</v>
          </cell>
        </row>
        <row r="1088">
          <cell r="A1088">
            <v>8009</v>
          </cell>
          <cell r="B1088" t="str">
            <v>ja</v>
          </cell>
          <cell r="C1088" t="str">
            <v>七星娘娘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god</v>
          </cell>
        </row>
        <row r="1089">
          <cell r="A1089">
            <v>8010</v>
          </cell>
          <cell r="B1089" t="str">
            <v>ja</v>
          </cell>
          <cell r="C1089" t="str">
            <v>七星娘娘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yellow</v>
          </cell>
          <cell r="I1089">
            <v>6</v>
          </cell>
          <cell r="J1089" t="str">
            <v>PremiumSS</v>
          </cell>
          <cell r="K1089" t="str">
            <v>attack</v>
          </cell>
          <cell r="L1089" t="str">
            <v>攻撃タイプ</v>
          </cell>
          <cell r="M1089" t="str">
            <v>god</v>
          </cell>
        </row>
        <row r="1090">
          <cell r="A1090">
            <v>8011</v>
          </cell>
          <cell r="B1090" t="str">
            <v>ja</v>
          </cell>
          <cell r="C1090" t="str">
            <v>月下老人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green</v>
          </cell>
          <cell r="I1090">
            <v>5</v>
          </cell>
          <cell r="J1090" t="str">
            <v>DropWizS</v>
          </cell>
          <cell r="K1090" t="str">
            <v>heal</v>
          </cell>
          <cell r="L1090" t="str">
            <v>回復タイプ</v>
          </cell>
          <cell r="M1090" t="str">
            <v>god</v>
          </cell>
        </row>
        <row r="1091">
          <cell r="A1091">
            <v>8012</v>
          </cell>
          <cell r="B1091" t="str">
            <v>ja</v>
          </cell>
          <cell r="C1091" t="str">
            <v>良緣祈福 月下老人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yellow</v>
          </cell>
          <cell r="I1091">
            <v>6</v>
          </cell>
          <cell r="J1091" t="str">
            <v>DropWizS</v>
          </cell>
          <cell r="K1091" t="str">
            <v>heal</v>
          </cell>
          <cell r="L1091" t="str">
            <v>回復タイプ</v>
          </cell>
          <cell r="M1091" t="str">
            <v>god</v>
          </cell>
        </row>
        <row r="1092">
          <cell r="A1092">
            <v>8013</v>
          </cell>
          <cell r="B1092" t="str">
            <v>ja</v>
          </cell>
          <cell r="C1092" t="str">
            <v>初音ミクV3</v>
          </cell>
          <cell r="D1092" t="str">
            <v>初音ミクV3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yellow</v>
          </cell>
          <cell r="I1092">
            <v>4</v>
          </cell>
          <cell r="J1092" t="str">
            <v>DropWizS</v>
          </cell>
          <cell r="K1092" t="str">
            <v>balance</v>
          </cell>
          <cell r="L1092" t="str">
            <v>バランスタイプ</v>
          </cell>
          <cell r="M1092" t="str">
            <v>unknown</v>
          </cell>
        </row>
        <row r="1093">
          <cell r="A1093">
            <v>8014</v>
          </cell>
          <cell r="B1093" t="str">
            <v>ja</v>
          </cell>
          <cell r="C1093" t="str">
            <v>初音ミクV3</v>
          </cell>
          <cell r="D1093" t="str">
            <v>初音ミクV3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balance</v>
          </cell>
          <cell r="L1093" t="str">
            <v>バランスタイプ</v>
          </cell>
          <cell r="M1093" t="str">
            <v>unknown</v>
          </cell>
        </row>
        <row r="1094">
          <cell r="A1094">
            <v>8015</v>
          </cell>
          <cell r="B1094" t="str">
            <v>ja</v>
          </cell>
          <cell r="C1094" t="str">
            <v>初音ミク・アペンド</v>
          </cell>
          <cell r="D1094" t="str">
            <v>初音ミク・アペンド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4</v>
          </cell>
          <cell r="J1094" t="str">
            <v>PremiumSSS</v>
          </cell>
          <cell r="K1094" t="str">
            <v>technical</v>
          </cell>
          <cell r="L1094" t="str">
            <v>テクニカルタイプ</v>
          </cell>
          <cell r="M1094" t="str">
            <v>unknown</v>
          </cell>
        </row>
        <row r="1095">
          <cell r="A1095">
            <v>8016</v>
          </cell>
          <cell r="B1095" t="str">
            <v>ja</v>
          </cell>
          <cell r="C1095" t="str">
            <v>初音ミク・アペンド</v>
          </cell>
          <cell r="D1095" t="str">
            <v>初音ミク・アペンド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green</v>
          </cell>
          <cell r="I1095">
            <v>5</v>
          </cell>
          <cell r="J1095" t="str">
            <v>PremiumSSS</v>
          </cell>
          <cell r="K1095" t="str">
            <v>technical</v>
          </cell>
          <cell r="L1095" t="str">
            <v>テクニカルタイプ</v>
          </cell>
          <cell r="M1095" t="str">
            <v>unknown</v>
          </cell>
        </row>
        <row r="1096">
          <cell r="A1096">
            <v>8017</v>
          </cell>
          <cell r="B1096" t="str">
            <v>ja</v>
          </cell>
          <cell r="C1096" t="str">
            <v>初音ミク</v>
          </cell>
          <cell r="D1096" t="str">
            <v>初音ミク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green</v>
          </cell>
          <cell r="I1096">
            <v>4</v>
          </cell>
          <cell r="J1096" t="str">
            <v>PremiumSSS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8018</v>
          </cell>
          <cell r="B1097" t="str">
            <v>ja</v>
          </cell>
          <cell r="C1097" t="str">
            <v>初音ミク</v>
          </cell>
          <cell r="D1097" t="str">
            <v>初音ミク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green</v>
          </cell>
          <cell r="I1097">
            <v>5</v>
          </cell>
          <cell r="J1097" t="str">
            <v>PremiumSSS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8019</v>
          </cell>
          <cell r="B1098" t="str">
            <v>ja</v>
          </cell>
          <cell r="C1098" t="str">
            <v>鏡音リン</v>
          </cell>
          <cell r="D1098" t="str">
            <v>鏡音リン</v>
          </cell>
          <cell r="E1098" t="str">
            <v>執行者</v>
          </cell>
          <cell r="F1098" t="str">
            <v>格好いい</v>
          </cell>
          <cell r="G1098" t="str">
            <v>男性</v>
          </cell>
          <cell r="H1098" t="str">
            <v>yellow</v>
          </cell>
          <cell r="I1098">
            <v>4</v>
          </cell>
          <cell r="J1098" t="str">
            <v>PremiumSS</v>
          </cell>
          <cell r="K1098" t="str">
            <v>balance</v>
          </cell>
          <cell r="L1098" t="str">
            <v>バランスタイプ</v>
          </cell>
          <cell r="M1098" t="str">
            <v>unknown</v>
          </cell>
        </row>
        <row r="1099">
          <cell r="A1099">
            <v>8020</v>
          </cell>
          <cell r="B1099" t="str">
            <v>ja</v>
          </cell>
          <cell r="C1099" t="str">
            <v>鏡音リン</v>
          </cell>
          <cell r="D1099" t="str">
            <v>鏡音リン</v>
          </cell>
          <cell r="E1099" t="str">
            <v>執行者</v>
          </cell>
          <cell r="F1099" t="str">
            <v>格好いい</v>
          </cell>
          <cell r="G1099" t="str">
            <v>男性</v>
          </cell>
          <cell r="H1099" t="str">
            <v>yellow</v>
          </cell>
          <cell r="I1099">
            <v>5</v>
          </cell>
          <cell r="J1099" t="str">
            <v>PremiumSS</v>
          </cell>
          <cell r="K1099" t="str">
            <v>balance</v>
          </cell>
          <cell r="L1099" t="str">
            <v>バランスタイプ</v>
          </cell>
          <cell r="M1099" t="str">
            <v>unknown</v>
          </cell>
        </row>
        <row r="1100">
          <cell r="A1100">
            <v>8021</v>
          </cell>
          <cell r="B1100" t="str">
            <v>ja</v>
          </cell>
          <cell r="C1100" t="str">
            <v>鏡音レン</v>
          </cell>
          <cell r="D1100" t="str">
            <v>鏡音レン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yellow</v>
          </cell>
          <cell r="I1100">
            <v>4</v>
          </cell>
          <cell r="J1100" t="str">
            <v>PremiumSS</v>
          </cell>
          <cell r="K1100" t="str">
            <v>heal</v>
          </cell>
          <cell r="L1100" t="str">
            <v>回復タイプ</v>
          </cell>
          <cell r="M1100" t="str">
            <v>unknown</v>
          </cell>
        </row>
        <row r="1101">
          <cell r="A1101">
            <v>8022</v>
          </cell>
          <cell r="B1101" t="str">
            <v>ja</v>
          </cell>
          <cell r="C1101" t="str">
            <v>鏡音レン</v>
          </cell>
          <cell r="D1101" t="str">
            <v>鏡音レン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yellow</v>
          </cell>
          <cell r="I1101">
            <v>5</v>
          </cell>
          <cell r="J1101" t="str">
            <v>PremiumSS</v>
          </cell>
          <cell r="K1101" t="str">
            <v>heal</v>
          </cell>
          <cell r="L1101" t="str">
            <v>回復タイプ</v>
          </cell>
          <cell r="M1101" t="str">
            <v>unknown</v>
          </cell>
        </row>
        <row r="1102">
          <cell r="A1102">
            <v>8023</v>
          </cell>
          <cell r="B1102" t="str">
            <v>ja</v>
          </cell>
          <cell r="C1102" t="str">
            <v>巡音ルカ</v>
          </cell>
          <cell r="D1102" t="str">
            <v>巡音ルカ</v>
          </cell>
          <cell r="E1102" t="str">
            <v>執行者</v>
          </cell>
          <cell r="F1102" t="str">
            <v>格好いい</v>
          </cell>
          <cell r="G1102" t="str">
            <v>女性</v>
          </cell>
          <cell r="H1102" t="str">
            <v>red</v>
          </cell>
          <cell r="I1102">
            <v>3</v>
          </cell>
          <cell r="J1102" t="str">
            <v>PremiumS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8024</v>
          </cell>
          <cell r="B1103" t="str">
            <v>ja</v>
          </cell>
          <cell r="C1103" t="str">
            <v>巡音ルカ</v>
          </cell>
          <cell r="D1103" t="str">
            <v>巡音ルカ</v>
          </cell>
          <cell r="E1103" t="str">
            <v>執行者</v>
          </cell>
          <cell r="F1103" t="str">
            <v>格好いい</v>
          </cell>
          <cell r="G1103" t="str">
            <v>女性</v>
          </cell>
          <cell r="H1103" t="str">
            <v>red</v>
          </cell>
          <cell r="I1103">
            <v>4</v>
          </cell>
          <cell r="J1103" t="str">
            <v>PremiumS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8025</v>
          </cell>
          <cell r="B1104" t="str">
            <v>ja</v>
          </cell>
          <cell r="C1104" t="str">
            <v>MEIKO</v>
          </cell>
          <cell r="D1104" t="str">
            <v>MEIKO</v>
          </cell>
          <cell r="E1104" t="str">
            <v>執行者</v>
          </cell>
          <cell r="F1104" t="str">
            <v>格好いい</v>
          </cell>
          <cell r="G1104" t="str">
            <v>男性</v>
          </cell>
          <cell r="H1104" t="str">
            <v>red</v>
          </cell>
          <cell r="I1104">
            <v>3</v>
          </cell>
          <cell r="J1104" t="str">
            <v>PremiumS</v>
          </cell>
          <cell r="K1104" t="str">
            <v>hp</v>
          </cell>
          <cell r="L1104" t="str">
            <v>体力タイプ</v>
          </cell>
          <cell r="M1104" t="str">
            <v>unknown</v>
          </cell>
        </row>
        <row r="1105">
          <cell r="A1105">
            <v>8026</v>
          </cell>
          <cell r="B1105" t="str">
            <v>ja</v>
          </cell>
          <cell r="C1105" t="str">
            <v>MEIKO</v>
          </cell>
          <cell r="D1105" t="str">
            <v>MEIKO</v>
          </cell>
          <cell r="E1105" t="str">
            <v>執行者</v>
          </cell>
          <cell r="F1105" t="str">
            <v>格好いい</v>
          </cell>
          <cell r="G1105" t="str">
            <v>男性</v>
          </cell>
          <cell r="H1105" t="str">
            <v>red</v>
          </cell>
          <cell r="I1105">
            <v>4</v>
          </cell>
          <cell r="J1105" t="str">
            <v>PremiumS</v>
          </cell>
          <cell r="K1105" t="str">
            <v>hp</v>
          </cell>
          <cell r="L1105" t="str">
            <v>体力タイプ</v>
          </cell>
          <cell r="M1105" t="str">
            <v>unknown</v>
          </cell>
        </row>
        <row r="1106">
          <cell r="A1106">
            <v>8027</v>
          </cell>
          <cell r="B1106" t="str">
            <v>ja</v>
          </cell>
          <cell r="C1106" t="str">
            <v>KAITO</v>
          </cell>
          <cell r="D1106" t="str">
            <v>KAITO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blue</v>
          </cell>
          <cell r="I1106">
            <v>3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unknown</v>
          </cell>
        </row>
        <row r="1107">
          <cell r="A1107">
            <v>8028</v>
          </cell>
          <cell r="B1107" t="str">
            <v>ja</v>
          </cell>
          <cell r="C1107" t="str">
            <v>KAITO</v>
          </cell>
          <cell r="D1107" t="str">
            <v>KAITO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blue</v>
          </cell>
          <cell r="I1107">
            <v>4</v>
          </cell>
          <cell r="J1107" t="str">
            <v>PremiumS</v>
          </cell>
          <cell r="K1107" t="str">
            <v>technical</v>
          </cell>
          <cell r="L1107" t="str">
            <v>テクニカルタイプ</v>
          </cell>
          <cell r="M1107" t="str">
            <v>unknown</v>
          </cell>
        </row>
        <row r="1108">
          <cell r="A1108">
            <v>8029</v>
          </cell>
          <cell r="B1108" t="str">
            <v>ja</v>
          </cell>
          <cell r="C1108" t="str">
            <v>Expoミク</v>
          </cell>
          <cell r="D1108" t="str">
            <v>Expoミク</v>
          </cell>
          <cell r="E1108" t="str">
            <v>執行者</v>
          </cell>
          <cell r="F1108" t="str">
            <v>格好いい</v>
          </cell>
          <cell r="G1108" t="str">
            <v>女性</v>
          </cell>
          <cell r="H1108" t="str">
            <v>blue</v>
          </cell>
          <cell r="I1108">
            <v>4</v>
          </cell>
          <cell r="J1108" t="str">
            <v>Drop2N</v>
          </cell>
          <cell r="K1108" t="str">
            <v>heal</v>
          </cell>
          <cell r="L1108" t="str">
            <v>回復タイプ</v>
          </cell>
          <cell r="M1108" t="str">
            <v>unknown</v>
          </cell>
        </row>
        <row r="1109">
          <cell r="A1109">
            <v>8030</v>
          </cell>
          <cell r="B1109" t="str">
            <v>ja</v>
          </cell>
          <cell r="C1109" t="str">
            <v>Expoミク</v>
          </cell>
          <cell r="D1109" t="str">
            <v>Expoミク</v>
          </cell>
          <cell r="E1109" t="str">
            <v>執行者</v>
          </cell>
          <cell r="F1109" t="str">
            <v>格好いい</v>
          </cell>
          <cell r="G1109" t="str">
            <v>女性</v>
          </cell>
          <cell r="H1109" t="str">
            <v>blue</v>
          </cell>
          <cell r="I1109">
            <v>5</v>
          </cell>
          <cell r="J1109" t="str">
            <v>Drop2N</v>
          </cell>
          <cell r="K1109" t="str">
            <v>heal</v>
          </cell>
          <cell r="L1109" t="str">
            <v>回復タイプ</v>
          </cell>
          <cell r="M110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59" customWidth="1"/>
    <col min="2" max="16384" width="13" style="59"/>
  </cols>
  <sheetData>
    <row r="1" spans="1:13" x14ac:dyDescent="0.15">
      <c r="A1" s="59" t="s">
        <v>90</v>
      </c>
      <c r="B1" s="59" t="s">
        <v>91</v>
      </c>
    </row>
    <row r="2" spans="1:13" x14ac:dyDescent="0.15">
      <c r="A2" s="59" t="s">
        <v>92</v>
      </c>
      <c r="B2" s="59" t="s">
        <v>93</v>
      </c>
      <c r="C2" s="59" t="s">
        <v>94</v>
      </c>
      <c r="D2" s="59" t="s">
        <v>95</v>
      </c>
      <c r="E2" s="59" t="s">
        <v>96</v>
      </c>
      <c r="F2" s="59" t="s">
        <v>97</v>
      </c>
      <c r="G2" s="59" t="s">
        <v>98</v>
      </c>
      <c r="H2" s="59" t="s">
        <v>99</v>
      </c>
    </row>
    <row r="3" spans="1:13" x14ac:dyDescent="0.15">
      <c r="A3" s="59">
        <v>3</v>
      </c>
      <c r="B3" s="60" t="s">
        <v>100</v>
      </c>
      <c r="C3" s="60" t="s">
        <v>101</v>
      </c>
      <c r="D3" s="59">
        <v>0</v>
      </c>
      <c r="E3" s="60" t="s">
        <v>102</v>
      </c>
      <c r="F3" s="59">
        <v>0</v>
      </c>
      <c r="G3" s="59">
        <v>0</v>
      </c>
      <c r="H3" s="61">
        <v>0.5</v>
      </c>
    </row>
    <row r="4" spans="1:13" x14ac:dyDescent="0.15">
      <c r="A4" s="59">
        <v>4</v>
      </c>
      <c r="B4" s="60" t="s">
        <v>103</v>
      </c>
      <c r="C4" s="60" t="s">
        <v>104</v>
      </c>
      <c r="D4" s="60" t="s">
        <v>105</v>
      </c>
      <c r="E4" s="60" t="s">
        <v>106</v>
      </c>
      <c r="F4" s="60" t="s">
        <v>107</v>
      </c>
      <c r="G4" s="59">
        <v>0</v>
      </c>
      <c r="H4" s="61">
        <v>0.45</v>
      </c>
    </row>
    <row r="5" spans="1:13" x14ac:dyDescent="0.15">
      <c r="A5" s="59">
        <v>5</v>
      </c>
      <c r="B5" s="62">
        <v>0</v>
      </c>
      <c r="C5" s="60" t="s">
        <v>108</v>
      </c>
      <c r="D5" s="60" t="s">
        <v>109</v>
      </c>
      <c r="E5" s="60" t="s">
        <v>110</v>
      </c>
      <c r="F5" s="60" t="s">
        <v>111</v>
      </c>
      <c r="G5" s="60" t="s">
        <v>112</v>
      </c>
      <c r="H5" s="61">
        <v>0.05</v>
      </c>
    </row>
    <row r="6" spans="1:13" x14ac:dyDescent="0.15">
      <c r="B6" s="61" t="s">
        <v>113</v>
      </c>
      <c r="C6" s="61" t="s">
        <v>113</v>
      </c>
      <c r="D6" s="61" t="s">
        <v>114</v>
      </c>
      <c r="E6" s="61" t="s">
        <v>113</v>
      </c>
      <c r="F6" s="61" t="s">
        <v>113</v>
      </c>
      <c r="G6" s="63" t="s">
        <v>115</v>
      </c>
      <c r="H6" s="61">
        <v>1</v>
      </c>
    </row>
    <row r="7" spans="1:13" x14ac:dyDescent="0.15">
      <c r="B7" s="61"/>
      <c r="C7" s="61"/>
      <c r="D7" s="61"/>
      <c r="E7" s="61"/>
      <c r="F7" s="61"/>
      <c r="G7" s="63"/>
      <c r="H7" s="61"/>
    </row>
    <row r="8" spans="1:13" x14ac:dyDescent="0.15">
      <c r="A8" s="59" t="s">
        <v>116</v>
      </c>
      <c r="B8" s="61"/>
      <c r="C8" s="61"/>
      <c r="D8" s="61"/>
      <c r="E8" s="61"/>
      <c r="F8" s="61"/>
      <c r="G8" s="63"/>
      <c r="H8" s="61"/>
    </row>
    <row r="9" spans="1:13" x14ac:dyDescent="0.15">
      <c r="A9" s="59" t="s">
        <v>117</v>
      </c>
      <c r="B9" s="61"/>
      <c r="C9" s="61"/>
      <c r="D9" s="61"/>
      <c r="E9" s="61"/>
      <c r="F9" s="61"/>
      <c r="G9" s="63"/>
      <c r="H9" s="61"/>
    </row>
    <row r="10" spans="1:13" x14ac:dyDescent="0.15">
      <c r="A10" s="59" t="s">
        <v>118</v>
      </c>
      <c r="B10" s="61"/>
      <c r="C10" s="61"/>
      <c r="D10" s="61"/>
      <c r="E10" s="61"/>
      <c r="F10" s="61"/>
      <c r="G10" s="63"/>
      <c r="H10" s="61"/>
    </row>
    <row r="11" spans="1:13" x14ac:dyDescent="0.15">
      <c r="A11" s="59" t="s">
        <v>119</v>
      </c>
      <c r="B11" s="61"/>
      <c r="C11" s="61"/>
      <c r="D11" s="61"/>
      <c r="E11" s="61"/>
      <c r="F11" s="61"/>
      <c r="G11" s="63"/>
      <c r="H11" s="61"/>
    </row>
    <row r="12" spans="1:13" x14ac:dyDescent="0.15">
      <c r="A12" s="59" t="s">
        <v>112</v>
      </c>
      <c r="B12" s="61" t="s">
        <v>120</v>
      </c>
      <c r="C12" s="61" t="s">
        <v>121</v>
      </c>
      <c r="D12" s="61"/>
      <c r="E12" s="61"/>
      <c r="F12" s="61"/>
      <c r="G12" s="63"/>
      <c r="H12" s="61"/>
    </row>
    <row r="13" spans="1:13" x14ac:dyDescent="0.15">
      <c r="A13" s="59" t="s">
        <v>122</v>
      </c>
      <c r="B13" s="59" t="s">
        <v>123</v>
      </c>
      <c r="C13" s="59" t="s">
        <v>124</v>
      </c>
    </row>
    <row r="14" spans="1:13" x14ac:dyDescent="0.15">
      <c r="A14" s="59" t="s">
        <v>125</v>
      </c>
      <c r="B14" s="59" t="s">
        <v>120</v>
      </c>
      <c r="C14" s="62" t="s">
        <v>126</v>
      </c>
      <c r="E14" s="62"/>
      <c r="F14" s="62"/>
      <c r="M14" s="61"/>
    </row>
    <row r="15" spans="1:13" x14ac:dyDescent="0.15">
      <c r="A15" s="59" t="s">
        <v>102</v>
      </c>
      <c r="B15" s="61" t="s">
        <v>120</v>
      </c>
      <c r="C15" s="61" t="s">
        <v>127</v>
      </c>
      <c r="H15" s="64"/>
      <c r="M15" s="61"/>
    </row>
    <row r="16" spans="1:13" x14ac:dyDescent="0.15">
      <c r="A16" s="59" t="s">
        <v>106</v>
      </c>
      <c r="B16" s="61" t="s">
        <v>120</v>
      </c>
      <c r="C16" s="61" t="s">
        <v>128</v>
      </c>
      <c r="M16" s="61"/>
    </row>
    <row r="17" spans="1:13" x14ac:dyDescent="0.15">
      <c r="A17" s="59" t="s">
        <v>129</v>
      </c>
      <c r="B17" s="61" t="s">
        <v>120</v>
      </c>
      <c r="C17" s="61" t="s">
        <v>130</v>
      </c>
      <c r="M17" s="61"/>
    </row>
    <row r="18" spans="1:13" x14ac:dyDescent="0.15">
      <c r="B18" s="61"/>
      <c r="C18" s="61"/>
    </row>
    <row r="19" spans="1:13" x14ac:dyDescent="0.15">
      <c r="A19" s="59" t="s">
        <v>131</v>
      </c>
    </row>
    <row r="20" spans="1:13" x14ac:dyDescent="0.15">
      <c r="A20" s="59" t="s">
        <v>132</v>
      </c>
      <c r="B20" s="61"/>
      <c r="C20" s="61"/>
    </row>
    <row r="21" spans="1:13" x14ac:dyDescent="0.15">
      <c r="A21" s="59" t="s">
        <v>133</v>
      </c>
      <c r="B21" s="61" t="s">
        <v>134</v>
      </c>
      <c r="C21" s="61" t="s">
        <v>135</v>
      </c>
      <c r="D21" s="59" t="s">
        <v>136</v>
      </c>
    </row>
    <row r="22" spans="1:13" x14ac:dyDescent="0.15">
      <c r="A22" s="59" t="s">
        <v>137</v>
      </c>
      <c r="B22" s="61" t="s">
        <v>120</v>
      </c>
      <c r="C22" s="61" t="s">
        <v>138</v>
      </c>
      <c r="D22" s="59" t="s">
        <v>139</v>
      </c>
    </row>
    <row r="23" spans="1:13" x14ac:dyDescent="0.15">
      <c r="A23" s="59" t="s">
        <v>140</v>
      </c>
      <c r="B23" s="61" t="s">
        <v>120</v>
      </c>
      <c r="C23" s="59" t="s">
        <v>141</v>
      </c>
      <c r="D23" s="59" t="s">
        <v>142</v>
      </c>
    </row>
    <row r="24" spans="1:13" x14ac:dyDescent="0.15">
      <c r="A24" s="59" t="s">
        <v>143</v>
      </c>
      <c r="B24" s="61" t="s">
        <v>120</v>
      </c>
      <c r="C24" s="61" t="s">
        <v>144</v>
      </c>
      <c r="D24" s="59" t="s">
        <v>145</v>
      </c>
    </row>
    <row r="25" spans="1:13" x14ac:dyDescent="0.15">
      <c r="A25" s="59" t="s">
        <v>146</v>
      </c>
      <c r="B25" s="61" t="s">
        <v>120</v>
      </c>
      <c r="C25" s="61" t="s">
        <v>147</v>
      </c>
      <c r="D25" s="59" t="s">
        <v>148</v>
      </c>
    </row>
    <row r="26" spans="1:13" x14ac:dyDescent="0.15">
      <c r="A26" s="59" t="s">
        <v>149</v>
      </c>
      <c r="B26" s="61" t="s">
        <v>120</v>
      </c>
      <c r="C26" s="61" t="s">
        <v>150</v>
      </c>
      <c r="D26" s="59" t="s">
        <v>151</v>
      </c>
    </row>
    <row r="27" spans="1:13" x14ac:dyDescent="0.15">
      <c r="A27" s="59" t="s">
        <v>152</v>
      </c>
      <c r="B27" s="61" t="s">
        <v>120</v>
      </c>
      <c r="C27" s="61" t="s">
        <v>114</v>
      </c>
      <c r="D27" s="59" t="s">
        <v>153</v>
      </c>
      <c r="E27" s="59" t="s">
        <v>154</v>
      </c>
    </row>
    <row r="28" spans="1:13" x14ac:dyDescent="0.15">
      <c r="A28" s="59" t="s">
        <v>101</v>
      </c>
      <c r="B28" s="61" t="s">
        <v>120</v>
      </c>
      <c r="C28" s="61" t="s">
        <v>155</v>
      </c>
      <c r="E28" s="59" t="s">
        <v>156</v>
      </c>
    </row>
    <row r="29" spans="1:13" x14ac:dyDescent="0.15">
      <c r="A29" s="59" t="s">
        <v>104</v>
      </c>
      <c r="B29" s="61" t="s">
        <v>120</v>
      </c>
      <c r="C29" s="61" t="s">
        <v>157</v>
      </c>
    </row>
    <row r="30" spans="1:13" x14ac:dyDescent="0.15">
      <c r="B30" s="61"/>
    </row>
    <row r="31" spans="1:13" x14ac:dyDescent="0.15">
      <c r="A31" s="59" t="s">
        <v>158</v>
      </c>
    </row>
    <row r="32" spans="1:13" x14ac:dyDescent="0.15">
      <c r="A32" s="59" t="s">
        <v>159</v>
      </c>
      <c r="B32" s="61" t="s">
        <v>120</v>
      </c>
      <c r="C32" s="61" t="s">
        <v>160</v>
      </c>
    </row>
    <row r="33" spans="1:3" x14ac:dyDescent="0.15">
      <c r="A33" s="59" t="s">
        <v>104</v>
      </c>
      <c r="B33" s="61" t="s">
        <v>120</v>
      </c>
      <c r="C33" s="61" t="s">
        <v>161</v>
      </c>
    </row>
    <row r="34" spans="1:3" x14ac:dyDescent="0.15">
      <c r="A34" s="59" t="s">
        <v>101</v>
      </c>
      <c r="B34" s="61" t="s">
        <v>120</v>
      </c>
      <c r="C34" s="61" t="s">
        <v>162</v>
      </c>
    </row>
    <row r="35" spans="1:3" x14ac:dyDescent="0.15">
      <c r="A35" s="59" t="s">
        <v>100</v>
      </c>
      <c r="B35" s="61" t="s">
        <v>120</v>
      </c>
      <c r="C35" s="61" t="s">
        <v>163</v>
      </c>
    </row>
    <row r="36" spans="1:3" x14ac:dyDescent="0.15">
      <c r="A36" s="59" t="s">
        <v>103</v>
      </c>
      <c r="B36" s="61" t="s">
        <v>120</v>
      </c>
      <c r="C36" s="61" t="s">
        <v>164</v>
      </c>
    </row>
    <row r="37" spans="1:3" x14ac:dyDescent="0.15">
      <c r="A37" s="59" t="s">
        <v>109</v>
      </c>
      <c r="B37" s="61" t="s">
        <v>120</v>
      </c>
      <c r="C37" s="61" t="s">
        <v>165</v>
      </c>
    </row>
    <row r="38" spans="1:3" x14ac:dyDescent="0.15">
      <c r="A38" s="59" t="s">
        <v>105</v>
      </c>
      <c r="B38" s="61" t="s">
        <v>120</v>
      </c>
      <c r="C38" s="61" t="s">
        <v>166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64</v>
      </c>
    </row>
    <row r="2" spans="1:1" x14ac:dyDescent="0.15">
      <c r="A2" t="s">
        <v>65</v>
      </c>
    </row>
    <row r="3" spans="1:1" x14ac:dyDescent="0.15">
      <c r="A3" t="s">
        <v>66</v>
      </c>
    </row>
    <row r="4" spans="1:1" x14ac:dyDescent="0.15">
      <c r="A4" t="s">
        <v>67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F4" sqref="F4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38</v>
      </c>
      <c r="B1" s="13" t="s">
        <v>26</v>
      </c>
      <c r="C1" s="13" t="s">
        <v>27</v>
      </c>
      <c r="D1" s="13" t="s">
        <v>28</v>
      </c>
      <c r="E1" s="13" t="s">
        <v>29</v>
      </c>
      <c r="F1" s="13" t="s">
        <v>30</v>
      </c>
      <c r="G1" s="13" t="s">
        <v>31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77" t="s">
        <v>196</v>
      </c>
      <c r="B2" s="56" t="s">
        <v>89</v>
      </c>
      <c r="C2" s="47" t="str">
        <f>RIGHT(F2,6)</f>
        <v>337010</v>
      </c>
      <c r="D2" s="16" t="s">
        <v>32</v>
      </c>
      <c r="E2" s="14" t="str">
        <f t="shared" ref="E2:E6" si="0">B2&amp;C2&amp;D2</f>
        <v>gacha_select_tables_337010.tmp</v>
      </c>
      <c r="F2" s="76" t="s">
        <v>195</v>
      </c>
      <c r="G2" s="46" t="s">
        <v>70</v>
      </c>
      <c r="H2" s="19" t="s">
        <v>0</v>
      </c>
      <c r="I2" s="19" t="s">
        <v>3</v>
      </c>
      <c r="J2" s="19" t="s">
        <v>4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</row>
    <row r="3" spans="1:21" x14ac:dyDescent="0.15">
      <c r="A3" s="83" t="s">
        <v>209</v>
      </c>
      <c r="B3" s="78" t="s">
        <v>197</v>
      </c>
      <c r="C3" s="47" t="str">
        <f>RIGHT(F3,7)</f>
        <v>7107100</v>
      </c>
      <c r="D3" s="16" t="s">
        <v>32</v>
      </c>
      <c r="E3" s="14" t="str">
        <f t="shared" ref="E3" si="1">B3&amp;C3&amp;D3</f>
        <v>gacha_settle_tables_7107100.tmp</v>
      </c>
      <c r="F3" s="84" t="s">
        <v>210</v>
      </c>
      <c r="G3" s="46" t="s">
        <v>70</v>
      </c>
      <c r="H3" s="19" t="s">
        <v>0</v>
      </c>
      <c r="I3" s="19" t="s">
        <v>3</v>
      </c>
      <c r="J3" s="19" t="s">
        <v>4</v>
      </c>
      <c r="K3" s="19" t="s">
        <v>5</v>
      </c>
      <c r="L3" s="19" t="s">
        <v>6</v>
      </c>
      <c r="M3" s="19" t="s">
        <v>7</v>
      </c>
      <c r="N3" s="19" t="s">
        <v>8</v>
      </c>
      <c r="O3" s="19" t="s">
        <v>9</v>
      </c>
    </row>
    <row r="4" spans="1:21" x14ac:dyDescent="0.15">
      <c r="A4" s="73" t="s">
        <v>192</v>
      </c>
      <c r="B4" s="24" t="s">
        <v>37</v>
      </c>
      <c r="C4" s="74" t="s">
        <v>193</v>
      </c>
      <c r="D4" s="16" t="s">
        <v>33</v>
      </c>
      <c r="E4" s="14" t="str">
        <f t="shared" si="0"/>
        <v>gacha_bonus_tables_hogehoge.tmp</v>
      </c>
      <c r="F4" s="16" t="s">
        <v>34</v>
      </c>
      <c r="G4" s="18" t="s">
        <v>10</v>
      </c>
      <c r="H4" s="20" t="s">
        <v>13</v>
      </c>
      <c r="I4" s="18" t="s">
        <v>11</v>
      </c>
      <c r="J4" s="17"/>
      <c r="K4" s="17"/>
      <c r="L4" s="17"/>
      <c r="M4" s="17"/>
      <c r="N4" s="17"/>
      <c r="O4" s="17"/>
    </row>
    <row r="5" spans="1:21" x14ac:dyDescent="0.15">
      <c r="A5" s="73" t="s">
        <v>192</v>
      </c>
      <c r="B5" s="16" t="s">
        <v>35</v>
      </c>
      <c r="C5" s="74" t="s">
        <v>193</v>
      </c>
      <c r="D5" s="16" t="s">
        <v>33</v>
      </c>
      <c r="E5" s="14" t="str">
        <f t="shared" si="0"/>
        <v>gifts_tmp_hogehoge.tmp</v>
      </c>
      <c r="F5" s="16" t="s">
        <v>34</v>
      </c>
      <c r="G5" s="20" t="s">
        <v>14</v>
      </c>
      <c r="H5" s="21" t="s">
        <v>22</v>
      </c>
      <c r="I5" s="20" t="s">
        <v>15</v>
      </c>
      <c r="J5" s="20" t="s">
        <v>16</v>
      </c>
      <c r="K5" s="20" t="s">
        <v>16</v>
      </c>
      <c r="L5" s="20" t="s">
        <v>17</v>
      </c>
      <c r="M5" s="20" t="s">
        <v>17</v>
      </c>
      <c r="N5" s="20" t="s">
        <v>17</v>
      </c>
      <c r="O5" s="48" t="s">
        <v>7</v>
      </c>
      <c r="P5" s="48" t="s">
        <v>9</v>
      </c>
      <c r="Q5" s="48" t="s">
        <v>6</v>
      </c>
      <c r="R5" s="48" t="s">
        <v>71</v>
      </c>
      <c r="S5" s="48" t="s">
        <v>8</v>
      </c>
      <c r="T5" s="48" t="s">
        <v>72</v>
      </c>
      <c r="U5" s="48" t="s">
        <v>5</v>
      </c>
    </row>
    <row r="6" spans="1:21" x14ac:dyDescent="0.15">
      <c r="A6" s="73" t="s">
        <v>192</v>
      </c>
      <c r="B6" s="16" t="s">
        <v>36</v>
      </c>
      <c r="C6" s="74" t="s">
        <v>193</v>
      </c>
      <c r="D6" s="16" t="s">
        <v>33</v>
      </c>
      <c r="E6" s="14" t="str">
        <f t="shared" si="0"/>
        <v>gifts_i18n_hogehoge.tmp</v>
      </c>
      <c r="F6" s="16" t="s">
        <v>34</v>
      </c>
      <c r="G6" s="20" t="s">
        <v>12</v>
      </c>
      <c r="H6" s="22" t="s">
        <v>18</v>
      </c>
      <c r="I6" s="22" t="s">
        <v>19</v>
      </c>
      <c r="J6" s="22" t="s">
        <v>20</v>
      </c>
      <c r="K6" s="22" t="s">
        <v>21</v>
      </c>
      <c r="L6" s="23"/>
      <c r="M6" s="20"/>
      <c r="N6" s="20"/>
      <c r="O6" s="16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tabSelected="1" workbookViewId="0">
      <selection activeCell="D34" sqref="D34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5" t="s">
        <v>68</v>
      </c>
      <c r="B1" s="45"/>
      <c r="L1" s="35" t="s">
        <v>47</v>
      </c>
      <c r="M1" s="35"/>
      <c r="U1" t="s">
        <v>47</v>
      </c>
    </row>
    <row r="2" spans="1:22" x14ac:dyDescent="0.15">
      <c r="A2" t="str">
        <f ca="1">RIGHT(RIGHT(CELL("filename",A2),LEN(CELL("filename",A2))-FIND("]",CELL("filename",A2))),7)</f>
        <v>7107100</v>
      </c>
      <c r="L2" s="29" t="s">
        <v>1</v>
      </c>
      <c r="M2" s="34" t="s">
        <v>51</v>
      </c>
      <c r="N2" s="29" t="s">
        <v>49</v>
      </c>
      <c r="O2" s="34" t="s">
        <v>52</v>
      </c>
      <c r="P2" s="34" t="s">
        <v>53</v>
      </c>
      <c r="Q2" s="34" t="s">
        <v>50</v>
      </c>
      <c r="R2" s="41" t="s">
        <v>59</v>
      </c>
      <c r="U2" s="29" t="s">
        <v>169</v>
      </c>
      <c r="V2" s="49">
        <f>SUMIF(Q:Q,U2,N:N)</f>
        <v>0</v>
      </c>
    </row>
    <row r="3" spans="1:22" x14ac:dyDescent="0.15">
      <c r="H3" s="68" t="s">
        <v>190</v>
      </c>
      <c r="L3" s="1"/>
      <c r="M3" s="34" t="e">
        <f>VLOOKUP(L3,[1]characters!$A:$C,3,FALSE)</f>
        <v>#N/A</v>
      </c>
      <c r="N3" s="58"/>
      <c r="O3" s="34" t="e">
        <f>VLOOKUP(L3,[1]characters!$A:$I,9,FALSE)</f>
        <v>#N/A</v>
      </c>
      <c r="P3" s="34" t="e">
        <f>VLOOKUP(L3,[1]characters!$A:$J,10,FALSE)</f>
        <v>#N/A</v>
      </c>
      <c r="Q3" s="34" t="e">
        <f>VLOOKUP(L3,tables_settle_7107100!B:C,2,FALSE)</f>
        <v>#N/A</v>
      </c>
      <c r="R3" s="57">
        <f t="shared" ref="R3:R20" si="0">N3*A$36</f>
        <v>0</v>
      </c>
      <c r="S3">
        <v>190</v>
      </c>
      <c r="U3" s="29" t="s">
        <v>170</v>
      </c>
      <c r="V3" s="49">
        <f t="shared" ref="V3:V16" si="1">SUMIF(Q:Q,U3,N:N)</f>
        <v>0</v>
      </c>
    </row>
    <row r="4" spans="1:22" x14ac:dyDescent="0.15">
      <c r="A4" s="31" t="s">
        <v>39</v>
      </c>
      <c r="B4" s="31"/>
      <c r="D4" t="s">
        <v>179</v>
      </c>
      <c r="F4" t="s">
        <v>182</v>
      </c>
      <c r="H4" t="s">
        <v>188</v>
      </c>
      <c r="I4" t="s">
        <v>189</v>
      </c>
      <c r="L4" s="1"/>
      <c r="M4" s="34" t="e">
        <f>VLOOKUP(L4,[1]characters!$A:$C,3,FALSE)</f>
        <v>#N/A</v>
      </c>
      <c r="N4" s="58"/>
      <c r="O4" s="34" t="e">
        <f>VLOOKUP(L4,[1]characters!$A:$I,9,FALSE)</f>
        <v>#N/A</v>
      </c>
      <c r="P4" s="34" t="e">
        <f>VLOOKUP(L4,[1]characters!$A:$J,10,FALSE)</f>
        <v>#N/A</v>
      </c>
      <c r="Q4" s="34" t="e">
        <f>VLOOKUP(L4,tables_settle_7107100!B:C,2,FALSE)</f>
        <v>#N/A</v>
      </c>
      <c r="R4" s="57">
        <f t="shared" si="0"/>
        <v>0</v>
      </c>
      <c r="S4">
        <v>191</v>
      </c>
      <c r="U4" s="29" t="s">
        <v>74</v>
      </c>
      <c r="V4" s="49">
        <f t="shared" si="1"/>
        <v>0</v>
      </c>
    </row>
    <row r="5" spans="1:22" x14ac:dyDescent="0.15">
      <c r="A5" s="29" t="s">
        <v>54</v>
      </c>
      <c r="B5" s="67">
        <f>1-B6-B7-B8</f>
        <v>0</v>
      </c>
      <c r="D5" t="s">
        <v>180</v>
      </c>
      <c r="E5" s="40">
        <f>(B11-H5)/(F5-I5)</f>
        <v>1.3043478260869564E-3</v>
      </c>
      <c r="F5">
        <f>(COUNTIF(tables_settle_7107100!C:C,input_settle_7107100!A26)+COUNTIF(tables_settle_7107100!C:C,input_settle_7107100!A28)+COUNTIF(tables_settle_7107100!C:C,input_settle_7107100!A29))</f>
        <v>23</v>
      </c>
      <c r="H5" s="75">
        <v>0</v>
      </c>
      <c r="I5" s="28">
        <v>0</v>
      </c>
      <c r="L5" s="1"/>
      <c r="M5" s="34" t="e">
        <f>VLOOKUP(L5,[1]characters!$A:$C,3,FALSE)</f>
        <v>#N/A</v>
      </c>
      <c r="N5" s="58"/>
      <c r="O5" s="34" t="e">
        <f>VLOOKUP(L5,[1]characters!$A:$I,9,FALSE)</f>
        <v>#N/A</v>
      </c>
      <c r="P5" s="34" t="e">
        <f>VLOOKUP(L5,[1]characters!$A:$J,10,FALSE)</f>
        <v>#N/A</v>
      </c>
      <c r="Q5" s="34" t="e">
        <f>VLOOKUP(L5,tables_settle_7107100!B:C,2,FALSE)</f>
        <v>#N/A</v>
      </c>
      <c r="R5" s="57">
        <f>N5*A$36</f>
        <v>0</v>
      </c>
      <c r="S5">
        <v>192</v>
      </c>
      <c r="U5" s="29" t="s">
        <v>75</v>
      </c>
      <c r="V5" s="49">
        <f t="shared" si="1"/>
        <v>0</v>
      </c>
    </row>
    <row r="6" spans="1:22" x14ac:dyDescent="0.15">
      <c r="A6" s="29" t="s">
        <v>55</v>
      </c>
      <c r="B6" s="67">
        <v>0</v>
      </c>
      <c r="D6" t="s">
        <v>181</v>
      </c>
      <c r="E6" s="71" t="e">
        <f>(B10-H6)/(F6-I6)</f>
        <v>#DIV/0!</v>
      </c>
      <c r="F6">
        <f>(COUNTIF(tables_settle_7107100!C:C,input_settle_7107100!A18)+COUNTIF(tables_settle_7107100!C:C,input_settle_7107100!A20)+COUNTIF(tables_settle_7107100!C:C,input_settle_7107100!A22))</f>
        <v>0</v>
      </c>
      <c r="H6" s="75">
        <v>0</v>
      </c>
      <c r="I6" s="28">
        <v>0</v>
      </c>
      <c r="L6" s="1"/>
      <c r="M6" s="34" t="e">
        <f>VLOOKUP(L6,[1]characters!$A:$C,3,FALSE)</f>
        <v>#N/A</v>
      </c>
      <c r="N6" s="58"/>
      <c r="O6" s="34" t="e">
        <f>VLOOKUP(L6,[1]characters!$A:$I,9,FALSE)</f>
        <v>#N/A</v>
      </c>
      <c r="P6" s="34" t="e">
        <f>VLOOKUP(L6,[1]characters!$A:$J,10,FALSE)</f>
        <v>#N/A</v>
      </c>
      <c r="Q6" s="34" t="e">
        <f>VLOOKUP(L6,tables_settle_7107100!B:C,2,FALSE)</f>
        <v>#N/A</v>
      </c>
      <c r="R6" s="57">
        <f t="shared" si="0"/>
        <v>0</v>
      </c>
      <c r="S6">
        <v>596</v>
      </c>
      <c r="U6" s="29" t="s">
        <v>76</v>
      </c>
      <c r="V6" s="49">
        <f t="shared" si="1"/>
        <v>0</v>
      </c>
    </row>
    <row r="7" spans="1:22" x14ac:dyDescent="0.15">
      <c r="A7" s="29" t="s">
        <v>56</v>
      </c>
      <c r="B7" s="67">
        <v>1</v>
      </c>
      <c r="L7" s="1"/>
      <c r="M7" s="34" t="e">
        <f>VLOOKUP(L7,[1]characters!$A:$C,3,FALSE)</f>
        <v>#N/A</v>
      </c>
      <c r="N7" s="58"/>
      <c r="O7" s="34" t="e">
        <f>VLOOKUP(L7,[1]characters!$A:$I,9,FALSE)</f>
        <v>#N/A</v>
      </c>
      <c r="P7" s="34" t="e">
        <f>VLOOKUP(L7,[1]characters!$A:$J,10,FALSE)</f>
        <v>#N/A</v>
      </c>
      <c r="Q7" s="34" t="e">
        <f>VLOOKUP(L7,tables_settle_7107100!B:C,2,FALSE)</f>
        <v>#N/A</v>
      </c>
      <c r="R7" s="57">
        <f t="shared" si="0"/>
        <v>0</v>
      </c>
      <c r="S7">
        <v>597</v>
      </c>
      <c r="U7" s="29" t="s">
        <v>175</v>
      </c>
      <c r="V7" s="49">
        <f t="shared" si="1"/>
        <v>0</v>
      </c>
    </row>
    <row r="8" spans="1:22" x14ac:dyDescent="0.15">
      <c r="A8" s="52"/>
      <c r="B8" s="66"/>
      <c r="L8" s="1"/>
      <c r="M8" s="34" t="e">
        <f>VLOOKUP(L8,[1]characters!$A:$C,3,FALSE)</f>
        <v>#N/A</v>
      </c>
      <c r="N8" s="58"/>
      <c r="O8" s="34" t="e">
        <f>VLOOKUP(L8,[1]characters!$A:$I,9,FALSE)</f>
        <v>#N/A</v>
      </c>
      <c r="P8" s="34" t="e">
        <f>VLOOKUP(L8,[1]characters!$A:$J,10,FALSE)</f>
        <v>#N/A</v>
      </c>
      <c r="Q8" s="34" t="e">
        <f>VLOOKUP(L8,tables_settle_7107100!B:C,2,FALSE)</f>
        <v>#N/A</v>
      </c>
      <c r="R8" s="57">
        <f t="shared" si="0"/>
        <v>0</v>
      </c>
      <c r="S8">
        <v>598</v>
      </c>
      <c r="U8" s="29" t="s">
        <v>176</v>
      </c>
      <c r="V8" s="49">
        <f t="shared" si="1"/>
        <v>0</v>
      </c>
    </row>
    <row r="9" spans="1:22" x14ac:dyDescent="0.15">
      <c r="A9" s="32" t="s">
        <v>40</v>
      </c>
      <c r="B9" s="32"/>
      <c r="M9" s="34" t="e">
        <f>VLOOKUP(L9,[1]characters!$A:$C,3,FALSE)</f>
        <v>#N/A</v>
      </c>
      <c r="N9" s="58"/>
      <c r="O9" s="34" t="e">
        <f>VLOOKUP(L9,[1]characters!$A:$I,9,FALSE)</f>
        <v>#N/A</v>
      </c>
      <c r="P9" s="34" t="e">
        <f>VLOOKUP(L9,[1]characters!$A:$J,10,FALSE)</f>
        <v>#N/A</v>
      </c>
      <c r="Q9" s="34" t="e">
        <f>VLOOKUP(L9,tables_settle_7107100!B:C,2,FALSE)</f>
        <v>#N/A</v>
      </c>
      <c r="R9" s="57">
        <f t="shared" si="0"/>
        <v>0</v>
      </c>
      <c r="S9">
        <v>390</v>
      </c>
      <c r="U9" s="29" t="s">
        <v>172</v>
      </c>
      <c r="V9" s="49">
        <f t="shared" si="1"/>
        <v>0</v>
      </c>
    </row>
    <row r="10" spans="1:22" x14ac:dyDescent="0.15">
      <c r="A10" s="29" t="s">
        <v>73</v>
      </c>
      <c r="B10" s="67">
        <f>1-B11-B12-B8</f>
        <v>0.97</v>
      </c>
      <c r="C10" t="s">
        <v>187</v>
      </c>
      <c r="M10" s="34" t="e">
        <f>VLOOKUP(L10,[1]characters!$A:$C,3,FALSE)</f>
        <v>#N/A</v>
      </c>
      <c r="N10" s="58"/>
      <c r="O10" s="34" t="e">
        <f>VLOOKUP(L10,[1]characters!$A:$I,9,FALSE)</f>
        <v>#N/A</v>
      </c>
      <c r="P10" s="34" t="e">
        <f>VLOOKUP(L10,[1]characters!$A:$J,10,FALSE)</f>
        <v>#N/A</v>
      </c>
      <c r="Q10" s="34" t="e">
        <f>VLOOKUP(L10,tables_settle_7107100!B:C,2,FALSE)</f>
        <v>#N/A</v>
      </c>
      <c r="R10" s="57">
        <f t="shared" si="0"/>
        <v>0</v>
      </c>
      <c r="S10">
        <v>391</v>
      </c>
      <c r="U10" s="29" t="s">
        <v>173</v>
      </c>
      <c r="V10" s="49">
        <f t="shared" si="1"/>
        <v>0</v>
      </c>
    </row>
    <row r="11" spans="1:22" x14ac:dyDescent="0.15">
      <c r="A11" s="29" t="s">
        <v>42</v>
      </c>
      <c r="B11" s="72">
        <v>0.03</v>
      </c>
      <c r="C11" t="s">
        <v>194</v>
      </c>
      <c r="M11" s="34" t="e">
        <f>VLOOKUP(L11,[1]characters!$A:$C,3,FALSE)</f>
        <v>#N/A</v>
      </c>
      <c r="N11" s="58"/>
      <c r="O11" s="34" t="e">
        <f>VLOOKUP(L11,[1]characters!$A:$I,9,FALSE)</f>
        <v>#N/A</v>
      </c>
      <c r="P11" s="34" t="e">
        <f>VLOOKUP(L11,[1]characters!$A:$J,10,FALSE)</f>
        <v>#N/A</v>
      </c>
      <c r="Q11" s="34" t="e">
        <f>VLOOKUP(L11,tables_settle_7107100!B:C,2,FALSE)</f>
        <v>#N/A</v>
      </c>
      <c r="R11" s="57">
        <f t="shared" si="0"/>
        <v>0</v>
      </c>
      <c r="S11">
        <v>811</v>
      </c>
      <c r="U11" s="29" t="s">
        <v>174</v>
      </c>
      <c r="V11" s="49">
        <f t="shared" si="1"/>
        <v>0</v>
      </c>
    </row>
    <row r="12" spans="1:22" x14ac:dyDescent="0.15">
      <c r="A12" s="29" t="s">
        <v>41</v>
      </c>
      <c r="B12" s="30">
        <v>0</v>
      </c>
      <c r="M12" s="34" t="e">
        <f>VLOOKUP(L12,[1]characters!$A:$C,3,FALSE)</f>
        <v>#N/A</v>
      </c>
      <c r="N12" s="58"/>
      <c r="O12" s="34" t="e">
        <f>VLOOKUP(L12,[1]characters!$A:$I,9,FALSE)</f>
        <v>#N/A</v>
      </c>
      <c r="P12" s="34" t="e">
        <f>VLOOKUP(L12,[1]characters!$A:$J,10,FALSE)</f>
        <v>#N/A</v>
      </c>
      <c r="Q12" s="34" t="e">
        <f>VLOOKUP(L12,tables_settle_7107100!B:C,2,FALSE)</f>
        <v>#N/A</v>
      </c>
      <c r="R12" s="57">
        <f t="shared" si="0"/>
        <v>0</v>
      </c>
      <c r="S12">
        <v>496</v>
      </c>
      <c r="U12" s="29" t="s">
        <v>82</v>
      </c>
      <c r="V12" s="49">
        <f t="shared" si="1"/>
        <v>0</v>
      </c>
    </row>
    <row r="13" spans="1:22" x14ac:dyDescent="0.15">
      <c r="M13" s="34" t="e">
        <f>VLOOKUP(L13,[1]characters!$A:$C,3,FALSE)</f>
        <v>#N/A</v>
      </c>
      <c r="N13" s="58"/>
      <c r="O13" s="34" t="e">
        <f>VLOOKUP(L13,[1]characters!$A:$I,9,FALSE)</f>
        <v>#N/A</v>
      </c>
      <c r="P13" s="34" t="e">
        <f>VLOOKUP(L13,[1]characters!$A:$J,10,FALSE)</f>
        <v>#N/A</v>
      </c>
      <c r="Q13" s="34" t="e">
        <f>VLOOKUP(L13,tables_settle_7107100!B:C,2,FALSE)</f>
        <v>#N/A</v>
      </c>
      <c r="R13" s="57">
        <f t="shared" si="0"/>
        <v>0</v>
      </c>
      <c r="S13">
        <v>497</v>
      </c>
      <c r="U13" s="29" t="s">
        <v>83</v>
      </c>
      <c r="V13" s="49">
        <f t="shared" si="1"/>
        <v>0</v>
      </c>
    </row>
    <row r="14" spans="1:22" x14ac:dyDescent="0.15">
      <c r="M14" s="34" t="e">
        <f>VLOOKUP(L14,[1]characters!$A:$C,3,FALSE)</f>
        <v>#N/A</v>
      </c>
      <c r="N14" s="58"/>
      <c r="O14" s="34" t="e">
        <f>VLOOKUP(L14,[1]characters!$A:$I,9,FALSE)</f>
        <v>#N/A</v>
      </c>
      <c r="P14" s="34" t="e">
        <f>VLOOKUP(L14,[1]characters!$A:$J,10,FALSE)</f>
        <v>#N/A</v>
      </c>
      <c r="Q14" s="34" t="e">
        <f>VLOOKUP(L14,tables_settle_7107100!B:C,2,FALSE)</f>
        <v>#N/A</v>
      </c>
      <c r="R14" s="57">
        <f t="shared" si="0"/>
        <v>0</v>
      </c>
      <c r="S14">
        <v>498</v>
      </c>
      <c r="U14" s="29" t="s">
        <v>178</v>
      </c>
      <c r="V14" s="49">
        <f t="shared" si="1"/>
        <v>0</v>
      </c>
    </row>
    <row r="15" spans="1:22" x14ac:dyDescent="0.15">
      <c r="A15" s="33" t="s">
        <v>43</v>
      </c>
      <c r="B15" s="33"/>
      <c r="C15" t="s">
        <v>69</v>
      </c>
      <c r="M15" s="34" t="e">
        <f>VLOOKUP(L15,[1]characters!$A:$C,3,FALSE)</f>
        <v>#N/A</v>
      </c>
      <c r="N15" s="58"/>
      <c r="O15" s="34" t="e">
        <f>VLOOKUP(L15,[1]characters!$A:$I,9,FALSE)</f>
        <v>#N/A</v>
      </c>
      <c r="P15" s="34" t="e">
        <f>VLOOKUP(L15,[1]characters!$A:$J,10,FALSE)</f>
        <v>#N/A</v>
      </c>
      <c r="Q15" s="34" t="e">
        <f>VLOOKUP(L15,tables_settle_7107100!B:C,2,FALSE)</f>
        <v>#N/A</v>
      </c>
      <c r="R15" s="57">
        <f t="shared" si="0"/>
        <v>0</v>
      </c>
      <c r="S15">
        <v>395</v>
      </c>
      <c r="U15" s="29" t="s">
        <v>177</v>
      </c>
      <c r="V15" s="49">
        <f t="shared" si="1"/>
        <v>0</v>
      </c>
    </row>
    <row r="16" spans="1:22" x14ac:dyDescent="0.15">
      <c r="A16" s="29" t="s">
        <v>46</v>
      </c>
      <c r="B16" s="29" t="s">
        <v>171</v>
      </c>
      <c r="C16" s="34" t="s">
        <v>47</v>
      </c>
      <c r="D16" s="34" t="s">
        <v>48</v>
      </c>
      <c r="E16" t="s">
        <v>58</v>
      </c>
      <c r="F16" t="s">
        <v>57</v>
      </c>
      <c r="G16" t="s">
        <v>60</v>
      </c>
      <c r="H16" t="s">
        <v>191</v>
      </c>
      <c r="I16" t="s">
        <v>61</v>
      </c>
      <c r="J16" t="s">
        <v>63</v>
      </c>
      <c r="M16" s="34" t="e">
        <f>VLOOKUP(L16,[1]characters!$A:$C,3,FALSE)</f>
        <v>#N/A</v>
      </c>
      <c r="N16" s="58"/>
      <c r="O16" s="34" t="e">
        <f>VLOOKUP(L16,[1]characters!$A:$I,9,FALSE)</f>
        <v>#N/A</v>
      </c>
      <c r="P16" s="34" t="e">
        <f>VLOOKUP(L16,[1]characters!$A:$J,10,FALSE)</f>
        <v>#N/A</v>
      </c>
      <c r="Q16" s="34" t="e">
        <f>VLOOKUP(L16,tables_settle_7107100!B:C,2,FALSE)</f>
        <v>#N/A</v>
      </c>
      <c r="R16" s="57">
        <f t="shared" si="0"/>
        <v>0</v>
      </c>
      <c r="S16">
        <v>396</v>
      </c>
      <c r="U16" s="29" t="s">
        <v>84</v>
      </c>
      <c r="V16" s="49">
        <f t="shared" si="1"/>
        <v>0</v>
      </c>
    </row>
    <row r="17" spans="1:19" x14ac:dyDescent="0.15">
      <c r="A17" s="29" t="s">
        <v>169</v>
      </c>
      <c r="B17" s="79">
        <v>0</v>
      </c>
      <c r="C17" s="69">
        <f t="shared" ref="C17:C31" si="2">SUMIF(Q:Q,A17,N:N)</f>
        <v>0</v>
      </c>
      <c r="D17" s="70">
        <f t="shared" ref="D17:D32" si="3">B17-C17</f>
        <v>0</v>
      </c>
      <c r="E17">
        <f>COUNTIF(tables_settle_7107100!C:C,input_settle_7107100!A17)-COUNTIF(Q:Q,A17)</f>
        <v>0</v>
      </c>
      <c r="F17" s="40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4" t="e">
        <f>VLOOKUP(L17,[1]characters!$A:$C,3,FALSE)</f>
        <v>#N/A</v>
      </c>
      <c r="N17" s="58"/>
      <c r="O17" s="34" t="e">
        <f>VLOOKUP(L17,[1]characters!$A:$I,9,FALSE)</f>
        <v>#N/A</v>
      </c>
      <c r="P17" s="34" t="e">
        <f>VLOOKUP(L17,[1]characters!$A:$J,10,FALSE)</f>
        <v>#N/A</v>
      </c>
      <c r="Q17" s="34" t="e">
        <f>VLOOKUP(L17,tables_settle_7107100!B:C,2,FALSE)</f>
        <v>#N/A</v>
      </c>
      <c r="R17" s="57">
        <f t="shared" si="0"/>
        <v>0</v>
      </c>
      <c r="S17">
        <v>397</v>
      </c>
    </row>
    <row r="18" spans="1:19" x14ac:dyDescent="0.15">
      <c r="A18" s="29" t="s">
        <v>170</v>
      </c>
      <c r="B18" s="79">
        <v>0</v>
      </c>
      <c r="C18" s="69">
        <f t="shared" si="2"/>
        <v>0</v>
      </c>
      <c r="D18" s="70">
        <f t="shared" si="3"/>
        <v>0</v>
      </c>
      <c r="E18">
        <f>COUNTIF(tables_settle_7107100!C:C,input_settle_7107100!A18)-COUNTIF(Q:Q,A18)</f>
        <v>0</v>
      </c>
      <c r="F18" s="40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4" t="e">
        <f>VLOOKUP(L18,[1]characters!$A:$C,3,FALSE)</f>
        <v>#N/A</v>
      </c>
      <c r="N18" s="58"/>
      <c r="O18" s="34" t="e">
        <f>VLOOKUP(L18,[1]characters!$A:$I,9,FALSE)</f>
        <v>#N/A</v>
      </c>
      <c r="P18" s="34" t="e">
        <f>VLOOKUP(L18,[1]characters!$A:$J,10,FALSE)</f>
        <v>#N/A</v>
      </c>
      <c r="Q18" s="34" t="e">
        <f>VLOOKUP(L18,tables_settle_7107100!B:C,2,FALSE)</f>
        <v>#N/A</v>
      </c>
      <c r="R18" s="57">
        <f t="shared" si="0"/>
        <v>0</v>
      </c>
      <c r="S18">
        <v>324</v>
      </c>
    </row>
    <row r="19" spans="1:19" x14ac:dyDescent="0.15">
      <c r="A19" s="29" t="s">
        <v>74</v>
      </c>
      <c r="B19" s="51">
        <v>0</v>
      </c>
      <c r="C19" s="69">
        <f t="shared" si="2"/>
        <v>0</v>
      </c>
      <c r="D19" s="70">
        <f t="shared" si="3"/>
        <v>0</v>
      </c>
      <c r="E19">
        <f>COUNTIF(tables_settle_7107100!C:C,input_settle_7107100!A19)-COUNTIF(Q:Q,A19)</f>
        <v>0</v>
      </c>
      <c r="F19" s="40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4" t="e">
        <f>VLOOKUP(L19,[1]characters!$A:$C,3,FALSE)</f>
        <v>#N/A</v>
      </c>
      <c r="N19" s="58"/>
      <c r="O19" s="34" t="e">
        <f>VLOOKUP(L19,[1]characters!$A:$I,9,FALSE)</f>
        <v>#N/A</v>
      </c>
      <c r="P19" s="34" t="e">
        <f>VLOOKUP(L19,[1]characters!$A:$J,10,FALSE)</f>
        <v>#N/A</v>
      </c>
      <c r="Q19" s="34" t="e">
        <f>VLOOKUP(L19,tables_settle_7107100!B:C,2,FALSE)</f>
        <v>#N/A</v>
      </c>
      <c r="R19" s="57">
        <f t="shared" si="0"/>
        <v>0</v>
      </c>
      <c r="S19">
        <v>325</v>
      </c>
    </row>
    <row r="20" spans="1:19" x14ac:dyDescent="0.15">
      <c r="A20" s="29" t="s">
        <v>75</v>
      </c>
      <c r="B20" s="51">
        <v>0</v>
      </c>
      <c r="C20" s="69">
        <f t="shared" si="2"/>
        <v>0</v>
      </c>
      <c r="D20" s="70">
        <f t="shared" si="3"/>
        <v>0</v>
      </c>
      <c r="E20">
        <f>COUNTIF(tables_settle_7107100!C:C,input_settle_7107100!A20)-COUNTIF(Q:Q,A20)</f>
        <v>0</v>
      </c>
      <c r="F20" s="40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4" t="e">
        <f>VLOOKUP(L20,[1]characters!$A:$C,3,FALSE)</f>
        <v>#N/A</v>
      </c>
      <c r="N20" s="58"/>
      <c r="O20" s="34" t="e">
        <f>VLOOKUP(L20,[1]characters!$A:$I,9,FALSE)</f>
        <v>#N/A</v>
      </c>
      <c r="P20" s="34" t="e">
        <f>VLOOKUP(L20,[1]characters!$A:$J,10,FALSE)</f>
        <v>#N/A</v>
      </c>
      <c r="Q20" s="34" t="e">
        <f>VLOOKUP(L20,tables_settle_7107100!B:C,2,FALSE)</f>
        <v>#N/A</v>
      </c>
      <c r="R20" s="57">
        <f t="shared" si="0"/>
        <v>0</v>
      </c>
      <c r="S20">
        <v>809</v>
      </c>
    </row>
    <row r="21" spans="1:19" x14ac:dyDescent="0.15">
      <c r="A21" s="29" t="s">
        <v>76</v>
      </c>
      <c r="B21" s="80" t="e">
        <v>#DIV/0!</v>
      </c>
      <c r="C21" s="69">
        <f t="shared" si="2"/>
        <v>0</v>
      </c>
      <c r="D21" s="70" t="e">
        <f t="shared" si="3"/>
        <v>#DIV/0!</v>
      </c>
      <c r="E21">
        <f>COUNTIF(tables_settle_7107100!C:C,input_settle_7107100!A21)-COUNTIF(Q:Q,A21)</f>
        <v>0</v>
      </c>
      <c r="F21" s="40">
        <f t="shared" si="7"/>
        <v>0</v>
      </c>
      <c r="G21" t="e">
        <f t="shared" si="8"/>
        <v>#DIV/0!</v>
      </c>
      <c r="H21">
        <f t="shared" si="4"/>
        <v>0</v>
      </c>
      <c r="I21">
        <f t="shared" si="5"/>
        <v>0</v>
      </c>
      <c r="J21">
        <f t="shared" si="6"/>
        <v>1</v>
      </c>
      <c r="L21" s="52"/>
      <c r="M21" s="52"/>
      <c r="N21" s="53"/>
      <c r="O21" s="52"/>
      <c r="P21" s="52"/>
      <c r="Q21" s="52"/>
      <c r="R21" s="54"/>
    </row>
    <row r="22" spans="1:19" x14ac:dyDescent="0.15">
      <c r="A22" s="29" t="s">
        <v>175</v>
      </c>
      <c r="B22" s="65">
        <v>0</v>
      </c>
      <c r="C22" s="69">
        <f t="shared" si="2"/>
        <v>0</v>
      </c>
      <c r="D22" s="70">
        <f t="shared" si="3"/>
        <v>0</v>
      </c>
      <c r="E22">
        <f>COUNTIF(tables_settle_7107100!C:C,input_settle_7107100!A22)-COUNTIF(Q:Q,A22)</f>
        <v>0</v>
      </c>
      <c r="F22" s="40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2"/>
      <c r="M22" s="52"/>
      <c r="N22" s="53"/>
      <c r="O22" s="52"/>
      <c r="P22" s="52"/>
      <c r="Q22" s="52"/>
      <c r="R22" s="54"/>
    </row>
    <row r="23" spans="1:19" x14ac:dyDescent="0.15">
      <c r="A23" s="29" t="s">
        <v>176</v>
      </c>
      <c r="B23" s="81" t="e">
        <f>B7-B26-B28-B29-B21</f>
        <v>#DIV/0!</v>
      </c>
      <c r="C23" s="69">
        <f t="shared" si="2"/>
        <v>0</v>
      </c>
      <c r="D23" s="70" t="e">
        <f t="shared" si="3"/>
        <v>#DIV/0!</v>
      </c>
      <c r="E23">
        <f>COUNTIF(tables_settle_7107100!C:C,input_settle_7107100!A23)-COUNTIF(Q:Q,A23)</f>
        <v>0</v>
      </c>
      <c r="F23" s="40">
        <f t="shared" si="7"/>
        <v>0</v>
      </c>
      <c r="G23" t="e">
        <f t="shared" si="8"/>
        <v>#DIV/0!</v>
      </c>
      <c r="H23">
        <f t="shared" si="4"/>
        <v>0</v>
      </c>
      <c r="I23">
        <f t="shared" si="5"/>
        <v>0</v>
      </c>
      <c r="J23">
        <f t="shared" si="6"/>
        <v>1</v>
      </c>
      <c r="L23" s="52"/>
      <c r="M23" s="52"/>
      <c r="N23" s="53"/>
      <c r="O23" s="52"/>
      <c r="P23" s="52"/>
      <c r="Q23" s="52"/>
      <c r="R23" s="54"/>
    </row>
    <row r="24" spans="1:19" x14ac:dyDescent="0.15">
      <c r="A24" s="29" t="s">
        <v>172</v>
      </c>
      <c r="B24" s="39">
        <v>0</v>
      </c>
      <c r="C24" s="69">
        <f t="shared" si="2"/>
        <v>0</v>
      </c>
      <c r="D24" s="70">
        <f t="shared" si="3"/>
        <v>0</v>
      </c>
      <c r="E24">
        <f>COUNTIF(tables_settle_7107100!C:C,input_settle_7107100!A24)-COUNTIF(Q:Q,A24)</f>
        <v>0</v>
      </c>
      <c r="F24" s="40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2"/>
      <c r="M24" s="52"/>
      <c r="N24" s="53"/>
      <c r="O24" s="52"/>
      <c r="P24" s="52"/>
      <c r="Q24" s="52"/>
      <c r="R24" s="54"/>
    </row>
    <row r="25" spans="1:19" x14ac:dyDescent="0.15">
      <c r="A25" s="29" t="s">
        <v>173</v>
      </c>
      <c r="B25" s="39">
        <v>0</v>
      </c>
      <c r="C25" s="69">
        <f t="shared" si="2"/>
        <v>0</v>
      </c>
      <c r="D25" s="70">
        <f t="shared" si="3"/>
        <v>0</v>
      </c>
      <c r="E25">
        <f>COUNTIF(tables_settle_7107100!C:C,input_settle_7107100!A25)-COUNTIF(Q:Q,A25)</f>
        <v>0</v>
      </c>
      <c r="F25" s="40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2"/>
      <c r="M25" s="52"/>
      <c r="N25" s="53"/>
      <c r="O25" s="52"/>
      <c r="P25" s="52"/>
      <c r="Q25" s="52"/>
      <c r="R25" s="54"/>
    </row>
    <row r="26" spans="1:19" x14ac:dyDescent="0.15">
      <c r="A26" s="29" t="s">
        <v>174</v>
      </c>
      <c r="B26" s="39">
        <v>7.4999999999999997E-3</v>
      </c>
      <c r="C26" s="69">
        <f t="shared" si="2"/>
        <v>0</v>
      </c>
      <c r="D26" s="70">
        <f t="shared" si="3"/>
        <v>7.4999999999999997E-3</v>
      </c>
      <c r="E26">
        <f>COUNTIF(tables_settle_7107100!C:C,input_settle_7107100!A26)-COUNTIF(Q:Q,A26)</f>
        <v>4</v>
      </c>
      <c r="F26" s="40">
        <f t="shared" si="7"/>
        <v>1.8749999999999999E-3</v>
      </c>
      <c r="G26">
        <f t="shared" si="8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52"/>
      <c r="M26" s="52"/>
      <c r="N26" s="53"/>
      <c r="O26" s="52"/>
      <c r="P26" s="52"/>
      <c r="Q26" s="52"/>
      <c r="R26" s="54"/>
    </row>
    <row r="27" spans="1:19" x14ac:dyDescent="0.15">
      <c r="A27" s="29" t="s">
        <v>82</v>
      </c>
      <c r="B27" s="39">
        <v>0</v>
      </c>
      <c r="C27" s="69">
        <f t="shared" si="2"/>
        <v>0</v>
      </c>
      <c r="D27" s="70">
        <f t="shared" si="3"/>
        <v>0</v>
      </c>
      <c r="E27">
        <f>COUNTIF(tables_settle_7107100!C:C,input_settle_7107100!A27)-COUNTIF(Q:Q,A27)</f>
        <v>0</v>
      </c>
      <c r="F27" s="40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2"/>
      <c r="M27" s="52"/>
      <c r="N27" s="53"/>
      <c r="O27" s="52"/>
      <c r="P27" s="52"/>
      <c r="Q27" s="52"/>
      <c r="R27" s="54"/>
    </row>
    <row r="28" spans="1:19" x14ac:dyDescent="0.15">
      <c r="A28" s="29" t="s">
        <v>83</v>
      </c>
      <c r="B28" s="39">
        <v>5.2499999999999998E-2</v>
      </c>
      <c r="C28" s="69">
        <f t="shared" si="2"/>
        <v>0</v>
      </c>
      <c r="D28" s="70">
        <f t="shared" si="3"/>
        <v>5.2499999999999998E-2</v>
      </c>
      <c r="E28">
        <f>COUNTIF(tables_settle_7107100!C:C,input_settle_7107100!A28)-COUNTIF(Q:Q,A28)</f>
        <v>8</v>
      </c>
      <c r="F28" s="40">
        <f t="shared" si="7"/>
        <v>6.5624999999999998E-3</v>
      </c>
      <c r="G28">
        <f t="shared" si="8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52"/>
      <c r="M28" s="52"/>
      <c r="N28" s="53"/>
      <c r="O28" s="52"/>
      <c r="P28" s="52"/>
      <c r="Q28" s="52"/>
      <c r="R28" s="54"/>
    </row>
    <row r="29" spans="1:19" x14ac:dyDescent="0.15">
      <c r="A29" s="29" t="s">
        <v>178</v>
      </c>
      <c r="B29" s="39">
        <v>3.7499999999999999E-3</v>
      </c>
      <c r="C29" s="69">
        <f t="shared" si="2"/>
        <v>0</v>
      </c>
      <c r="D29" s="70">
        <f t="shared" si="3"/>
        <v>3.7499999999999999E-3</v>
      </c>
      <c r="E29">
        <f>COUNTIF(tables_settle_7107100!C:C,input_settle_7107100!A29)-COUNTIF(Q:Q,A29)</f>
        <v>11</v>
      </c>
      <c r="F29" s="40">
        <f>IFERROR(B29/E29,0)</f>
        <v>3.4090909090909088E-4</v>
      </c>
      <c r="G29">
        <f t="shared" si="8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52"/>
      <c r="M29" s="52"/>
      <c r="N29" s="53"/>
      <c r="O29" s="52"/>
      <c r="P29" s="52"/>
      <c r="Q29" s="52"/>
      <c r="R29" s="54"/>
    </row>
    <row r="30" spans="1:19" x14ac:dyDescent="0.15">
      <c r="A30" s="29" t="s">
        <v>177</v>
      </c>
      <c r="B30" s="39">
        <v>0</v>
      </c>
      <c r="C30" s="69">
        <f t="shared" si="2"/>
        <v>0</v>
      </c>
      <c r="D30" s="70">
        <f t="shared" si="3"/>
        <v>0</v>
      </c>
      <c r="E30">
        <f>COUNTIF(tables_settle_7107100!C:C,input_settle_7107100!A30)-COUNTIF(Q:Q,A30)</f>
        <v>0</v>
      </c>
      <c r="F30" s="40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2"/>
      <c r="M30" s="52"/>
      <c r="N30" s="53"/>
      <c r="O30" s="52"/>
      <c r="P30" s="52"/>
      <c r="Q30" s="52"/>
      <c r="R30" s="54"/>
    </row>
    <row r="31" spans="1:19" x14ac:dyDescent="0.15">
      <c r="A31" s="29" t="s">
        <v>84</v>
      </c>
      <c r="B31" s="39">
        <v>0</v>
      </c>
      <c r="C31" s="69">
        <f t="shared" si="2"/>
        <v>0</v>
      </c>
      <c r="D31" s="70">
        <f t="shared" si="3"/>
        <v>0</v>
      </c>
      <c r="E31">
        <f>COUNTIF(tables_settle_7107100!C:C,input_settle_7107100!A31)-COUNTIF(Q:Q,A31)</f>
        <v>0</v>
      </c>
      <c r="F31" s="40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2"/>
      <c r="M31" s="52"/>
      <c r="N31" s="53"/>
      <c r="O31" s="52"/>
      <c r="P31" s="52"/>
      <c r="Q31" s="52"/>
      <c r="R31" s="54"/>
    </row>
    <row r="32" spans="1:19" x14ac:dyDescent="0.15">
      <c r="A32" s="36" t="s">
        <v>45</v>
      </c>
      <c r="B32" s="37" t="e">
        <f>SUM(B17:B31)</f>
        <v>#DIV/0!</v>
      </c>
      <c r="C32" s="38">
        <f>SUM(C19:C31)</f>
        <v>0</v>
      </c>
      <c r="D32" s="39" t="e">
        <f t="shared" si="3"/>
        <v>#DIV/0!</v>
      </c>
      <c r="L32" s="52"/>
      <c r="M32" s="52"/>
      <c r="N32" s="52"/>
      <c r="O32" s="52"/>
      <c r="P32" s="52"/>
      <c r="Q32" s="52"/>
      <c r="R32" s="54"/>
    </row>
    <row r="35" spans="1:7" x14ac:dyDescent="0.15">
      <c r="A35" t="s">
        <v>59</v>
      </c>
    </row>
    <row r="36" spans="1:7" x14ac:dyDescent="0.15">
      <c r="A36" s="28">
        <f>LCM(F5-I5,F6-I6)*1000*2*2</f>
        <v>0</v>
      </c>
    </row>
    <row r="38" spans="1:7" x14ac:dyDescent="0.15">
      <c r="A38" s="44" t="s">
        <v>62</v>
      </c>
    </row>
    <row r="39" spans="1:7" x14ac:dyDescent="0.15">
      <c r="A39" s="29" t="s">
        <v>46</v>
      </c>
      <c r="B39" t="s">
        <v>60</v>
      </c>
      <c r="C39" t="s">
        <v>77</v>
      </c>
      <c r="E39" t="s">
        <v>78</v>
      </c>
      <c r="F39" t="s">
        <v>2</v>
      </c>
      <c r="G39" t="s">
        <v>49</v>
      </c>
    </row>
    <row r="40" spans="1:7" x14ac:dyDescent="0.15">
      <c r="A40" s="29" t="s">
        <v>79</v>
      </c>
      <c r="B40">
        <f>SUMIF(tables_settle_7107100!C:C,input_settle_7107100!A40,tables_settle_7107100!O:O)</f>
        <v>0</v>
      </c>
      <c r="C40" s="49">
        <f t="shared" ref="C40:C46" si="9">B40/B$47</f>
        <v>0</v>
      </c>
      <c r="E40">
        <v>3</v>
      </c>
      <c r="F40">
        <f>SUMIF(tables_settle_7107100!J:J,input_settle_7107100!E40,tables_settle_7107100!O:O)</f>
        <v>0</v>
      </c>
      <c r="G40" t="e">
        <f>F40/A36</f>
        <v>#DIV/0!</v>
      </c>
    </row>
    <row r="41" spans="1:7" x14ac:dyDescent="0.15">
      <c r="A41" s="29" t="s">
        <v>80</v>
      </c>
      <c r="B41">
        <f>SUMIF(tables_settle_7107100!C:C,input_settle_7107100!A41,tables_settle_7107100!O:O)</f>
        <v>0</v>
      </c>
      <c r="C41" s="49">
        <f t="shared" si="9"/>
        <v>0</v>
      </c>
      <c r="E41">
        <v>4</v>
      </c>
      <c r="F41">
        <f>SUMIF(tables_settle_7107100!J:J,input_settle_7107100!E41,tables_settle_7107100!O:O)</f>
        <v>0</v>
      </c>
      <c r="G41" t="e">
        <f>F41/A36</f>
        <v>#DIV/0!</v>
      </c>
    </row>
    <row r="42" spans="1:7" x14ac:dyDescent="0.15">
      <c r="A42" s="29" t="s">
        <v>85</v>
      </c>
      <c r="B42">
        <f>SUMIF(tables_settle_7107100!C:C,input_settle_7107100!A42,tables_settle_7107100!O:O)</f>
        <v>0</v>
      </c>
      <c r="C42" s="49">
        <f t="shared" si="9"/>
        <v>0</v>
      </c>
      <c r="E42">
        <v>5</v>
      </c>
      <c r="F42">
        <f>SUMIF(tables_settle_7107100!J:J,input_settle_7107100!E42,tables_settle_7107100!O:O)</f>
        <v>230</v>
      </c>
      <c r="G42" t="e">
        <f>F42/A36</f>
        <v>#DIV/0!</v>
      </c>
    </row>
    <row r="43" spans="1:7" x14ac:dyDescent="0.15">
      <c r="A43" s="29" t="s">
        <v>86</v>
      </c>
      <c r="B43">
        <f>SUMIF(tables_settle_7107100!C:C,input_settle_7107100!A43,tables_settle_7107100!O:O)</f>
        <v>0</v>
      </c>
      <c r="C43" s="49">
        <f t="shared" si="9"/>
        <v>0</v>
      </c>
      <c r="F43" s="50"/>
    </row>
    <row r="44" spans="1:7" x14ac:dyDescent="0.15">
      <c r="A44" s="29" t="s">
        <v>81</v>
      </c>
      <c r="B44">
        <f>SUMIF(tables_settle_7107100!C:C,input_settle_7107100!A44,tables_settle_7107100!O:O)</f>
        <v>0</v>
      </c>
      <c r="C44" s="49">
        <f t="shared" si="9"/>
        <v>0</v>
      </c>
      <c r="E44" t="s">
        <v>40</v>
      </c>
      <c r="F44" s="50"/>
    </row>
    <row r="45" spans="1:7" x14ac:dyDescent="0.15">
      <c r="A45" s="29" t="s">
        <v>87</v>
      </c>
      <c r="B45">
        <f>SUMIF(tables_settle_7107100!C:C,input_settle_7107100!A45,tables_settle_7107100!O:O)</f>
        <v>80</v>
      </c>
      <c r="C45" s="49">
        <f t="shared" si="9"/>
        <v>1</v>
      </c>
      <c r="E45" t="s">
        <v>183</v>
      </c>
      <c r="F45" s="50">
        <f>SUMIF(tables_settle_7107100!I:I,input_settle_7107100!E45,tables_settle_7107100!P:P)</f>
        <v>0</v>
      </c>
    </row>
    <row r="46" spans="1:7" x14ac:dyDescent="0.15">
      <c r="A46" s="29" t="s">
        <v>88</v>
      </c>
      <c r="B46">
        <f>SUMIF(tables_settle_7107100!C:C,input_settle_7107100!A46,tables_settle_7107100!O:O)</f>
        <v>0</v>
      </c>
      <c r="C46" s="49">
        <f t="shared" si="9"/>
        <v>0</v>
      </c>
      <c r="E46" t="s">
        <v>184</v>
      </c>
      <c r="F46" s="50">
        <f>SUMIF(tables_settle_7107100!I:I,input_settle_7107100!E46,tables_settle_7107100!P:P)</f>
        <v>0.13043478260869565</v>
      </c>
    </row>
    <row r="47" spans="1:7" x14ac:dyDescent="0.15">
      <c r="A47" s="36" t="s">
        <v>45</v>
      </c>
      <c r="B47">
        <f>SUM(B40:B46)</f>
        <v>80</v>
      </c>
      <c r="C47" s="50">
        <f>SUM(C40:C46)</f>
        <v>1</v>
      </c>
      <c r="E47" t="s">
        <v>185</v>
      </c>
      <c r="F47" s="50">
        <f>SUMIF(tables_settle_7107100!I:I,input_settle_7107100!E47,tables_settle_7107100!P:P)</f>
        <v>4.3478260869565216E-2</v>
      </c>
    </row>
    <row r="48" spans="1:7" x14ac:dyDescent="0.15">
      <c r="E48" t="s">
        <v>186</v>
      </c>
      <c r="F48" s="50">
        <f>SUMIF(tables_settle_7107100!I:I,input_settle_7107100!E48,tables_settle_7107100!P:P)</f>
        <v>0.8260869565217388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7"/>
  <sheetViews>
    <sheetView showGridLines="0" zoomScale="75" zoomScaleNormal="75" zoomScalePageLayoutView="75" workbookViewId="0">
      <pane ySplit="1" topLeftCell="A2" activePane="bottomLeft" state="frozen"/>
      <selection activeCell="E6" sqref="E6"/>
      <selection pane="bottomLeft" activeCell="M23" sqref="M2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198</v>
      </c>
      <c r="B1" s="12" t="s">
        <v>1</v>
      </c>
      <c r="C1" s="3" t="s">
        <v>23</v>
      </c>
      <c r="D1" s="3" t="s">
        <v>199</v>
      </c>
      <c r="E1" s="3" t="s">
        <v>167</v>
      </c>
      <c r="F1" s="3" t="s">
        <v>168</v>
      </c>
      <c r="G1" s="3" t="s">
        <v>200</v>
      </c>
      <c r="H1" s="3" t="s">
        <v>201</v>
      </c>
      <c r="I1" s="3" t="s">
        <v>202</v>
      </c>
      <c r="J1" s="3" t="s">
        <v>203</v>
      </c>
      <c r="K1" s="3" t="s">
        <v>204</v>
      </c>
      <c r="L1" s="3" t="s">
        <v>205</v>
      </c>
      <c r="M1" s="3" t="s">
        <v>206</v>
      </c>
      <c r="N1" s="3" t="s">
        <v>44</v>
      </c>
      <c r="O1" s="12" t="s">
        <v>207</v>
      </c>
      <c r="P1" s="3" t="s">
        <v>49</v>
      </c>
      <c r="Q1" s="12" t="s">
        <v>208</v>
      </c>
      <c r="R1" s="26" t="s">
        <v>5</v>
      </c>
      <c r="S1" s="26" t="s">
        <v>6</v>
      </c>
      <c r="T1" s="26" t="s">
        <v>7</v>
      </c>
      <c r="U1" s="26" t="s">
        <v>8</v>
      </c>
      <c r="V1" s="26" t="s">
        <v>9</v>
      </c>
    </row>
    <row r="2" spans="1:22" ht="21" customHeight="1" x14ac:dyDescent="0.15">
      <c r="A2" s="2" t="str">
        <f ca="1">input_settle_7107100!A$2</f>
        <v>7107100</v>
      </c>
      <c r="B2" s="6">
        <v>168</v>
      </c>
      <c r="C2" s="7" t="str">
        <f t="shared" ref="C2:C9" si="0">D2&amp;J2&amp;E2&amp;F2&amp;G2</f>
        <v>Premium5R6release</v>
      </c>
      <c r="D2" s="7" t="str">
        <f t="shared" ref="D2:D9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2">
        <v>10</v>
      </c>
      <c r="P2" s="43">
        <f t="shared" ref="P2:P9" si="2">O2/SUM(O:O)</f>
        <v>4.3478260869565216E-2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 t="str">
        <f ca="1">input_settle_7107100!A$2</f>
        <v>7107100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2">
        <v>10</v>
      </c>
      <c r="P3" s="43">
        <f t="shared" si="2"/>
        <v>4.3478260869565216E-2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 t="str">
        <f ca="1">input_settle_7107100!A$2</f>
        <v>7107100</v>
      </c>
      <c r="B4" s="6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2">
        <v>10</v>
      </c>
      <c r="P4" s="43">
        <f t="shared" si="2"/>
        <v>4.3478260869565216E-2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 t="str">
        <f ca="1">input_settle_7107100!A$2</f>
        <v>7107100</v>
      </c>
      <c r="B5" s="5">
        <v>237</v>
      </c>
      <c r="C5" s="7" t="str">
        <f t="shared" si="0"/>
        <v>Premium5R6release</v>
      </c>
      <c r="D5" s="7" t="str">
        <f t="shared" si="1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2">
        <v>10</v>
      </c>
      <c r="P5" s="43">
        <f t="shared" si="2"/>
        <v>4.3478260869565216E-2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 t="str">
        <f ca="1">input_settle_7107100!A$2</f>
        <v>7107100</v>
      </c>
      <c r="B6" s="55">
        <v>732</v>
      </c>
      <c r="C6" s="7" t="str">
        <f t="shared" si="0"/>
        <v>PremiumSS5R5only</v>
      </c>
      <c r="D6" s="7" t="str">
        <f t="shared" si="1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2">
        <v>10</v>
      </c>
      <c r="P6" s="43">
        <f t="shared" si="2"/>
        <v>4.3478260869565216E-2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 t="str">
        <f ca="1">input_settle_7107100!A$2</f>
        <v>7107100</v>
      </c>
      <c r="B7" s="55">
        <v>734</v>
      </c>
      <c r="C7" s="7" t="str">
        <f t="shared" si="0"/>
        <v>PremiumSS5R5only</v>
      </c>
      <c r="D7" s="7" t="str">
        <f t="shared" si="1"/>
        <v>PremiumSS</v>
      </c>
      <c r="E7" s="7" t="str">
        <f>IF(COUNTIF('R6追加前'!A:A,B7)=0,IF(I7="PremiumSS","R5only","R3less"),"")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2">
        <v>10</v>
      </c>
      <c r="P7" s="43">
        <f t="shared" si="2"/>
        <v>4.3478260869565216E-2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 t="str">
        <f ca="1">input_settle_7107100!A$2</f>
        <v>7107100</v>
      </c>
      <c r="B8" s="55">
        <v>325</v>
      </c>
      <c r="C8" s="7" t="str">
        <f t="shared" si="0"/>
        <v>PremiumSS5</v>
      </c>
      <c r="D8" s="7" t="str">
        <f t="shared" si="1"/>
        <v>PremiumSS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2">
        <v>10</v>
      </c>
      <c r="P8" s="43">
        <f t="shared" si="2"/>
        <v>4.3478260869565216E-2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 t="str">
        <f ca="1">input_settle_7107100!A$2</f>
        <v>7107100</v>
      </c>
      <c r="B9" s="55">
        <v>391</v>
      </c>
      <c r="C9" s="7" t="str">
        <f t="shared" si="0"/>
        <v>PremiumSS5</v>
      </c>
      <c r="D9" s="7" t="str">
        <f t="shared" si="1"/>
        <v>PremiumSS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2">
        <v>10</v>
      </c>
      <c r="P9" s="43">
        <f t="shared" si="2"/>
        <v>4.3478260869565216E-2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 t="str">
        <f ca="1">input_settle_7107100!A$2</f>
        <v>7107100</v>
      </c>
      <c r="B10" s="55">
        <v>848</v>
      </c>
      <c r="C10" s="7" t="str">
        <f t="shared" ref="C10:C11" si="3">D10&amp;J10&amp;E10&amp;F10&amp;G10</f>
        <v>PremiumSS5R5only</v>
      </c>
      <c r="D10" s="7" t="str">
        <f t="shared" ref="D10:D11" si="4">IF(I10="PremiumSS",I10,IF(I10="PremiumSSS",I10,IF(I10="PremiumW",I10,"Premium")))</f>
        <v>PremiumSS</v>
      </c>
      <c r="E10" s="7" t="str">
        <f>IF(COUNTIF('R6追加前'!A:A,B10)=0,IF(I10="PremiumSS","R5only","R3less"),"")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2">
        <v>10</v>
      </c>
      <c r="P10" s="43">
        <f t="shared" ref="P10:P11" si="5">O10/SUM(O:O)</f>
        <v>4.3478260869565216E-2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 t="str">
        <f ca="1">input_settle_7107100!A$2</f>
        <v>7107100</v>
      </c>
      <c r="B11" s="55">
        <v>850</v>
      </c>
      <c r="C11" s="7" t="str">
        <f t="shared" si="3"/>
        <v>PremiumSS5R5only</v>
      </c>
      <c r="D11" s="7" t="str">
        <f t="shared" si="4"/>
        <v>PremiumSS</v>
      </c>
      <c r="E11" s="7" t="str">
        <f>IF(COUNTIF('R6追加前'!A:A,B11)=0,IF(I11="PremiumSS","R5only","R3less"),"")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2">
        <v>10</v>
      </c>
      <c r="P11" s="43">
        <f t="shared" si="5"/>
        <v>4.3478260869565216E-2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 t="str">
        <f ca="1">input_settle_7107100!A$2</f>
        <v>7107100</v>
      </c>
      <c r="B12" s="55">
        <v>404</v>
      </c>
      <c r="C12" s="7" t="str">
        <f t="shared" ref="C12:C13" si="6">D12&amp;J12&amp;E12&amp;F12&amp;G12</f>
        <v>PremiumSS5</v>
      </c>
      <c r="D12" s="7" t="str">
        <f t="shared" ref="D12:D13" si="7">IF(I12="PremiumSS",I12,IF(I12="PremiumSSS",I12,IF(I12="PremiumW",I12,"Premium")))</f>
        <v>PremiumSS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42">
        <v>10</v>
      </c>
      <c r="P12" s="43">
        <f t="shared" ref="P12:P13" si="8">O12/SUM(O:O)</f>
        <v>4.3478260869565216E-2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 t="str">
        <f ca="1">input_settle_7107100!A$2</f>
        <v>7107100</v>
      </c>
      <c r="B13" s="55">
        <v>399</v>
      </c>
      <c r="C13" s="7" t="str">
        <f t="shared" si="6"/>
        <v>PremiumSS5</v>
      </c>
      <c r="D13" s="7" t="str">
        <f t="shared" si="7"/>
        <v>PremiumSS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v>10</v>
      </c>
      <c r="P13" s="43">
        <f t="shared" si="8"/>
        <v>4.3478260869565216E-2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 t="str">
        <f ca="1">input_settle_7107100!A$2</f>
        <v>7107100</v>
      </c>
      <c r="B14" s="55">
        <v>866</v>
      </c>
      <c r="C14" s="7" t="str">
        <f t="shared" ref="C14:C15" si="9">D14&amp;J14&amp;E14&amp;F14&amp;G14</f>
        <v>PremiumSS5R5only</v>
      </c>
      <c r="D14" s="7" t="str">
        <f t="shared" ref="D14:D15" si="10">IF(I14="PremiumSS",I14,IF(I14="PremiumSSS",I14,IF(I14="PremiumW",I14,"Premium")))</f>
        <v>PremiumSS</v>
      </c>
      <c r="E14" s="7" t="str">
        <f>IF(COUNTIF('R6追加前'!A:A,B14)=0,IF(I14="PremiumSS","R5only","R3less"),"")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無敗の司令姫 白雪姫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2">
        <v>10</v>
      </c>
      <c r="P14" s="43">
        <f t="shared" ref="P14:P15" si="11">O14/SUM(O:O)</f>
        <v>4.3478260869565216E-2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 t="str">
        <f ca="1">input_settle_7107100!A$2</f>
        <v>7107100</v>
      </c>
      <c r="B15" s="55">
        <v>868</v>
      </c>
      <c r="C15" s="7" t="str">
        <f t="shared" si="9"/>
        <v>PremiumSS5R5only</v>
      </c>
      <c r="D15" s="7" t="str">
        <f t="shared" si="10"/>
        <v>PremiumSS</v>
      </c>
      <c r="E15" s="7" t="str">
        <f>IF(COUNTIF('R6追加前'!A:A,B15)=0,IF(I15="PremiumSS","R5only","R3less"),"")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アラジンと殲滅機兵LAMP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2">
        <v>10</v>
      </c>
      <c r="P15" s="43">
        <f t="shared" si="11"/>
        <v>4.3478260869565216E-2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 t="str">
        <f ca="1">input_settle_7107100!A$2</f>
        <v>7107100</v>
      </c>
      <c r="B16" s="82">
        <v>435</v>
      </c>
      <c r="C16" s="7" t="str">
        <f t="shared" ref="C16:C17" si="12">D16&amp;J16&amp;E16&amp;F16&amp;G16</f>
        <v>PremiumSS5</v>
      </c>
      <c r="D16" s="7" t="str">
        <f t="shared" ref="D16:D17" si="13">IF(I16="PremiumSS",I16,IF(I16="PremiumSSS",I16,IF(I16="PremiumW",I16,"Premium")))</f>
        <v>PremiumSS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曝弾の密偵 D.R.T.H.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2">
        <v>10</v>
      </c>
      <c r="P16" s="43">
        <f t="shared" ref="P16:P17" si="14">O16/SUM(O:O)</f>
        <v>4.3478260869565216E-2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 t="str">
        <f ca="1">input_settle_7107100!A$2</f>
        <v>7107100</v>
      </c>
      <c r="B17" s="82">
        <v>468</v>
      </c>
      <c r="C17" s="7" t="str">
        <f t="shared" si="12"/>
        <v>PremiumSS5</v>
      </c>
      <c r="D17" s="7" t="str">
        <f t="shared" si="13"/>
        <v>PremiumSS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憎愛の尖鋒 モルドレッド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女性</v>
      </c>
      <c r="O17" s="42">
        <v>10</v>
      </c>
      <c r="P17" s="43">
        <f t="shared" si="14"/>
        <v>4.3478260869565216E-2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 t="str">
        <f ca="1">input_settle_7107100!A$2</f>
        <v>7107100</v>
      </c>
      <c r="B18" s="82">
        <v>493</v>
      </c>
      <c r="C18" s="7" t="str">
        <f t="shared" ref="C18:C19" si="15">D18&amp;J18&amp;E18&amp;F18&amp;G18</f>
        <v>PremiumSS5</v>
      </c>
      <c r="D18" s="7" t="str">
        <f t="shared" ref="D18:D19" si="16">IF(I18="PremiumSS",I18,IF(I18="PremiumSSS",I18,IF(I18="PremiumW",I18,"Premium")))</f>
        <v>PremiumSS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2">
        <v>10</v>
      </c>
      <c r="P18" s="43">
        <f t="shared" ref="P18:P19" si="17">O18/SUM(O:O)</f>
        <v>4.3478260869565216E-2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 t="str">
        <f ca="1">input_settle_7107100!A$2</f>
        <v>7107100</v>
      </c>
      <c r="B19" s="82">
        <v>495</v>
      </c>
      <c r="C19" s="7" t="str">
        <f t="shared" si="15"/>
        <v>PremiumSS5</v>
      </c>
      <c r="D19" s="7" t="str">
        <f t="shared" si="16"/>
        <v>PremiumSS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2">
        <v>10</v>
      </c>
      <c r="P19" s="43">
        <f t="shared" si="17"/>
        <v>4.3478260869565216E-2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 t="str">
        <f ca="1">input_settle_7107100!A$2</f>
        <v>7107100</v>
      </c>
      <c r="B20" s="82">
        <v>742</v>
      </c>
      <c r="C20" s="7" t="str">
        <f t="shared" ref="C20:C21" si="18">D20&amp;J20&amp;E20&amp;F20&amp;G20</f>
        <v>PremiumSS5R5only</v>
      </c>
      <c r="D20" s="7" t="str">
        <f t="shared" ref="D20:D21" si="19">IF(I20="PremiumSS",I20,IF(I20="PremiumSSS",I20,IF(I20="PremiumW",I20,"Premium")))</f>
        <v>PremiumSS</v>
      </c>
      <c r="E20" s="7" t="str">
        <f>IF(COUNTIF('R6追加前'!A:A,B20)=0,IF(I20="PremiumSS","R5only","R3less"),"")</f>
        <v>R5only</v>
      </c>
      <c r="F20" s="7" t="str">
        <f>IF(COUNTIF('R6開放'!A:A,B20)&gt;0,"R6release","")</f>
        <v/>
      </c>
      <c r="G20" s="7"/>
      <c r="H20" s="7" t="str">
        <f>VLOOKUP(B20,[1]characters!$A:$C,3,FALSE)</f>
        <v>アポロン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attack</v>
      </c>
      <c r="M20" s="7" t="str">
        <f>VLOOKUP(B20,[1]characters!$A:$M,13,FALSE)</f>
        <v>god</v>
      </c>
      <c r="N20" s="7" t="str">
        <f>VLOOKUP(B20,[1]characters!$A:$G,7,FALSE)</f>
        <v>男性</v>
      </c>
      <c r="O20" s="42">
        <v>10</v>
      </c>
      <c r="P20" s="43">
        <f t="shared" ref="P20:P21" si="20">O20/SUM(O:O)</f>
        <v>4.3478260869565216E-2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 t="str">
        <f ca="1">input_settle_7107100!A$2</f>
        <v>7107100</v>
      </c>
      <c r="B21" s="82">
        <v>744</v>
      </c>
      <c r="C21" s="7" t="str">
        <f t="shared" si="18"/>
        <v>PremiumSS5R5only</v>
      </c>
      <c r="D21" s="7" t="str">
        <f t="shared" si="19"/>
        <v>PremiumSS</v>
      </c>
      <c r="E21" s="7" t="str">
        <f>IF(COUNTIF('R6追加前'!A:A,B21)=0,IF(I21="PremiumSS","R5only","R3less"),"")</f>
        <v>R5only</v>
      </c>
      <c r="F21" s="7" t="str">
        <f>IF(COUNTIF('R6開放'!A:A,B21)&gt;0,"R6release","")</f>
        <v/>
      </c>
      <c r="G21" s="7"/>
      <c r="H21" s="7" t="str">
        <f>VLOOKUP(B21,[1]characters!$A:$C,3,FALSE)</f>
        <v>ヘルメス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technical</v>
      </c>
      <c r="M21" s="7" t="str">
        <f>VLOOKUP(B21,[1]characters!$A:$M,13,FALSE)</f>
        <v>god</v>
      </c>
      <c r="N21" s="7" t="str">
        <f>VLOOKUP(B21,[1]characters!$A:$G,7,FALSE)</f>
        <v>男性</v>
      </c>
      <c r="O21" s="42">
        <v>10</v>
      </c>
      <c r="P21" s="43">
        <f t="shared" si="20"/>
        <v>4.3478260869565216E-2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 t="str">
        <f ca="1">input_settle_7107100!A$2</f>
        <v>7107100</v>
      </c>
      <c r="B22" s="82">
        <v>937</v>
      </c>
      <c r="C22" s="7" t="str">
        <f t="shared" ref="C22:C23" si="21">D22&amp;J22&amp;E22&amp;F22&amp;G22</f>
        <v>PremiumSS5R5only</v>
      </c>
      <c r="D22" s="7" t="str">
        <f t="shared" ref="D22:D23" si="22">IF(I22="PremiumSS",I22,IF(I22="PremiumSSS",I22,IF(I22="PremiumW",I22,"Premium")))</f>
        <v>PremiumSS</v>
      </c>
      <c r="E22" s="7" t="str">
        <f>IF(COUNTIF('R6追加前'!A:A,B22)=0,IF(I22="PremiumSS","R5only","R3less"),"")</f>
        <v>R5only</v>
      </c>
      <c r="F22" s="7" t="str">
        <f>IF(COUNTIF('R6開放'!A:A,B22)&gt;0,"R6release","")</f>
        <v/>
      </c>
      <c r="G22" s="7"/>
      <c r="H22" s="7" t="str">
        <f>VLOOKUP(B22,[1]characters!$A:$C,3,FALSE)</f>
        <v>ナポレオン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balance</v>
      </c>
      <c r="M22" s="7" t="str">
        <f>VLOOKUP(B22,[1]characters!$A:$M,13,FALSE)</f>
        <v>hero</v>
      </c>
      <c r="N22" s="7" t="str">
        <f>VLOOKUP(B22,[1]characters!$A:$G,7,FALSE)</f>
        <v>男性</v>
      </c>
      <c r="O22" s="42">
        <v>10</v>
      </c>
      <c r="P22" s="43">
        <f t="shared" ref="P22:P23" si="23">O22/SUM(O:O)</f>
        <v>4.3478260869565216E-2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 t="str">
        <f ca="1">input_settle_7107100!A$2</f>
        <v>7107100</v>
      </c>
      <c r="B23" s="82">
        <v>941</v>
      </c>
      <c r="C23" s="7" t="str">
        <f t="shared" si="21"/>
        <v>PremiumSS5R5only</v>
      </c>
      <c r="D23" s="7" t="str">
        <f t="shared" si="22"/>
        <v>PremiumSS</v>
      </c>
      <c r="E23" s="7" t="str">
        <f>IF(COUNTIF('R6追加前'!A:A,B23)=0,IF(I23="PremiumSS","R5only","R3less"),"")</f>
        <v>R5only</v>
      </c>
      <c r="F23" s="7" t="str">
        <f>IF(COUNTIF('R6開放'!A:A,B23)&gt;0,"R6release","")</f>
        <v/>
      </c>
      <c r="G23" s="7"/>
      <c r="H23" s="7" t="str">
        <f>VLOOKUP(B23,[1]characters!$A:$C,3,FALSE)</f>
        <v>アントワネット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technical</v>
      </c>
      <c r="M23" s="7" t="str">
        <f>VLOOKUP(B23,[1]characters!$A:$M,13,FALSE)</f>
        <v>human</v>
      </c>
      <c r="N23" s="7" t="str">
        <f>VLOOKUP(B23,[1]characters!$A:$G,7,FALSE)</f>
        <v>男性</v>
      </c>
      <c r="O23" s="42">
        <v>10</v>
      </c>
      <c r="P23" s="43">
        <f t="shared" si="23"/>
        <v>4.3478260869565216E-2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 t="str">
        <f ca="1">input_settle_7107100!A$2</f>
        <v>7107100</v>
      </c>
      <c r="B24" s="82">
        <v>943</v>
      </c>
      <c r="C24" s="7" t="str">
        <f t="shared" ref="C24" si="24">D24&amp;J24&amp;E24&amp;F24&amp;G24</f>
        <v>PremiumSS5R5only</v>
      </c>
      <c r="D24" s="7" t="str">
        <f t="shared" ref="D24" si="25">IF(I24="PremiumSS",I24,IF(I24="PremiumSSS",I24,IF(I24="PremiumW",I24,"Premium")))</f>
        <v>PremiumSS</v>
      </c>
      <c r="E24" s="7" t="str">
        <f>IF(COUNTIF('R6追加前'!A:A,B24)=0,IF(I24="PremiumSS","R5only","R3less"),"")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サンソン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yellow</v>
      </c>
      <c r="L24" s="7" t="str">
        <f>VLOOKUP(B24,[1]characters!$A:$K,11,FALSE)</f>
        <v>attack</v>
      </c>
      <c r="M24" s="7" t="str">
        <f>VLOOKUP(B24,[1]characters!$A:$M,13,FALSE)</f>
        <v>human</v>
      </c>
      <c r="N24" s="7" t="str">
        <f>VLOOKUP(B24,[1]characters!$A:$G,7,FALSE)</f>
        <v>男性</v>
      </c>
      <c r="O24" s="42">
        <v>10</v>
      </c>
      <c r="P24" s="43">
        <f t="shared" ref="P24" si="26">O24/SUM(O:O)</f>
        <v>4.3478260869565216E-2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K25" s="1"/>
    </row>
    <row r="26" spans="1:22" ht="21" customHeight="1" x14ac:dyDescent="0.15">
      <c r="K26" s="1"/>
    </row>
    <row r="27" spans="1:22" ht="21" customHeight="1" x14ac:dyDescent="0.15">
      <c r="K27" s="1"/>
    </row>
    <row r="28" spans="1:22" ht="21" customHeight="1" x14ac:dyDescent="0.15">
      <c r="K28" s="1"/>
    </row>
    <row r="29" spans="1:22" ht="21" customHeight="1" x14ac:dyDescent="0.15">
      <c r="K29" s="1"/>
    </row>
    <row r="30" spans="1:22" ht="21" customHeight="1" x14ac:dyDescent="0.15">
      <c r="K30" s="1"/>
    </row>
    <row r="31" spans="1:22" ht="21" customHeight="1" x14ac:dyDescent="0.15">
      <c r="K31" s="1"/>
    </row>
    <row r="32" spans="1:22" ht="21" customHeight="1" x14ac:dyDescent="0.15">
      <c r="K32" s="1"/>
    </row>
    <row r="33" spans="11:11" ht="21" customHeight="1" x14ac:dyDescent="0.15">
      <c r="K33" s="1"/>
    </row>
    <row r="34" spans="11:11" ht="21" customHeight="1" x14ac:dyDescent="0.15">
      <c r="K34" s="1"/>
    </row>
    <row r="35" spans="11:11" ht="21" customHeight="1" x14ac:dyDescent="0.15">
      <c r="K35" s="1"/>
    </row>
    <row r="36" spans="11:11" ht="21" customHeight="1" x14ac:dyDescent="0.15">
      <c r="K36" s="1"/>
    </row>
    <row r="37" spans="11:11" ht="21" customHeight="1" x14ac:dyDescent="0.15">
      <c r="K37" s="1"/>
    </row>
    <row r="38" spans="11:11" ht="21" customHeight="1" x14ac:dyDescent="0.15">
      <c r="K38" s="1"/>
    </row>
    <row r="39" spans="11:11" ht="21" customHeight="1" x14ac:dyDescent="0.15">
      <c r="K39" s="1"/>
    </row>
    <row r="40" spans="11:11" ht="21" customHeight="1" x14ac:dyDescent="0.15">
      <c r="K40" s="1"/>
    </row>
    <row r="41" spans="11:11" ht="21" customHeight="1" x14ac:dyDescent="0.15">
      <c r="K41" s="1"/>
    </row>
    <row r="42" spans="11:11" ht="21" customHeight="1" x14ac:dyDescent="0.15">
      <c r="K42" s="1"/>
    </row>
    <row r="43" spans="11:11" ht="21" customHeight="1" x14ac:dyDescent="0.15">
      <c r="K43" s="1"/>
    </row>
    <row r="44" spans="11:11" ht="21" customHeight="1" x14ac:dyDescent="0.15">
      <c r="K44" s="1"/>
    </row>
    <row r="45" spans="11:11" ht="21" customHeight="1" x14ac:dyDescent="0.15">
      <c r="K45" s="1"/>
    </row>
    <row r="46" spans="11:11" ht="21" customHeight="1" x14ac:dyDescent="0.15">
      <c r="K46" s="1"/>
    </row>
    <row r="47" spans="11:11" ht="21" customHeight="1" x14ac:dyDescent="0.15">
      <c r="K47" s="1"/>
    </row>
    <row r="48" spans="11:11" ht="21" customHeight="1" x14ac:dyDescent="0.15">
      <c r="K48" s="1"/>
    </row>
    <row r="49" spans="11:11" ht="21" customHeight="1" x14ac:dyDescent="0.15">
      <c r="K49" s="1"/>
    </row>
    <row r="50" spans="11:11" ht="21" customHeight="1" x14ac:dyDescent="0.15">
      <c r="K50" s="1"/>
    </row>
    <row r="51" spans="11:11" ht="21" customHeight="1" x14ac:dyDescent="0.15">
      <c r="K51" s="1"/>
    </row>
    <row r="52" spans="11:11" ht="21" customHeight="1" x14ac:dyDescent="0.15">
      <c r="K52" s="1"/>
    </row>
    <row r="53" spans="11:11" ht="21" customHeight="1" x14ac:dyDescent="0.15">
      <c r="K53" s="1"/>
    </row>
    <row r="54" spans="11:11" ht="21" customHeight="1" x14ac:dyDescent="0.15">
      <c r="K54" s="1"/>
    </row>
    <row r="55" spans="11:11" ht="21" customHeight="1" x14ac:dyDescent="0.15">
      <c r="K55" s="1"/>
    </row>
    <row r="56" spans="11:11" ht="21" customHeight="1" x14ac:dyDescent="0.15">
      <c r="K56" s="1"/>
    </row>
    <row r="57" spans="11:11" ht="21" customHeight="1" x14ac:dyDescent="0.15">
      <c r="K57" s="1"/>
    </row>
    <row r="58" spans="11:11" ht="21" customHeight="1" x14ac:dyDescent="0.15">
      <c r="K58" s="1"/>
    </row>
    <row r="59" spans="11:11" ht="21" customHeight="1" x14ac:dyDescent="0.15">
      <c r="K59" s="1"/>
    </row>
    <row r="60" spans="11:11" ht="21" customHeight="1" x14ac:dyDescent="0.15">
      <c r="K60" s="1"/>
    </row>
    <row r="61" spans="11:11" ht="21" customHeight="1" x14ac:dyDescent="0.15">
      <c r="K61" s="1"/>
    </row>
    <row r="62" spans="11:11" ht="21" customHeight="1" x14ac:dyDescent="0.15">
      <c r="K62" s="1"/>
    </row>
    <row r="63" spans="11:11" ht="21" customHeight="1" x14ac:dyDescent="0.15">
      <c r="K63" s="1"/>
    </row>
    <row r="64" spans="11:11" ht="21" customHeight="1" x14ac:dyDescent="0.15">
      <c r="K64" s="1"/>
    </row>
    <row r="65" spans="11:11" ht="21" customHeight="1" x14ac:dyDescent="0.15">
      <c r="K65" s="1"/>
    </row>
    <row r="66" spans="11:11" ht="21" customHeight="1" x14ac:dyDescent="0.15">
      <c r="K66" s="1"/>
    </row>
    <row r="67" spans="11:11" ht="21" customHeight="1" x14ac:dyDescent="0.15">
      <c r="K67" s="1"/>
    </row>
    <row r="68" spans="11:11" ht="21" customHeight="1" x14ac:dyDescent="0.15">
      <c r="K68" s="1"/>
    </row>
    <row r="69" spans="11:11" ht="21" customHeight="1" x14ac:dyDescent="0.15">
      <c r="K69" s="1"/>
    </row>
    <row r="70" spans="11:11" ht="21" customHeight="1" x14ac:dyDescent="0.15">
      <c r="K70" s="1"/>
    </row>
    <row r="71" spans="11:11" ht="21" customHeight="1" x14ac:dyDescent="0.15">
      <c r="K71" s="1"/>
    </row>
    <row r="72" spans="11:11" ht="21" customHeight="1" x14ac:dyDescent="0.15">
      <c r="K72" s="1"/>
    </row>
    <row r="73" spans="11:11" ht="21" customHeight="1" x14ac:dyDescent="0.15">
      <c r="K73" s="1"/>
    </row>
    <row r="74" spans="11:11" ht="21" customHeight="1" x14ac:dyDescent="0.15">
      <c r="K74" s="1"/>
    </row>
    <row r="75" spans="11:11" ht="21" customHeight="1" x14ac:dyDescent="0.15">
      <c r="K75" s="1"/>
    </row>
    <row r="76" spans="11:11" ht="21" customHeight="1" x14ac:dyDescent="0.15">
      <c r="K76" s="1"/>
    </row>
    <row r="77" spans="11:11" ht="21" customHeight="1" x14ac:dyDescent="0.15">
      <c r="K77" s="1"/>
    </row>
    <row r="78" spans="11:11" ht="21" customHeight="1" x14ac:dyDescent="0.15">
      <c r="K78" s="1"/>
    </row>
    <row r="79" spans="11:11" ht="21" customHeight="1" x14ac:dyDescent="0.15">
      <c r="K79" s="1"/>
    </row>
    <row r="80" spans="11:11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5">
        <v>668</v>
      </c>
      <c r="B246" s="7" t="str">
        <f>VLOOKUP(A246,[1]characters!$A:$C,3,FALSE)</f>
        <v>アグニ</v>
      </c>
    </row>
    <row r="247" spans="1:2" x14ac:dyDescent="0.15">
      <c r="A247" s="55">
        <v>669</v>
      </c>
      <c r="B247" s="7" t="str">
        <f>VLOOKUP(A247,[1]characters!$A:$C,3,FALSE)</f>
        <v>天地の仲界 アグニ</v>
      </c>
    </row>
    <row r="248" spans="1:2" x14ac:dyDescent="0.15">
      <c r="A248" s="55">
        <v>670</v>
      </c>
      <c r="B248" s="7" t="str">
        <f>VLOOKUP(A248,[1]characters!$A:$C,3,FALSE)</f>
        <v>陽天の噴煙 アグニ</v>
      </c>
    </row>
    <row r="249" spans="1:2" x14ac:dyDescent="0.15">
      <c r="A249" s="55">
        <v>671</v>
      </c>
      <c r="B249" s="7" t="str">
        <f>VLOOKUP(A249,[1]characters!$A:$C,3,FALSE)</f>
        <v>ハヌマーン</v>
      </c>
    </row>
    <row r="250" spans="1:2" x14ac:dyDescent="0.15">
      <c r="A250" s="55">
        <v>672</v>
      </c>
      <c r="B250" s="7" t="str">
        <f>VLOOKUP(A250,[1]characters!$A:$C,3,FALSE)</f>
        <v>西遊韋駄天 ハヌマーン</v>
      </c>
    </row>
    <row r="251" spans="1:2" x14ac:dyDescent="0.15">
      <c r="A251" s="55">
        <v>673</v>
      </c>
      <c r="B251" s="7" t="str">
        <f>VLOOKUP(A251,[1]characters!$A:$C,3,FALSE)</f>
        <v>変幻自在の猿王 ハヌマーン</v>
      </c>
    </row>
    <row r="252" spans="1:2" x14ac:dyDescent="0.15">
      <c r="A252" s="55">
        <v>674</v>
      </c>
      <c r="B252" s="7" t="str">
        <f>VLOOKUP(A252,[1]characters!$A:$C,3,FALSE)</f>
        <v>サラスヴァティ</v>
      </c>
    </row>
    <row r="253" spans="1:2" x14ac:dyDescent="0.15">
      <c r="A253" s="55">
        <v>675</v>
      </c>
      <c r="B253" s="7" t="str">
        <f>VLOOKUP(A253,[1]characters!$A:$C,3,FALSE)</f>
        <v>芸楽の奔流 サラスヴァティ</v>
      </c>
    </row>
    <row r="254" spans="1:2" x14ac:dyDescent="0.15">
      <c r="A254" s="55">
        <v>676</v>
      </c>
      <c r="B254" s="7" t="str">
        <f>VLOOKUP(A254,[1]characters!$A:$C,3,FALSE)</f>
        <v>ヴィシュヌ</v>
      </c>
    </row>
    <row r="255" spans="1:2" x14ac:dyDescent="0.15">
      <c r="A255" s="55">
        <v>677</v>
      </c>
      <c r="B255" s="7" t="str">
        <f>VLOOKUP(A255,[1]characters!$A:$C,3,FALSE)</f>
        <v>武遊闊歩 ヴィシュヌ</v>
      </c>
    </row>
    <row r="256" spans="1:2" x14ac:dyDescent="0.15">
      <c r="A256" s="55">
        <v>770</v>
      </c>
      <c r="B256" s="7" t="str">
        <f>VLOOKUP(A256,[1]characters!$A:$C,3,FALSE)</f>
        <v>ハヅル</v>
      </c>
    </row>
    <row r="257" spans="1:2" x14ac:dyDescent="0.15">
      <c r="A257" s="55">
        <v>771</v>
      </c>
      <c r="B257" s="7" t="str">
        <f>VLOOKUP(A257,[1]characters!$A:$C,3,FALSE)</f>
        <v>天織羽鶴 ハヅル</v>
      </c>
    </row>
    <row r="258" spans="1:2" x14ac:dyDescent="0.15">
      <c r="A258" s="55">
        <v>772</v>
      </c>
      <c r="B258" s="7" t="str">
        <f>VLOOKUP(A258,[1]characters!$A:$C,3,FALSE)</f>
        <v>イナバ</v>
      </c>
    </row>
    <row r="259" spans="1:2" x14ac:dyDescent="0.15">
      <c r="A259" s="55">
        <v>773</v>
      </c>
      <c r="B259" s="7" t="str">
        <f>VLOOKUP(A259,[1]characters!$A:$C,3,FALSE)</f>
        <v>浮跳天兎 イナバ</v>
      </c>
    </row>
    <row r="260" spans="1:2" x14ac:dyDescent="0.15">
      <c r="A260" s="55">
        <v>774</v>
      </c>
      <c r="B260" s="7" t="str">
        <f>VLOOKUP(A260,[1]characters!$A:$C,3,FALSE)</f>
        <v>ミズチ</v>
      </c>
    </row>
    <row r="261" spans="1:2" x14ac:dyDescent="0.15">
      <c r="A261" s="55">
        <v>775</v>
      </c>
      <c r="B261" s="7" t="str">
        <f>VLOOKUP(A261,[1]characters!$A:$C,3,FALSE)</f>
        <v>水底霊竜 ミズチ</v>
      </c>
    </row>
    <row r="262" spans="1:2" x14ac:dyDescent="0.15">
      <c r="A262" s="55">
        <v>776</v>
      </c>
      <c r="B262" s="7" t="str">
        <f>VLOOKUP(A262,[1]characters!$A:$C,3,FALSE)</f>
        <v>水竜底主 ミズチ</v>
      </c>
    </row>
    <row r="263" spans="1:2" x14ac:dyDescent="0.15">
      <c r="A263" s="55">
        <v>777</v>
      </c>
      <c r="B263" s="7" t="str">
        <f>VLOOKUP(A263,[1]characters!$A:$C,3,FALSE)</f>
        <v>ガメック</v>
      </c>
    </row>
    <row r="264" spans="1:2" x14ac:dyDescent="0.15">
      <c r="A264" s="55">
        <v>778</v>
      </c>
      <c r="B264" s="7" t="str">
        <f>VLOOKUP(A264,[1]characters!$A:$C,3,FALSE)</f>
        <v>一亀懸明 ガメック</v>
      </c>
    </row>
    <row r="265" spans="1:2" x14ac:dyDescent="0.15">
      <c r="A265" s="55">
        <v>779</v>
      </c>
      <c r="B265" s="7" t="str">
        <f>VLOOKUP(A265,[1]characters!$A:$C,3,FALSE)</f>
        <v>頑堅咬亀 ガメック</v>
      </c>
    </row>
    <row r="266" spans="1:2" x14ac:dyDescent="0.15">
      <c r="A266" s="55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5" t="s">
        <v>47</v>
      </c>
      <c r="B1" s="35"/>
    </row>
    <row r="2" spans="1:2" x14ac:dyDescent="0.15">
      <c r="A2" s="29" t="s">
        <v>1</v>
      </c>
      <c r="B2" s="34" t="s">
        <v>51</v>
      </c>
    </row>
    <row r="3" spans="1:2" x14ac:dyDescent="0.15">
      <c r="A3" s="6">
        <v>166</v>
      </c>
      <c r="B3" s="34" t="str">
        <f>VLOOKUP(A3,[1]characters!$A:$C,3,FALSE)</f>
        <v>ベリアル</v>
      </c>
    </row>
    <row r="4" spans="1:2" x14ac:dyDescent="0.15">
      <c r="A4" s="6">
        <v>167</v>
      </c>
      <c r="B4" s="34" t="str">
        <f>VLOOKUP(A4,[1]characters!$A:$C,3,FALSE)</f>
        <v>逆徒 ベリアル</v>
      </c>
    </row>
    <row r="5" spans="1:2" x14ac:dyDescent="0.15">
      <c r="A5" s="6">
        <v>168</v>
      </c>
      <c r="B5" s="34" t="str">
        <f>VLOOKUP(A5,[1]characters!$A:$C,3,FALSE)</f>
        <v>猛進の大逆者 ベリアル</v>
      </c>
    </row>
    <row r="6" spans="1:2" x14ac:dyDescent="0.15">
      <c r="A6" s="29">
        <v>169</v>
      </c>
      <c r="B6" s="34" t="str">
        <f>VLOOKUP(A6,[1]characters!$A:$C,3,FALSE)</f>
        <v>オセ</v>
      </c>
    </row>
    <row r="7" spans="1:2" x14ac:dyDescent="0.15">
      <c r="A7" s="29">
        <v>170</v>
      </c>
      <c r="B7" s="34" t="str">
        <f>VLOOKUP(A7,[1]characters!$A:$C,3,FALSE)</f>
        <v>識徒 オセ</v>
      </c>
    </row>
    <row r="8" spans="1:2" x14ac:dyDescent="0.15">
      <c r="A8" s="29">
        <v>171</v>
      </c>
      <c r="B8" s="34" t="str">
        <f>VLOOKUP(A8,[1]characters!$A:$C,3,FALSE)</f>
        <v>精解の預知者 オセ</v>
      </c>
    </row>
    <row r="9" spans="1:2" x14ac:dyDescent="0.15">
      <c r="A9" s="29">
        <v>172</v>
      </c>
      <c r="B9" s="34" t="str">
        <f>VLOOKUP(A9,[1]characters!$A:$C,3,FALSE)</f>
        <v>フォルネウス</v>
      </c>
    </row>
    <row r="10" spans="1:2" x14ac:dyDescent="0.15">
      <c r="A10" s="29">
        <v>173</v>
      </c>
      <c r="B10" s="34" t="str">
        <f>VLOOKUP(A10,[1]characters!$A:$C,3,FALSE)</f>
        <v>公爵 フォルネウス</v>
      </c>
    </row>
    <row r="11" spans="1:2" x14ac:dyDescent="0.15">
      <c r="A11" s="29">
        <v>174</v>
      </c>
      <c r="B11" s="34" t="str">
        <f>VLOOKUP(A11,[1]characters!$A:$C,3,FALSE)</f>
        <v>偽愛の大公爵 フォルネウス</v>
      </c>
    </row>
    <row r="12" spans="1:2" x14ac:dyDescent="0.15">
      <c r="A12" s="29">
        <v>235</v>
      </c>
      <c r="B12" s="34" t="str">
        <f>VLOOKUP(A12,[1]characters!$A:$C,3,FALSE)</f>
        <v>イザナミ</v>
      </c>
    </row>
    <row r="13" spans="1:2" x14ac:dyDescent="0.15">
      <c r="A13" s="29">
        <v>236</v>
      </c>
      <c r="B13" s="34" t="str">
        <f>VLOOKUP(A13,[1]characters!$A:$C,3,FALSE)</f>
        <v>神産 イザナミ</v>
      </c>
    </row>
    <row r="14" spans="1:2" x14ac:dyDescent="0.15">
      <c r="A14" s="29">
        <v>237</v>
      </c>
      <c r="B14" s="34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input_settle_7107100</vt:lpstr>
      <vt:lpstr>tables_settle_7107100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2016-06-29T06:17:24Z</dcterms:modified>
</cp:coreProperties>
</file>