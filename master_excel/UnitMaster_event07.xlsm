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3760" yWindow="1220" windowWidth="25040" windowHeight="15500" tabRatio="963" activeTab="9"/>
  </bookViews>
  <sheets>
    <sheet name="output" sheetId="49" r:id="rId1"/>
    <sheet name="units" sheetId="23" r:id="rId2"/>
    <sheet name="awake_materials" sheetId="3" r:id="rId3"/>
    <sheet name="unit_skills" sheetId="52" r:id="rId4"/>
    <sheet name="crash_skills" sheetId="53" r:id="rId5"/>
    <sheet name="unit_serifs" sheetId="56" r:id="rId6"/>
    <sheet name="unit_serifs_i18n" sheetId="59" r:id="rId7"/>
    <sheet name="→base値" sheetId="51" r:id="rId8"/>
    <sheet name="ghosts_label" sheetId="61" r:id="rId9"/>
    <sheet name="コスト" sheetId="13" r:id="rId10"/>
    <sheet name="レベル" sheetId="12" r:id="rId11"/>
    <sheet name="経験値" sheetId="10" r:id="rId12"/>
    <sheet name="RC6SV" sheetId="11" r:id="rId13"/>
    <sheet name="ビット" sheetId="15" r:id="rId14"/>
    <sheet name="チェックシート" sheetId="60" r:id="rId15"/>
  </sheets>
  <externalReferences>
    <externalReference r:id="rId16"/>
    <externalReference r:id="rId17"/>
    <externalReference r:id="rId18"/>
  </externalReferences>
  <definedNames>
    <definedName name="_xlnm._FilterDatabase" localSheetId="2" hidden="1">awake_materials!$B$1:$H$1</definedName>
    <definedName name="_xlnm._FilterDatabase" localSheetId="4" hidden="1">crash_skills!$A$1:$L$1</definedName>
    <definedName name="_xlnm._FilterDatabase" localSheetId="3" hidden="1">unit_skills!$A$1:$S$1</definedName>
    <definedName name="_xlnm._FilterDatabase" localSheetId="1" hidden="1">units!$A$1:$BQ$1</definedName>
    <definedName name="base_character_id" localSheetId="5">#REF!</definedName>
    <definedName name="base_character_id">awake_materials!$B$1</definedName>
    <definedName name="character_id" localSheetId="5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12" i="23"/>
  <c r="BR12" i="23"/>
  <c r="H13" i="23"/>
  <c r="BR13" i="23"/>
  <c r="H2" i="23"/>
  <c r="BR2" i="23"/>
  <c r="G5" i="23"/>
  <c r="BC5" i="23"/>
  <c r="BD5" i="23"/>
  <c r="Q5" i="23"/>
  <c r="T5" i="23"/>
  <c r="W5" i="23"/>
  <c r="AB5" i="23"/>
  <c r="I5" i="23"/>
  <c r="K5" i="23"/>
  <c r="BL5" i="23"/>
  <c r="H5" i="53"/>
  <c r="G4" i="23"/>
  <c r="BC4" i="23"/>
  <c r="BD4" i="23"/>
  <c r="Q4" i="23"/>
  <c r="T4" i="23"/>
  <c r="W4" i="23"/>
  <c r="AB4" i="23"/>
  <c r="I4" i="23"/>
  <c r="K4" i="23"/>
  <c r="BL4" i="23"/>
  <c r="H4" i="53"/>
  <c r="D5" i="52"/>
  <c r="S5" i="23"/>
  <c r="AA5" i="23"/>
  <c r="J5" i="23"/>
  <c r="BK5" i="23"/>
  <c r="S4" i="23"/>
  <c r="AA4" i="23"/>
  <c r="J4" i="23"/>
  <c r="BK4" i="23"/>
  <c r="E38" i="56"/>
  <c r="E43" i="56"/>
  <c r="C2" i="59"/>
  <c r="C3" i="59"/>
  <c r="C4" i="59"/>
  <c r="C5" i="59"/>
  <c r="C6" i="59"/>
  <c r="C7" i="59"/>
  <c r="C8" i="59"/>
  <c r="C9" i="59"/>
  <c r="C10" i="59"/>
  <c r="C11" i="59"/>
  <c r="C12" i="59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C31" i="59"/>
  <c r="H43" i="56"/>
  <c r="G43" i="56"/>
  <c r="B5" i="23"/>
  <c r="B43" i="56"/>
  <c r="E39" i="56"/>
  <c r="E42" i="56"/>
  <c r="H42" i="56"/>
  <c r="G42" i="56"/>
  <c r="B42" i="56"/>
  <c r="E41" i="56"/>
  <c r="H41" i="56"/>
  <c r="G41" i="56"/>
  <c r="B41" i="56"/>
  <c r="E40" i="56"/>
  <c r="H40" i="56"/>
  <c r="G40" i="56"/>
  <c r="B40" i="56"/>
  <c r="H39" i="56"/>
  <c r="G39" i="56"/>
  <c r="B4" i="23"/>
  <c r="B39" i="56"/>
  <c r="H38" i="56"/>
  <c r="G38" i="56"/>
  <c r="B38" i="56"/>
  <c r="E37" i="56"/>
  <c r="H37" i="56"/>
  <c r="G37" i="56"/>
  <c r="B37" i="56"/>
  <c r="B31" i="59"/>
  <c r="B30" i="59"/>
  <c r="B29" i="59"/>
  <c r="B28" i="59"/>
  <c r="B27" i="59"/>
  <c r="I5" i="52"/>
  <c r="G23" i="3"/>
  <c r="A23" i="3"/>
  <c r="G22" i="3"/>
  <c r="A22" i="3"/>
  <c r="G21" i="3"/>
  <c r="A21" i="3"/>
  <c r="G5" i="13"/>
  <c r="G2" i="11"/>
  <c r="G4" i="13"/>
  <c r="G3" i="13"/>
  <c r="G2" i="13"/>
  <c r="E31" i="56"/>
  <c r="E36" i="56"/>
  <c r="H36" i="56"/>
  <c r="G36" i="56"/>
  <c r="B9" i="23"/>
  <c r="B7" i="23"/>
  <c r="B36" i="56"/>
  <c r="E32" i="56"/>
  <c r="E35" i="56"/>
  <c r="H35" i="56"/>
  <c r="G35" i="56"/>
  <c r="B35" i="56"/>
  <c r="E34" i="56"/>
  <c r="H34" i="56"/>
  <c r="G34" i="56"/>
  <c r="B8" i="23"/>
  <c r="B34" i="56"/>
  <c r="E33" i="56"/>
  <c r="H33" i="56"/>
  <c r="G33" i="56"/>
  <c r="B33" i="56"/>
  <c r="H32" i="56"/>
  <c r="G32" i="56"/>
  <c r="B6" i="23"/>
  <c r="B32" i="56"/>
  <c r="H31" i="56"/>
  <c r="G31" i="56"/>
  <c r="B31" i="56"/>
  <c r="E30" i="56"/>
  <c r="H30" i="56"/>
  <c r="G30" i="56"/>
  <c r="B30" i="56"/>
  <c r="B22" i="59"/>
  <c r="B26" i="59"/>
  <c r="B25" i="59"/>
  <c r="B24" i="59"/>
  <c r="B23" i="59"/>
  <c r="F18" i="3"/>
  <c r="F19" i="3"/>
  <c r="F20" i="3"/>
  <c r="G20" i="3"/>
  <c r="A20" i="3"/>
  <c r="G19" i="3"/>
  <c r="A19" i="3"/>
  <c r="G18" i="3"/>
  <c r="A18" i="3"/>
  <c r="G17" i="3"/>
  <c r="A17" i="3"/>
  <c r="G6" i="23"/>
  <c r="BC6" i="23"/>
  <c r="BD6" i="23"/>
  <c r="Q6" i="23"/>
  <c r="T6" i="23"/>
  <c r="W6" i="23"/>
  <c r="AB6" i="23"/>
  <c r="I6" i="23"/>
  <c r="K6" i="23"/>
  <c r="BL6" i="23"/>
  <c r="H6" i="53"/>
  <c r="G7" i="23"/>
  <c r="BC7" i="23"/>
  <c r="BD7" i="23"/>
  <c r="Q7" i="23"/>
  <c r="T7" i="23"/>
  <c r="W7" i="23"/>
  <c r="AB7" i="23"/>
  <c r="I7" i="23"/>
  <c r="K7" i="23"/>
  <c r="BL7" i="23"/>
  <c r="H7" i="53"/>
  <c r="V6" i="23"/>
  <c r="AD6" i="23"/>
  <c r="M6" i="23"/>
  <c r="BN6" i="23"/>
  <c r="V7" i="23"/>
  <c r="AD7" i="23"/>
  <c r="M7" i="23"/>
  <c r="BN7" i="23"/>
  <c r="E24" i="56"/>
  <c r="E29" i="56"/>
  <c r="H29" i="56"/>
  <c r="G29" i="56"/>
  <c r="B3" i="23"/>
  <c r="B29" i="56"/>
  <c r="E25" i="56"/>
  <c r="E28" i="56"/>
  <c r="H28" i="56"/>
  <c r="G28" i="56"/>
  <c r="B28" i="56"/>
  <c r="E27" i="56"/>
  <c r="H27" i="56"/>
  <c r="G27" i="56"/>
  <c r="B27" i="56"/>
  <c r="E26" i="56"/>
  <c r="H26" i="56"/>
  <c r="G26" i="56"/>
  <c r="B26" i="56"/>
  <c r="H25" i="56"/>
  <c r="G25" i="56"/>
  <c r="B2" i="23"/>
  <c r="B25" i="56"/>
  <c r="H24" i="56"/>
  <c r="G24" i="56"/>
  <c r="B24" i="56"/>
  <c r="E23" i="56"/>
  <c r="H23" i="56"/>
  <c r="G23" i="56"/>
  <c r="B13" i="23"/>
  <c r="B23" i="56"/>
  <c r="E17" i="56"/>
  <c r="E22" i="56"/>
  <c r="E18" i="56"/>
  <c r="E21" i="56"/>
  <c r="E19" i="56"/>
  <c r="E20" i="56"/>
  <c r="E16" i="56"/>
  <c r="B11" i="23"/>
  <c r="B16" i="56"/>
  <c r="G16" i="56"/>
  <c r="H16" i="56"/>
  <c r="B17" i="56"/>
  <c r="G17" i="56"/>
  <c r="H17" i="56"/>
  <c r="B18" i="56"/>
  <c r="G18" i="56"/>
  <c r="H18" i="56"/>
  <c r="B19" i="56"/>
  <c r="G19" i="56"/>
  <c r="H19" i="56"/>
  <c r="B20" i="56"/>
  <c r="G20" i="56"/>
  <c r="H20" i="56"/>
  <c r="B21" i="56"/>
  <c r="G21" i="56"/>
  <c r="H21" i="56"/>
  <c r="B22" i="56"/>
  <c r="G22" i="56"/>
  <c r="H22" i="56"/>
  <c r="B17" i="59"/>
  <c r="B18" i="59"/>
  <c r="B19" i="59"/>
  <c r="B20" i="59"/>
  <c r="B21" i="59"/>
  <c r="G8" i="23"/>
  <c r="BC8" i="23"/>
  <c r="BD8" i="23"/>
  <c r="Q8" i="23"/>
  <c r="S8" i="23"/>
  <c r="W8" i="23"/>
  <c r="AA8" i="23"/>
  <c r="I8" i="23"/>
  <c r="J8" i="23"/>
  <c r="BK8" i="23"/>
  <c r="G9" i="23"/>
  <c r="BC9" i="23"/>
  <c r="BD9" i="23"/>
  <c r="Q9" i="23"/>
  <c r="S9" i="23"/>
  <c r="W9" i="23"/>
  <c r="AA9" i="23"/>
  <c r="I9" i="23"/>
  <c r="J9" i="23"/>
  <c r="BK9" i="23"/>
  <c r="V8" i="23"/>
  <c r="AD8" i="23"/>
  <c r="M8" i="23"/>
  <c r="BN8" i="23"/>
  <c r="V9" i="23"/>
  <c r="AD9" i="23"/>
  <c r="M9" i="23"/>
  <c r="BN9" i="23"/>
  <c r="B16" i="59"/>
  <c r="B15" i="59"/>
  <c r="B14" i="59"/>
  <c r="B13" i="59"/>
  <c r="B12" i="59"/>
  <c r="T8" i="23"/>
  <c r="AB8" i="23"/>
  <c r="K8" i="23"/>
  <c r="BL8" i="23"/>
  <c r="T9" i="23"/>
  <c r="AB9" i="23"/>
  <c r="K9" i="23"/>
  <c r="BL9" i="23"/>
  <c r="E9" i="52"/>
  <c r="E8" i="52"/>
  <c r="J8" i="52"/>
  <c r="E2" i="52"/>
  <c r="H9" i="53"/>
  <c r="G16" i="3"/>
  <c r="A16" i="3"/>
  <c r="G15" i="3"/>
  <c r="A15" i="3"/>
  <c r="G14" i="3"/>
  <c r="A14" i="3"/>
  <c r="G13" i="3"/>
  <c r="A13" i="3"/>
  <c r="F10" i="3"/>
  <c r="F11" i="3"/>
  <c r="F12" i="3"/>
  <c r="G12" i="3"/>
  <c r="A12" i="3"/>
  <c r="G11" i="3"/>
  <c r="A11" i="3"/>
  <c r="G10" i="3"/>
  <c r="A10" i="3"/>
  <c r="G9" i="3"/>
  <c r="A9" i="3"/>
  <c r="A10" i="60"/>
  <c r="B10" i="23"/>
  <c r="A9" i="60"/>
  <c r="G11" i="23"/>
  <c r="BC11" i="23"/>
  <c r="BD11" i="23"/>
  <c r="Q11" i="23"/>
  <c r="T11" i="23"/>
  <c r="W11" i="23"/>
  <c r="AB11" i="23"/>
  <c r="I11" i="23"/>
  <c r="K11" i="23"/>
  <c r="BL11" i="23"/>
  <c r="G8" i="3"/>
  <c r="A8" i="3"/>
  <c r="G7" i="3"/>
  <c r="A7" i="3"/>
  <c r="G6" i="3"/>
  <c r="A6" i="3"/>
  <c r="E11" i="56"/>
  <c r="E15" i="56"/>
  <c r="E10" i="56"/>
  <c r="E14" i="56"/>
  <c r="B10" i="56"/>
  <c r="G10" i="56"/>
  <c r="H10" i="56"/>
  <c r="B12" i="23"/>
  <c r="B11" i="56"/>
  <c r="G11" i="56"/>
  <c r="H11" i="56"/>
  <c r="B12" i="56"/>
  <c r="E12" i="56"/>
  <c r="G12" i="56"/>
  <c r="H12" i="56"/>
  <c r="B13" i="56"/>
  <c r="E13" i="56"/>
  <c r="G13" i="56"/>
  <c r="H13" i="56"/>
  <c r="B14" i="56"/>
  <c r="H14" i="56"/>
  <c r="B15" i="56"/>
  <c r="G15" i="56"/>
  <c r="H15" i="56"/>
  <c r="B9" i="56"/>
  <c r="B9" i="59"/>
  <c r="B10" i="59"/>
  <c r="B11" i="59"/>
  <c r="B8" i="59"/>
  <c r="B7" i="59"/>
  <c r="E9" i="56"/>
  <c r="H9" i="56"/>
  <c r="G9" i="56"/>
  <c r="G10" i="23"/>
  <c r="BC10" i="23"/>
  <c r="BD10" i="23"/>
  <c r="Q10" i="23"/>
  <c r="T10" i="23"/>
  <c r="W10" i="23"/>
  <c r="AB10" i="23"/>
  <c r="I10" i="23"/>
  <c r="K10" i="23"/>
  <c r="BL10" i="23"/>
  <c r="H10" i="53"/>
  <c r="H11" i="53"/>
  <c r="J11" i="52"/>
  <c r="F10" i="53"/>
  <c r="D10" i="53"/>
  <c r="F3" i="3"/>
  <c r="F4" i="3"/>
  <c r="A4" i="3"/>
  <c r="F5" i="3"/>
  <c r="A5" i="3"/>
  <c r="A2" i="3"/>
  <c r="A3" i="3"/>
  <c r="A46" i="60"/>
  <c r="A45" i="60"/>
  <c r="A44" i="60"/>
  <c r="A43" i="60"/>
  <c r="A42" i="60"/>
  <c r="A39" i="60"/>
  <c r="A38" i="60"/>
  <c r="A37" i="60"/>
  <c r="A35" i="60"/>
  <c r="A34" i="60"/>
  <c r="A33" i="60"/>
  <c r="A31" i="60"/>
  <c r="A30" i="60"/>
  <c r="A29" i="60"/>
  <c r="A26" i="60"/>
  <c r="A25" i="60"/>
  <c r="A24" i="60"/>
  <c r="A23" i="60"/>
  <c r="A21" i="60"/>
  <c r="A20" i="60"/>
  <c r="A19" i="60"/>
  <c r="A18" i="60"/>
  <c r="A16" i="60"/>
  <c r="A15" i="60"/>
  <c r="A14" i="60"/>
  <c r="A13" i="60"/>
  <c r="A8" i="60"/>
  <c r="E3" i="56"/>
  <c r="H3" i="56"/>
  <c r="E4" i="56"/>
  <c r="H4" i="56"/>
  <c r="E5" i="56"/>
  <c r="H5" i="56"/>
  <c r="E6" i="56"/>
  <c r="H6" i="56"/>
  <c r="E2" i="56"/>
  <c r="E7" i="56"/>
  <c r="H7" i="56"/>
  <c r="E8" i="56"/>
  <c r="H8" i="56"/>
  <c r="H2" i="56"/>
  <c r="G2" i="56"/>
  <c r="G3" i="56"/>
  <c r="G4" i="56"/>
  <c r="G5" i="56"/>
  <c r="G6" i="56"/>
  <c r="G7" i="56"/>
  <c r="G8" i="56"/>
  <c r="B6" i="59"/>
  <c r="B5" i="59"/>
  <c r="B4" i="59"/>
  <c r="B3" i="59"/>
  <c r="B2" i="59"/>
  <c r="B3" i="56"/>
  <c r="B4" i="56"/>
  <c r="B5" i="56"/>
  <c r="B6" i="56"/>
  <c r="B7" i="56"/>
  <c r="B8" i="56"/>
  <c r="B2" i="56"/>
  <c r="G12" i="23"/>
  <c r="BC12" i="23"/>
  <c r="BD12" i="23"/>
  <c r="Q12" i="23"/>
  <c r="T12" i="23"/>
  <c r="W12" i="23"/>
  <c r="AB12" i="23"/>
  <c r="I12" i="23"/>
  <c r="K12" i="23"/>
  <c r="BL12" i="23"/>
  <c r="H12" i="53"/>
  <c r="J12" i="52"/>
  <c r="G13" i="23"/>
  <c r="BC13" i="23"/>
  <c r="BD13" i="23"/>
  <c r="Q13" i="23"/>
  <c r="T13" i="23"/>
  <c r="W13" i="23"/>
  <c r="AB13" i="23"/>
  <c r="I13" i="23"/>
  <c r="K13" i="23"/>
  <c r="BL13" i="23"/>
  <c r="G5" i="3"/>
  <c r="E5" i="3"/>
  <c r="D5" i="3"/>
  <c r="C5" i="3"/>
  <c r="G4" i="3"/>
  <c r="E4" i="3"/>
  <c r="D4" i="3"/>
  <c r="C4" i="3"/>
  <c r="G3" i="3"/>
  <c r="E3" i="3"/>
  <c r="D3" i="3"/>
  <c r="C3" i="3"/>
  <c r="G2" i="3"/>
  <c r="E2" i="3"/>
  <c r="D2" i="3"/>
  <c r="C2" i="3"/>
  <c r="I12" i="53"/>
  <c r="I13" i="53"/>
  <c r="J13" i="52"/>
  <c r="G2" i="23"/>
  <c r="BC2" i="23"/>
  <c r="BD2" i="23"/>
  <c r="Q2" i="23"/>
  <c r="T2" i="23"/>
  <c r="W2" i="23"/>
  <c r="AB2" i="23"/>
  <c r="I2" i="23"/>
  <c r="K2" i="23"/>
  <c r="BL2" i="23"/>
  <c r="H2" i="53"/>
  <c r="G3" i="23"/>
  <c r="BC3" i="23"/>
  <c r="BD3" i="23"/>
  <c r="Q3" i="23"/>
  <c r="T3" i="23"/>
  <c r="W3" i="23"/>
  <c r="AB3" i="23"/>
  <c r="I3" i="23"/>
  <c r="K3" i="23"/>
  <c r="BL3" i="23"/>
  <c r="H3" i="53"/>
  <c r="H8" i="53"/>
  <c r="H13" i="53"/>
  <c r="S2" i="23"/>
  <c r="AA2" i="23"/>
  <c r="J2" i="23"/>
  <c r="BK2" i="23"/>
  <c r="BE2" i="23"/>
  <c r="V2" i="23"/>
  <c r="AD2" i="23"/>
  <c r="M2" i="23"/>
  <c r="BN2" i="23"/>
  <c r="BJ2" i="23"/>
  <c r="U2" i="23"/>
  <c r="AC2" i="23"/>
  <c r="L2" i="23"/>
  <c r="BM2" i="23"/>
  <c r="BI2" i="23"/>
  <c r="BH2" i="23"/>
  <c r="AX2" i="23"/>
  <c r="I4" i="53"/>
  <c r="E4" i="53"/>
  <c r="I5" i="53"/>
  <c r="E5" i="53"/>
  <c r="I6" i="53"/>
  <c r="E6" i="53"/>
  <c r="I7" i="53"/>
  <c r="E7" i="53"/>
  <c r="I8" i="53"/>
  <c r="E8" i="53"/>
  <c r="I9" i="53"/>
  <c r="E9" i="53"/>
  <c r="I10" i="53"/>
  <c r="E10" i="53"/>
  <c r="I11" i="53"/>
  <c r="E11" i="53"/>
  <c r="E12" i="53"/>
  <c r="E13" i="53"/>
  <c r="I3" i="53"/>
  <c r="E3" i="53"/>
  <c r="J4" i="52"/>
  <c r="E4" i="52"/>
  <c r="H4" i="52"/>
  <c r="J5" i="52"/>
  <c r="E5" i="52"/>
  <c r="H5" i="52"/>
  <c r="J6" i="52"/>
  <c r="E6" i="52"/>
  <c r="H6" i="52"/>
  <c r="J7" i="52"/>
  <c r="E7" i="52"/>
  <c r="H7" i="52"/>
  <c r="H8" i="52"/>
  <c r="J9" i="52"/>
  <c r="H9" i="52"/>
  <c r="J10" i="52"/>
  <c r="E10" i="52"/>
  <c r="H10" i="52"/>
  <c r="E11" i="52"/>
  <c r="H11" i="52"/>
  <c r="E12" i="52"/>
  <c r="H12" i="52"/>
  <c r="E13" i="52"/>
  <c r="H13" i="52"/>
  <c r="J3" i="52"/>
  <c r="H3" i="52"/>
  <c r="E3" i="52"/>
  <c r="C4" i="23"/>
  <c r="D4" i="23"/>
  <c r="E4" i="23"/>
  <c r="F4" i="23"/>
  <c r="L4" i="23"/>
  <c r="M4" i="23"/>
  <c r="N4" i="23"/>
  <c r="O4" i="23"/>
  <c r="P4" i="23"/>
  <c r="R4" i="23"/>
  <c r="U4" i="23"/>
  <c r="V4" i="23"/>
  <c r="X4" i="23"/>
  <c r="Y4" i="23"/>
  <c r="Z4" i="23"/>
  <c r="AC4" i="23"/>
  <c r="AD4" i="23"/>
  <c r="AF4" i="23"/>
  <c r="AG4" i="23"/>
  <c r="AH4" i="23"/>
  <c r="AI4" i="23"/>
  <c r="AK4" i="23"/>
  <c r="AL4" i="23"/>
  <c r="AM4" i="23"/>
  <c r="AN4" i="23"/>
  <c r="J2" i="52"/>
  <c r="AQ4" i="23"/>
  <c r="AR4" i="23"/>
  <c r="AS4" i="23"/>
  <c r="I2" i="53"/>
  <c r="AU4" i="23"/>
  <c r="AV4" i="23"/>
  <c r="AW4" i="23"/>
  <c r="AX4" i="23"/>
  <c r="BE4" i="23"/>
  <c r="BF4" i="23"/>
  <c r="BG4" i="23"/>
  <c r="BH4" i="23"/>
  <c r="BM4" i="23"/>
  <c r="BI4" i="23"/>
  <c r="BN4" i="23"/>
  <c r="BJ4" i="23"/>
  <c r="C5" i="23"/>
  <c r="D5" i="23"/>
  <c r="E5" i="23"/>
  <c r="F5" i="23"/>
  <c r="L5" i="23"/>
  <c r="M5" i="23"/>
  <c r="N5" i="23"/>
  <c r="O5" i="23"/>
  <c r="P5" i="23"/>
  <c r="R5" i="23"/>
  <c r="U5" i="23"/>
  <c r="V5" i="23"/>
  <c r="X5" i="23"/>
  <c r="Y5" i="23"/>
  <c r="Z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E5" i="23"/>
  <c r="BF5" i="23"/>
  <c r="BG5" i="23"/>
  <c r="BH5" i="23"/>
  <c r="BM5" i="23"/>
  <c r="BI5" i="23"/>
  <c r="BN5" i="23"/>
  <c r="BJ5" i="23"/>
  <c r="C6" i="23"/>
  <c r="D6" i="23"/>
  <c r="E6" i="23"/>
  <c r="F6" i="23"/>
  <c r="J6" i="23"/>
  <c r="L6" i="23"/>
  <c r="N6" i="23"/>
  <c r="O6" i="23"/>
  <c r="P6" i="23"/>
  <c r="R6" i="23"/>
  <c r="S6" i="23"/>
  <c r="U6" i="23"/>
  <c r="X6" i="23"/>
  <c r="Y6" i="23"/>
  <c r="Z6" i="23"/>
  <c r="AA6" i="23"/>
  <c r="AC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E6" i="23"/>
  <c r="BF6" i="23"/>
  <c r="BK6" i="23"/>
  <c r="BG6" i="23"/>
  <c r="BH6" i="23"/>
  <c r="BM6" i="23"/>
  <c r="BI6" i="23"/>
  <c r="BJ6" i="23"/>
  <c r="C7" i="23"/>
  <c r="D7" i="23"/>
  <c r="E7" i="23"/>
  <c r="F7" i="23"/>
  <c r="J7" i="23"/>
  <c r="L7" i="23"/>
  <c r="N7" i="23"/>
  <c r="O7" i="23"/>
  <c r="P7" i="23"/>
  <c r="R7" i="23"/>
  <c r="S7" i="23"/>
  <c r="U7" i="23"/>
  <c r="X7" i="23"/>
  <c r="Y7" i="23"/>
  <c r="Z7" i="23"/>
  <c r="AA7" i="23"/>
  <c r="AC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E7" i="23"/>
  <c r="BF7" i="23"/>
  <c r="BK7" i="23"/>
  <c r="BG7" i="23"/>
  <c r="BH7" i="23"/>
  <c r="BM7" i="23"/>
  <c r="BI7" i="23"/>
  <c r="BJ7" i="23"/>
  <c r="C8" i="23"/>
  <c r="D8" i="23"/>
  <c r="E8" i="23"/>
  <c r="F8" i="23"/>
  <c r="L8" i="23"/>
  <c r="N8" i="23"/>
  <c r="O8" i="23"/>
  <c r="P8" i="23"/>
  <c r="R8" i="23"/>
  <c r="U8" i="23"/>
  <c r="X8" i="23"/>
  <c r="Y8" i="23"/>
  <c r="Z8" i="23"/>
  <c r="AC8" i="23"/>
  <c r="AF8" i="23"/>
  <c r="AG8" i="23"/>
  <c r="AH8" i="23"/>
  <c r="AI8" i="23"/>
  <c r="AK8" i="23"/>
  <c r="AL8" i="23"/>
  <c r="AM8" i="23"/>
  <c r="AN8" i="23"/>
  <c r="AQ8" i="23"/>
  <c r="AR8" i="23"/>
  <c r="AS8" i="23"/>
  <c r="AU8" i="23"/>
  <c r="AV8" i="23"/>
  <c r="AW8" i="23"/>
  <c r="AX8" i="23"/>
  <c r="BE8" i="23"/>
  <c r="BF8" i="23"/>
  <c r="BG8" i="23"/>
  <c r="BH8" i="23"/>
  <c r="BM8" i="23"/>
  <c r="BI8" i="23"/>
  <c r="BJ8" i="23"/>
  <c r="C9" i="23"/>
  <c r="D9" i="23"/>
  <c r="E9" i="23"/>
  <c r="F9" i="23"/>
  <c r="L9" i="23"/>
  <c r="N9" i="23"/>
  <c r="O9" i="23"/>
  <c r="P9" i="23"/>
  <c r="R9" i="23"/>
  <c r="U9" i="23"/>
  <c r="X9" i="23"/>
  <c r="Y9" i="23"/>
  <c r="Z9" i="23"/>
  <c r="AC9" i="23"/>
  <c r="AF9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E9" i="23"/>
  <c r="BF9" i="23"/>
  <c r="BG9" i="23"/>
  <c r="BH9" i="23"/>
  <c r="BM9" i="23"/>
  <c r="BI9" i="23"/>
  <c r="BJ9" i="23"/>
  <c r="C10" i="23"/>
  <c r="D10" i="23"/>
  <c r="E10" i="23"/>
  <c r="F10" i="23"/>
  <c r="J10" i="23"/>
  <c r="L10" i="23"/>
  <c r="M10" i="23"/>
  <c r="N10" i="23"/>
  <c r="O10" i="23"/>
  <c r="P10" i="23"/>
  <c r="R10" i="23"/>
  <c r="S10" i="23"/>
  <c r="U10" i="23"/>
  <c r="V10" i="23"/>
  <c r="X10" i="23"/>
  <c r="Y10" i="23"/>
  <c r="Z10" i="23"/>
  <c r="AA10" i="23"/>
  <c r="AC10" i="23"/>
  <c r="AD10" i="23"/>
  <c r="AF10" i="23"/>
  <c r="AG10" i="23"/>
  <c r="AH10" i="23"/>
  <c r="AI10" i="23"/>
  <c r="AK10" i="23"/>
  <c r="AL10" i="23"/>
  <c r="AM10" i="23"/>
  <c r="AN10" i="23"/>
  <c r="AQ10" i="23"/>
  <c r="AR10" i="23"/>
  <c r="AS10" i="23"/>
  <c r="AU10" i="23"/>
  <c r="AV10" i="23"/>
  <c r="AW10" i="23"/>
  <c r="AX10" i="23"/>
  <c r="BE10" i="23"/>
  <c r="BF10" i="23"/>
  <c r="BK10" i="23"/>
  <c r="BG10" i="23"/>
  <c r="BH10" i="23"/>
  <c r="BM10" i="23"/>
  <c r="BI10" i="23"/>
  <c r="BN10" i="23"/>
  <c r="BJ10" i="23"/>
  <c r="C11" i="23"/>
  <c r="D11" i="23"/>
  <c r="E11" i="23"/>
  <c r="F11" i="23"/>
  <c r="J11" i="23"/>
  <c r="L11" i="23"/>
  <c r="M11" i="23"/>
  <c r="N11" i="23"/>
  <c r="O11" i="23"/>
  <c r="P11" i="23"/>
  <c r="R11" i="23"/>
  <c r="S11" i="23"/>
  <c r="U11" i="23"/>
  <c r="V11" i="23"/>
  <c r="X11" i="23"/>
  <c r="Y11" i="23"/>
  <c r="Z11" i="23"/>
  <c r="AA11" i="23"/>
  <c r="AC11" i="23"/>
  <c r="AD11" i="23"/>
  <c r="AF11" i="23"/>
  <c r="AG11" i="23"/>
  <c r="AH11" i="23"/>
  <c r="AI11" i="23"/>
  <c r="AK11" i="23"/>
  <c r="AL11" i="23"/>
  <c r="AM11" i="23"/>
  <c r="AN11" i="23"/>
  <c r="AQ11" i="23"/>
  <c r="AR11" i="23"/>
  <c r="AS11" i="23"/>
  <c r="AU11" i="23"/>
  <c r="AV11" i="23"/>
  <c r="AW11" i="23"/>
  <c r="AX11" i="23"/>
  <c r="BE11" i="23"/>
  <c r="BF11" i="23"/>
  <c r="BK11" i="23"/>
  <c r="BG11" i="23"/>
  <c r="BH11" i="23"/>
  <c r="BM11" i="23"/>
  <c r="BI11" i="23"/>
  <c r="BN11" i="23"/>
  <c r="BJ11" i="23"/>
  <c r="C12" i="23"/>
  <c r="D12" i="23"/>
  <c r="E12" i="23"/>
  <c r="F12" i="23"/>
  <c r="J12" i="23"/>
  <c r="L12" i="23"/>
  <c r="M12" i="23"/>
  <c r="N12" i="23"/>
  <c r="O12" i="23"/>
  <c r="P12" i="23"/>
  <c r="R12" i="23"/>
  <c r="S12" i="23"/>
  <c r="U12" i="23"/>
  <c r="V12" i="23"/>
  <c r="X12" i="23"/>
  <c r="Y12" i="23"/>
  <c r="Z12" i="23"/>
  <c r="AA12" i="23"/>
  <c r="AC12" i="23"/>
  <c r="AD12" i="23"/>
  <c r="AF12" i="23"/>
  <c r="AG12" i="23"/>
  <c r="AH12" i="23"/>
  <c r="AI12" i="23"/>
  <c r="AK12" i="23"/>
  <c r="AL12" i="23"/>
  <c r="AM12" i="23"/>
  <c r="AN12" i="23"/>
  <c r="AQ12" i="23"/>
  <c r="AR12" i="23"/>
  <c r="AS12" i="23"/>
  <c r="AU12" i="23"/>
  <c r="AV12" i="23"/>
  <c r="AW12" i="23"/>
  <c r="AX12" i="23"/>
  <c r="BE12" i="23"/>
  <c r="BF12" i="23"/>
  <c r="BK12" i="23"/>
  <c r="BG12" i="23"/>
  <c r="BH12" i="23"/>
  <c r="BM12" i="23"/>
  <c r="BI12" i="23"/>
  <c r="BN12" i="23"/>
  <c r="BJ12" i="23"/>
  <c r="C13" i="23"/>
  <c r="D13" i="23"/>
  <c r="E13" i="23"/>
  <c r="F13" i="23"/>
  <c r="J13" i="23"/>
  <c r="L13" i="23"/>
  <c r="M13" i="23"/>
  <c r="N13" i="23"/>
  <c r="O13" i="23"/>
  <c r="P13" i="23"/>
  <c r="R13" i="23"/>
  <c r="S13" i="23"/>
  <c r="U13" i="23"/>
  <c r="V13" i="23"/>
  <c r="X13" i="23"/>
  <c r="Y13" i="23"/>
  <c r="Z13" i="23"/>
  <c r="AA13" i="23"/>
  <c r="AC13" i="23"/>
  <c r="AD13" i="23"/>
  <c r="AF13" i="23"/>
  <c r="AG13" i="23"/>
  <c r="AH13" i="23"/>
  <c r="AI13" i="23"/>
  <c r="AK13" i="23"/>
  <c r="AL13" i="23"/>
  <c r="AM13" i="23"/>
  <c r="AN13" i="23"/>
  <c r="AQ13" i="23"/>
  <c r="AR13" i="23"/>
  <c r="AS13" i="23"/>
  <c r="AU13" i="23"/>
  <c r="AV13" i="23"/>
  <c r="AW13" i="23"/>
  <c r="AX13" i="23"/>
  <c r="BE13" i="23"/>
  <c r="BF13" i="23"/>
  <c r="BK13" i="23"/>
  <c r="BG13" i="23"/>
  <c r="BH13" i="23"/>
  <c r="BM13" i="23"/>
  <c r="BI13" i="23"/>
  <c r="BN13" i="23"/>
  <c r="BJ13" i="23"/>
  <c r="C3" i="23"/>
  <c r="D3" i="23"/>
  <c r="E3" i="23"/>
  <c r="F3" i="23"/>
  <c r="J3" i="23"/>
  <c r="L3" i="23"/>
  <c r="M3" i="23"/>
  <c r="N3" i="23"/>
  <c r="O3" i="23"/>
  <c r="P3" i="23"/>
  <c r="R3" i="23"/>
  <c r="S3" i="23"/>
  <c r="U3" i="23"/>
  <c r="V3" i="23"/>
  <c r="X3" i="23"/>
  <c r="Y3" i="23"/>
  <c r="Z3" i="23"/>
  <c r="AA3" i="23"/>
  <c r="AC3" i="23"/>
  <c r="AD3" i="23"/>
  <c r="AF3" i="23"/>
  <c r="AG2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E3" i="23"/>
  <c r="BF3" i="23"/>
  <c r="BK3" i="23"/>
  <c r="BG3" i="23"/>
  <c r="BH3" i="23"/>
  <c r="BM3" i="23"/>
  <c r="BI3" i="23"/>
  <c r="BN3" i="23"/>
  <c r="BJ3" i="23"/>
  <c r="E2" i="53"/>
  <c r="H2" i="52"/>
  <c r="AN2" i="23"/>
  <c r="AM2" i="23"/>
  <c r="AL2" i="23"/>
  <c r="AI2" i="23"/>
  <c r="O2" i="23"/>
  <c r="N2" i="23"/>
  <c r="C2" i="23"/>
  <c r="D2" i="23"/>
  <c r="E2" i="23"/>
  <c r="F2" i="23"/>
  <c r="P2" i="23"/>
  <c r="R2" i="23"/>
  <c r="X2" i="23"/>
  <c r="Y2" i="23"/>
  <c r="Z2" i="23"/>
  <c r="AF2" i="23"/>
  <c r="AH2" i="23"/>
  <c r="AK2" i="23"/>
  <c r="AQ2" i="23"/>
  <c r="AR2" i="23"/>
  <c r="AS2" i="23"/>
  <c r="AU2" i="23"/>
  <c r="AV2" i="23"/>
  <c r="AW2" i="23"/>
  <c r="BF2" i="23"/>
  <c r="BG2" i="23"/>
  <c r="E8" i="49"/>
  <c r="E7" i="49"/>
  <c r="E6" i="49"/>
  <c r="E5" i="49"/>
  <c r="E9" i="49"/>
  <c r="E10" i="49"/>
  <c r="E3" i="49"/>
  <c r="E4" i="49"/>
  <c r="E2" i="49"/>
</calcChain>
</file>

<file path=xl/sharedStrings.xml><?xml version="1.0" encoding="utf-8"?>
<sst xmlns="http://schemas.openxmlformats.org/spreadsheetml/2006/main" count="1003" uniqueCount="388">
  <si>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</si>
  <si>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</si>
  <si>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</si>
  <si>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</si>
  <si>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</si>
  <si>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</si>
  <si>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</si>
  <si>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</si>
  <si>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</si>
  <si>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</si>
  <si>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</si>
  <si>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</si>
  <si>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</si>
  <si>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</si>
  <si>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</si>
  <si>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</si>
  <si>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</si>
  <si>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PremiumL</t>
    <phoneticPr fontId="9"/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</si>
  <si>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</si>
  <si>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</si>
  <si>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</si>
  <si>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</si>
  <si>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</si>
  <si>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</si>
  <si>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</si>
  <si>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</si>
  <si>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</si>
  <si>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</si>
  <si>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PremiumW</t>
    <phoneticPr fontId="9"/>
  </si>
  <si>
    <t>PremiumN</t>
    <phoneticPr fontId="9"/>
  </si>
  <si>
    <t>Material</t>
    <phoneticPr fontId="9"/>
  </si>
  <si>
    <t>PremiumSS</t>
    <phoneticPr fontId="9"/>
  </si>
  <si>
    <t>PremiumSSS</t>
    <phoneticPr fontId="9"/>
  </si>
  <si>
    <t>PremiumL</t>
    <phoneticPr fontId="9"/>
  </si>
  <si>
    <t>-</t>
    <phoneticPr fontId="9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</si>
  <si>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</si>
  <si>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</si>
  <si>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</si>
  <si>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</si>
  <si>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</si>
  <si>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</si>
  <si>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</si>
  <si>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Drop1T</t>
    <phoneticPr fontId="9"/>
  </si>
  <si>
    <t>Drop1S</t>
    <phoneticPr fontId="9"/>
  </si>
  <si>
    <t>Drop2W</t>
    <phoneticPr fontId="9"/>
  </si>
  <si>
    <t>Drop2S</t>
    <phoneticPr fontId="9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</si>
  <si>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</si>
  <si>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</si>
  <si>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</si>
  <si>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</si>
  <si>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</si>
  <si>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</si>
  <si>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</si>
  <si>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PremiumW</t>
    <phoneticPr fontId="9"/>
  </si>
  <si>
    <t>Material</t>
    <phoneticPr fontId="9"/>
  </si>
  <si>
    <t>使用せず</t>
    <rPh sb="0" eb="2">
      <t>シヨウ</t>
    </rPh>
    <phoneticPr fontId="9"/>
  </si>
  <si>
    <t>PremiumSSS</t>
    <phoneticPr fontId="9"/>
  </si>
  <si>
    <t>PremiumN</t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</si>
  <si>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</si>
  <si>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</si>
  <si>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</si>
  <si>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</si>
  <si>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ラベル/レアリティ</t>
    <phoneticPr fontId="9"/>
  </si>
  <si>
    <t>Drop2N</t>
    <phoneticPr fontId="9"/>
  </si>
  <si>
    <t>Drop2S</t>
    <phoneticPr fontId="9"/>
  </si>
  <si>
    <t>Drop2S</t>
    <phoneticPr fontId="9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</si>
  <si>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</si>
  <si>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</si>
  <si>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</si>
  <si>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</si>
  <si>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</si>
  <si>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</si>
  <si>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</si>
  <si>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</si>
  <si>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</si>
  <si>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</si>
  <si>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</si>
  <si>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</si>
  <si>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</si>
  <si>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</si>
  <si>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</si>
  <si>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</si>
  <si>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</si>
  <si>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</si>
  <si>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</si>
  <si>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</si>
  <si>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</si>
  <si>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</si>
  <si>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</si>
  <si>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</si>
  <si>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</si>
  <si>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</si>
  <si>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</si>
  <si>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</si>
  <si>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</si>
  <si>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</si>
  <si>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</si>
  <si>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</si>
  <si>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</si>
  <si>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</si>
  <si>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</si>
  <si>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</si>
  <si>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</si>
  <si>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</si>
  <si>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</si>
  <si>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</si>
  <si>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</si>
  <si>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</si>
  <si>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</si>
  <si>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</si>
  <si>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</si>
  <si>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</si>
  <si>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</si>
  <si>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</si>
  <si>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</si>
  <si>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</si>
  <si>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</si>
  <si>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</si>
  <si>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</si>
  <si>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</si>
  <si>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</si>
  <si>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</si>
  <si>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</si>
  <si>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</si>
  <si>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</si>
  <si>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</si>
  <si>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</si>
  <si>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</si>
  <si>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</si>
  <si>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</si>
  <si>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</si>
  <si>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</si>
  <si>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</si>
  <si>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Drop2N</t>
    <phoneticPr fontId="9"/>
  </si>
  <si>
    <t>comment</t>
    <phoneticPr fontId="10"/>
  </si>
  <si>
    <t>character_id</t>
    <phoneticPr fontId="10"/>
  </si>
  <si>
    <t>-</t>
    <phoneticPr fontId="9"/>
  </si>
  <si>
    <t>-</t>
    <phoneticPr fontId="9"/>
  </si>
  <si>
    <t>PremiumSSS</t>
    <phoneticPr fontId="9"/>
  </si>
  <si>
    <t>PremiumSS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</si>
  <si>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</si>
  <si>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</si>
  <si>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</si>
  <si>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</si>
  <si>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</si>
  <si>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Drop2S</t>
    <phoneticPr fontId="9"/>
  </si>
  <si>
    <t>-</t>
    <phoneticPr fontId="9"/>
  </si>
  <si>
    <t>required_exp_250</t>
    <phoneticPr fontId="9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</si>
  <si>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</si>
  <si>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</si>
  <si>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</si>
  <si>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</si>
  <si>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</si>
  <si>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</si>
  <si>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</si>
  <si>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</si>
  <si>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</si>
  <si>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</si>
  <si>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</si>
  <si>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</si>
  <si>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</si>
  <si>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</si>
  <si>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</si>
  <si>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</si>
  <si>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</si>
  <si>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</si>
  <si>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</si>
  <si>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</si>
  <si>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</si>
  <si>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</si>
  <si>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</si>
  <si>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</si>
  <si>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</si>
  <si>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</si>
  <si>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</si>
  <si>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</si>
  <si>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</si>
  <si>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</si>
  <si>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</si>
  <si>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</si>
  <si>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</si>
  <si>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</si>
  <si>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</si>
  <si>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</si>
  <si>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</si>
  <si>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</si>
  <si>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</si>
  <si>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</si>
  <si>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</si>
  <si>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</si>
  <si>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</si>
  <si>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</si>
  <si>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</si>
  <si>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</si>
  <si>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</si>
  <si>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</si>
  <si>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</si>
  <si>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</si>
  <si>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</si>
  <si>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</si>
  <si>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</si>
  <si>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</si>
  <si>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</si>
  <si>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</si>
  <si>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</si>
  <si>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</si>
  <si>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</si>
  <si>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</si>
  <si>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</si>
  <si>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</si>
  <si>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</si>
  <si>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</si>
  <si>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</si>
  <si>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</si>
  <si>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</si>
  <si>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</si>
  <si>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</si>
  <si>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</si>
  <si>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</si>
  <si>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</si>
  <si>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frame_type</t>
  </si>
  <si>
    <t>serif</t>
    <phoneticPr fontId="22"/>
  </si>
  <si>
    <t>event07</t>
  </si>
  <si>
    <t>event07</t>
    <phoneticPr fontId="22"/>
  </si>
  <si>
    <t>old</t>
  </si>
  <si>
    <t>1体に大ダメージ</t>
    <rPh sb="1" eb="3">
      <t>taiンi</t>
    </rPh>
    <rPh sb="3" eb="8">
      <t>ダ</t>
    </rPh>
    <phoneticPr fontId="22"/>
  </si>
  <si>
    <t>倍率</t>
    <rPh sb="0" eb="2">
      <t>バイリt</t>
    </rPh>
    <phoneticPr fontId="22"/>
  </si>
  <si>
    <t>威力メモ(12Chain )</t>
    <rPh sb="0" eb="2">
      <t>イリョk</t>
    </rPh>
    <phoneticPr fontId="22"/>
  </si>
  <si>
    <t>[effect:damage, target:enemy_one, color:yellow, val:2.0, animation:damage_one_yellow04]</t>
    <phoneticPr fontId="22"/>
  </si>
  <si>
    <t>3ターン黄属性のタップ回数を1増やし、攻撃力を特大UP</t>
    <rPh sb="4" eb="5">
      <t>キ</t>
    </rPh>
    <rPh sb="5" eb="7">
      <t>ゾクセ</t>
    </rPh>
    <rPh sb="7" eb="8">
      <t>キゾk</t>
    </rPh>
    <rPh sb="11" eb="14">
      <t>カ</t>
    </rPh>
    <rPh sb="15" eb="17">
      <t>フヤs</t>
    </rPh>
    <rPh sb="19" eb="23">
      <t>コウゲk</t>
    </rPh>
    <rPh sb="23" eb="25">
      <t>トクダ</t>
    </rPh>
    <phoneticPr fontId="22"/>
  </si>
  <si>
    <t>粉砕せし雷鎚</t>
    <rPh sb="0" eb="2">
      <t>フンサイ</t>
    </rPh>
    <rPh sb="4" eb="5">
      <t>カm</t>
    </rPh>
    <rPh sb="5" eb="6">
      <t>ツt</t>
    </rPh>
    <phoneticPr fontId="22"/>
  </si>
  <si>
    <t>迅雷の神鎚</t>
    <rPh sb="0" eb="2">
      <t>ジン</t>
    </rPh>
    <rPh sb="3" eb="4">
      <t>カm</t>
    </rPh>
    <rPh sb="4" eb="5">
      <t>ツt</t>
    </rPh>
    <phoneticPr fontId="22"/>
  </si>
  <si>
    <t>name</t>
    <phoneticPr fontId="22"/>
  </si>
  <si>
    <t>serif_type</t>
    <phoneticPr fontId="22"/>
  </si>
  <si>
    <t>temp</t>
    <phoneticPr fontId="22"/>
  </si>
  <si>
    <t>serif_id</t>
    <phoneticPr fontId="22"/>
  </si>
  <si>
    <t>skill</t>
    <phoneticPr fontId="22"/>
  </si>
  <si>
    <t>skill</t>
    <phoneticPr fontId="22"/>
  </si>
  <si>
    <t>cskill</t>
    <phoneticPr fontId="22"/>
  </si>
  <si>
    <t>cskill</t>
    <phoneticPr fontId="22"/>
  </si>
  <si>
    <t>cskill</t>
    <phoneticPr fontId="22"/>
  </si>
  <si>
    <t>ja</t>
    <phoneticPr fontId="22"/>
  </si>
  <si>
    <t>cskill</t>
    <phoneticPr fontId="22"/>
  </si>
  <si>
    <t>name</t>
    <phoneticPr fontId="22"/>
  </si>
  <si>
    <t>language</t>
    <phoneticPr fontId="22"/>
  </si>
  <si>
    <t>frame_type</t>
    <phoneticPr fontId="22"/>
  </si>
  <si>
    <t>serif</t>
    <phoneticPr fontId="22"/>
  </si>
  <si>
    <t>maru</t>
    <phoneticPr fontId="22"/>
  </si>
  <si>
    <t>giza</t>
    <phoneticPr fontId="22"/>
  </si>
  <si>
    <t>エネルギー全開です</t>
    <phoneticPr fontId="22"/>
  </si>
  <si>
    <t>あなたの力を見せてください</t>
    <phoneticPr fontId="22"/>
  </si>
  <si>
    <t>その程度ですか</t>
    <phoneticPr fontId="22"/>
  </si>
  <si>
    <t>出力レベルを最大にします</t>
    <phoneticPr fontId="22"/>
  </si>
  <si>
    <t>モードチェンジ・・・！</t>
    <phoneticPr fontId="22"/>
  </si>
  <si>
    <t>giza</t>
    <phoneticPr fontId="22"/>
  </si>
  <si>
    <t>unit_serifs_i18n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</si>
  <si>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</si>
  <si>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</si>
  <si>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</si>
  <si>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</si>
  <si>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</si>
  <si>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</si>
  <si>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</si>
  <si>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エンコード</t>
    <phoneticPr fontId="22"/>
  </si>
  <si>
    <t>マシンに効果大の単体ダメージ
+アニマルに効果大の単体ダメージ</t>
    <rPh sb="4" eb="6">
      <t>コウk</t>
    </rPh>
    <rPh sb="6" eb="7">
      <t>ダイ</t>
    </rPh>
    <rPh sb="8" eb="10">
      <t>タンタ</t>
    </rPh>
    <rPh sb="10" eb="14">
      <t>ダイダメーj</t>
    </rPh>
    <rPh sb="25" eb="27">
      <t>タンタ</t>
    </rPh>
    <rPh sb="27" eb="31">
      <t>ダイダメ</t>
    </rPh>
    <phoneticPr fontId="9"/>
  </si>
  <si>
    <t>[effect:damage_anti_tribe, target:enemy_one, tribe:animal, val1:1.578, val2:0.786, animation:damage_one_blue04],[effect:damage_anti_tribe, target:enemy_one, tribe:machine, val1:1.578, val2:0.786, animation:damage_one_blue04]</t>
    <phoneticPr fontId="22"/>
  </si>
  <si>
    <t>[effect:change_block, new_block:crack_bomb, target:time_bomb,color:block_blue,count:0, val:20, animation:change_block],[effect:enhance_unit, target:unit_blue, turn:3, status:attack, val:0.255, calc:mul, animation:enhance_unit_all_attack04_unit01]</t>
    <phoneticPr fontId="22"/>
  </si>
  <si>
    <t>時限式ダメージパネルをボムパネル(大)に変換+3ターン青属性の攻撃力を特大UP</t>
    <rPh sb="0" eb="11">
      <t>ジg</t>
    </rPh>
    <rPh sb="17" eb="18">
      <t>ダ</t>
    </rPh>
    <rPh sb="20" eb="22">
      <t>ヘン</t>
    </rPh>
    <rPh sb="27" eb="31">
      <t>ア</t>
    </rPh>
    <rPh sb="31" eb="34">
      <t>コウゲキリョクw</t>
    </rPh>
    <rPh sb="35" eb="37">
      <t>トk</t>
    </rPh>
    <phoneticPr fontId="22"/>
  </si>
  <si>
    <t>私たちに解けないものはない！</t>
    <rPh sb="0" eb="1">
      <t>ワタs</t>
    </rPh>
    <rPh sb="4" eb="5">
      <t>ト</t>
    </rPh>
    <phoneticPr fontId="22"/>
  </si>
  <si>
    <t>skill</t>
    <phoneticPr fontId="22"/>
  </si>
  <si>
    <t>maru</t>
    <phoneticPr fontId="22"/>
  </si>
  <si>
    <t>私たちに死角はない！</t>
    <rPh sb="0" eb="1">
      <t>ワタs</t>
    </rPh>
    <rPh sb="4" eb="9">
      <t>シカクハナ</t>
    </rPh>
    <phoneticPr fontId="22"/>
  </si>
  <si>
    <t>ダブルレイヴン</t>
    <phoneticPr fontId="22"/>
  </si>
  <si>
    <t>ダブルレイヴン</t>
    <phoneticPr fontId="22"/>
  </si>
  <si>
    <t>双賢の黒翅</t>
    <rPh sb="0" eb="1">
      <t>ソウケン</t>
    </rPh>
    <rPh sb="1" eb="2">
      <t>ケン</t>
    </rPh>
    <rPh sb="3" eb="4">
      <t>クロハネ</t>
    </rPh>
    <rPh sb="4" eb="5">
      <t>ハネ</t>
    </rPh>
    <phoneticPr fontId="22"/>
  </si>
  <si>
    <t>見つけたである。キミの弱点。</t>
    <rPh sb="0" eb="7">
      <t>ミツk</t>
    </rPh>
    <rPh sb="11" eb="13">
      <t>ジャk</t>
    </rPh>
    <phoneticPr fontId="22"/>
  </si>
  <si>
    <t>オマエもここまでだ！</t>
    <rPh sb="3" eb="4">
      <t>イノt</t>
    </rPh>
    <phoneticPr fontId="22"/>
  </si>
  <si>
    <t>私たちの力を見よ！</t>
    <rPh sb="0" eb="4">
      <t>ワタs</t>
    </rPh>
    <rPh sb="4" eb="6">
      <t>チカr</t>
    </rPh>
    <rPh sb="6" eb="7">
      <t>ミ</t>
    </rPh>
    <phoneticPr fontId="22"/>
  </si>
  <si>
    <t>[effect:damage, target:enemy_one, color:green, val:1.75, animation:damage_one_green03],[effect:enhance_unit, target:unit_all, turn:2, status:heal, val:0.015, calc:mul,animation:enhance_unit_all_heal01_unit01]</t>
    <phoneticPr fontId="22"/>
  </si>
  <si>
    <t>[effect:damage, target:enemy_one, color:green, val:2.0, animation:damage_one_green04],[effect:enhance_unit, target:unit_all, turn:2, status:heal, val:0.015, calc:mul,animation:enhance_unit_all_heal01_unit01]</t>
    <phoneticPr fontId="22"/>
  </si>
  <si>
    <t>[effect:special_block,val:36, count:1, animation:change_block],[effect:enhance_unit, target:unit_blue, turn:3, status:defense, val:1440, calc:add, animation:enhance_unit_all_defense03_unit01]</t>
    <phoneticPr fontId="22"/>
  </si>
  <si>
    <t>1体に特大ダメージ
+青属性の攻撃力小UP</t>
    <rPh sb="1" eb="2">
      <t>ゼン</t>
    </rPh>
    <rPh sb="2" eb="3">
      <t>taiンi</t>
    </rPh>
    <rPh sb="3" eb="5">
      <t>トk</t>
    </rPh>
    <rPh sb="5" eb="9">
      <t>ダ</t>
    </rPh>
    <rPh sb="11" eb="15">
      <t>ア</t>
    </rPh>
    <rPh sb="15" eb="18">
      <t>コウゲk</t>
    </rPh>
    <rPh sb="18" eb="19">
      <t>ショ</t>
    </rPh>
    <phoneticPr fontId="22"/>
  </si>
  <si>
    <t>神機槍 グングニル</t>
    <rPh sb="0" eb="2">
      <t>SHINKIソウ</t>
    </rPh>
    <rPh sb="2" eb="3">
      <t>ヤリ</t>
    </rPh>
    <phoneticPr fontId="22"/>
  </si>
  <si>
    <t>1体に特大ダメージ
+青属性の攻撃力小UP</t>
    <rPh sb="1" eb="2">
      <t>ゼン</t>
    </rPh>
    <rPh sb="2" eb="3">
      <t>taiンi</t>
    </rPh>
    <rPh sb="3" eb="5">
      <t>トクダ</t>
    </rPh>
    <rPh sb="5" eb="9">
      <t>ダ</t>
    </rPh>
    <rPh sb="11" eb="15">
      <t>ア</t>
    </rPh>
    <rPh sb="15" eb="18">
      <t>コウゲk</t>
    </rPh>
    <rPh sb="18" eb="19">
      <t>ショ</t>
    </rPh>
    <phoneticPr fontId="22"/>
  </si>
  <si>
    <t>1体に中ダメージ+
2ターン回復力小UP</t>
    <rPh sb="1" eb="3">
      <t>タンタ</t>
    </rPh>
    <rPh sb="3" eb="8">
      <t>チュウd</t>
    </rPh>
    <rPh sb="14" eb="17">
      <t>カ</t>
    </rPh>
    <rPh sb="17" eb="20">
      <t>ショ</t>
    </rPh>
    <phoneticPr fontId="22"/>
  </si>
  <si>
    <t>1体に大ダメージ+
2ターン回復力小UP</t>
    <rPh sb="1" eb="3">
      <t>タンタ</t>
    </rPh>
    <rPh sb="3" eb="4">
      <t>ダ</t>
    </rPh>
    <rPh sb="4" eb="8">
      <t>チュウd</t>
    </rPh>
    <rPh sb="14" eb="17">
      <t>カ</t>
    </rPh>
    <rPh sb="17" eb="20">
      <t>ショ</t>
    </rPh>
    <phoneticPr fontId="22"/>
  </si>
  <si>
    <t>真実への閃き</t>
    <rPh sb="0" eb="2">
      <t>シン</t>
    </rPh>
    <rPh sb="4" eb="5">
      <t>ヒラメ</t>
    </rPh>
    <phoneticPr fontId="22"/>
  </si>
  <si>
    <t>時限式ダメージパネルと赤パネルを緑パネルに変換+3ターン緑属性の攻撃力を特大UP</t>
    <rPh sb="0" eb="7">
      <t>ジゲン</t>
    </rPh>
    <rPh sb="11" eb="12">
      <t>アk</t>
    </rPh>
    <rPh sb="16" eb="17">
      <t>ミドr</t>
    </rPh>
    <rPh sb="21" eb="23">
      <t>ヘン</t>
    </rPh>
    <phoneticPr fontId="22"/>
  </si>
  <si>
    <t>[effect:change_block, new_block:block_green, target:time_bomb,color:block_blue,count:0, val:20, animation:change_block],[effect:change_block, new_block:block_green, target:block_red,color:block_blue,count:0, val:20, animation:change_block],[effect:enhance_unit, target:unit_green, turn:3, status:attack, val:0.21, calc:mul, animation:enhance_unit_all_attack04_unit01]</t>
    <phoneticPr fontId="22"/>
  </si>
  <si>
    <t>トゥルーボイス</t>
    <phoneticPr fontId="22"/>
  </si>
  <si>
    <t>トゥルーボイス</t>
    <phoneticPr fontId="22"/>
  </si>
  <si>
    <t>全ての謎は解けた！</t>
    <rPh sb="0" eb="3">
      <t>スベt</t>
    </rPh>
    <rPh sb="3" eb="5">
      <t>ナz</t>
    </rPh>
    <rPh sb="5" eb="8">
      <t>トk</t>
    </rPh>
    <phoneticPr fontId="22"/>
  </si>
  <si>
    <t>君は何を知ってる？</t>
    <rPh sb="0" eb="9">
      <t>キm</t>
    </rPh>
    <phoneticPr fontId="22"/>
  </si>
  <si>
    <t>嘘をついていないか？</t>
    <rPh sb="0" eb="4">
      <t>ウs</t>
    </rPh>
    <phoneticPr fontId="22"/>
  </si>
  <si>
    <t>giza</t>
    <phoneticPr fontId="22"/>
  </si>
  <si>
    <t>手がかりは必ずあるはず…</t>
    <phoneticPr fontId="22"/>
  </si>
  <si>
    <t>maru</t>
    <phoneticPr fontId="22"/>
  </si>
  <si>
    <t>それが答えか。</t>
    <rPh sb="3" eb="6">
      <t>コタ</t>
    </rPh>
    <phoneticPr fontId="22"/>
  </si>
  <si>
    <t>刻蒼・ルーニックガルドル</t>
    <rPh sb="0" eb="1">
      <t>コク</t>
    </rPh>
    <phoneticPr fontId="22"/>
  </si>
  <si>
    <t>刻蒼・ルーニックガルドル</t>
    <rPh sb="0" eb="1">
      <t>コク</t>
    </rPh>
    <rPh sb="1" eb="2">
      <t>ソウ</t>
    </rPh>
    <phoneticPr fontId="22"/>
  </si>
  <si>
    <t>俺に挑むか…面白い</t>
    <rPh sb="0" eb="1">
      <t>オレ</t>
    </rPh>
    <rPh sb="2" eb="3">
      <t>イド</t>
    </rPh>
    <rPh sb="6" eb="8">
      <t>オモシロ</t>
    </rPh>
    <phoneticPr fontId="22"/>
  </si>
  <si>
    <t>始まりの力、見せてやろう！</t>
    <rPh sb="0" eb="1">
      <t>ハジ</t>
    </rPh>
    <rPh sb="4" eb="5">
      <t>チカラ</t>
    </rPh>
    <rPh sb="6" eb="7">
      <t>ミ</t>
    </rPh>
    <phoneticPr fontId="22"/>
  </si>
  <si>
    <t>起動、貫け！</t>
    <rPh sb="0" eb="2">
      <t>キドウ</t>
    </rPh>
    <rPh sb="3" eb="4">
      <t>ツラヌ</t>
    </rPh>
    <phoneticPr fontId="22"/>
  </si>
  <si>
    <t>まだ倒れるなよ？</t>
    <rPh sb="2" eb="3">
      <t>タオ</t>
    </rPh>
    <phoneticPr fontId="22"/>
  </si>
  <si>
    <t>俺に続け！</t>
    <rPh sb="0" eb="1">
      <t>オレ</t>
    </rPh>
    <rPh sb="2" eb="3">
      <t>ツヅ</t>
    </rPh>
    <phoneticPr fontId="22"/>
  </si>
  <si>
    <t>giza</t>
    <phoneticPr fontId="22"/>
  </si>
  <si>
    <t>skill</t>
    <phoneticPr fontId="22"/>
  </si>
  <si>
    <t>パネルを1つランダムでSCパネルに変換(威力特大)+3ターン青属性の防御を特大UP</t>
    <rPh sb="30" eb="31">
      <t>ア</t>
    </rPh>
    <rPh sb="31" eb="34">
      <t>ゾクセ</t>
    </rPh>
    <rPh sb="34" eb="36">
      <t>ボ</t>
    </rPh>
    <rPh sb="37" eb="39">
      <t>トクダ</t>
    </rPh>
    <phoneticPr fontId="22"/>
  </si>
  <si>
    <t>[effect:damage, target:enemy_all, color:red, val:0.45, animation:damage_all_red04],[effect:heal_ratio, val:0.3, animation:heal_unit, animation:heal03_unit01]</t>
    <phoneticPr fontId="22"/>
  </si>
  <si>
    <t>[effect:damage, target:enemy_all, color:red, val:0.6, animation:damage_all_red04],[effect:heal_ratio, val:0.3, animation:heal_unit, animation:heal03_unit01]</t>
    <phoneticPr fontId="22"/>
  </si>
  <si>
    <t>全体に中ダメージ
+HP大回復</t>
    <rPh sb="0" eb="2">
      <t>ゼン</t>
    </rPh>
    <rPh sb="2" eb="3">
      <t>タンタ</t>
    </rPh>
    <rPh sb="3" eb="4">
      <t>チュウ</t>
    </rPh>
    <rPh sb="4" eb="8">
      <t>ダイダメーj</t>
    </rPh>
    <rPh sb="12" eb="13">
      <t>ダ</t>
    </rPh>
    <rPh sb="13" eb="15">
      <t>ショウカ</t>
    </rPh>
    <phoneticPr fontId="22"/>
  </si>
  <si>
    <t>全体に大ダメージ
+HP大回復</t>
    <rPh sb="0" eb="2">
      <t>ゼン</t>
    </rPh>
    <rPh sb="2" eb="3">
      <t>タンタ</t>
    </rPh>
    <rPh sb="3" eb="4">
      <t>ダイ</t>
    </rPh>
    <rPh sb="4" eb="8">
      <t>ダイダメーj</t>
    </rPh>
    <rPh sb="12" eb="13">
      <t>ダ</t>
    </rPh>
    <rPh sb="13" eb="15">
      <t>ショウカ</t>
    </rPh>
    <phoneticPr fontId="22"/>
  </si>
  <si>
    <t>[effect:damage, target:enemy_one, color:blue, val:1.5, animation:damage_one_blue05],[effect:enhance_unit, target:unit_blue, turn:1, status:attack, val:0.06, calc:mul,animation:enhance_unit_all_attack03_unit01]</t>
    <phoneticPr fontId="22"/>
  </si>
  <si>
    <t>[effect:damage, target:enemy_one, color:blue, val:1.5, animation:damage_one_blue04],[effect:enhance_unit, target:unit_blue, turn:1, status:attack, val:0.06, calc:mul,animation:enhance_unit_all_attack03_unit01]</t>
    <phoneticPr fontId="22"/>
  </si>
  <si>
    <t>HP回復(緑パネルを吸収して効果UP)+3ターン全ユニットの回復力を大UP</t>
    <rPh sb="5" eb="6">
      <t>ミドr</t>
    </rPh>
    <rPh sb="24" eb="29">
      <t>ゼン</t>
    </rPh>
    <rPh sb="30" eb="33">
      <t>カイフk</t>
    </rPh>
    <rPh sb="34" eb="35">
      <t>ダ</t>
    </rPh>
    <phoneticPr fontId="22"/>
  </si>
  <si>
    <t>メリーハーヴェスト</t>
    <phoneticPr fontId="22"/>
  </si>
  <si>
    <t>ハッピーハーヴェスト</t>
    <phoneticPr fontId="22"/>
  </si>
  <si>
    <t>メイクウィートミール</t>
    <phoneticPr fontId="22"/>
  </si>
  <si>
    <t>メイクバーリィミール</t>
    <phoneticPr fontId="22"/>
  </si>
  <si>
    <t>うにゃあっ！？</t>
    <phoneticPr fontId="22"/>
  </si>
  <si>
    <t>これもお仕事です！</t>
    <rPh sb="4" eb="8">
      <t>シゴt</t>
    </rPh>
    <phoneticPr fontId="22"/>
  </si>
  <si>
    <t>力を合わせて頑張ります！</t>
    <rPh sb="0" eb="2">
      <t>チカr</t>
    </rPh>
    <rPh sb="2" eb="6">
      <t>アワs</t>
    </rPh>
    <rPh sb="6" eb="11">
      <t>ガンバr</t>
    </rPh>
    <phoneticPr fontId="22"/>
  </si>
  <si>
    <t>みんなのために！</t>
    <phoneticPr fontId="22"/>
  </si>
  <si>
    <t>kumo</t>
    <phoneticPr fontId="22"/>
  </si>
  <si>
    <t>giza</t>
    <phoneticPr fontId="22"/>
  </si>
  <si>
    <t>みんなを元気にしてみせます！</t>
    <rPh sb="4" eb="7">
      <t>ゲン</t>
    </rPh>
    <phoneticPr fontId="22"/>
  </si>
  <si>
    <t>HP回復(緑パネルを吸収して効果UP)+3ターン全ユニットの回復力を特大UP</t>
    <rPh sb="5" eb="6">
      <t>ミドr</t>
    </rPh>
    <rPh sb="24" eb="29">
      <t>ゼン</t>
    </rPh>
    <rPh sb="30" eb="33">
      <t>カイフk</t>
    </rPh>
    <rPh sb="34" eb="36">
      <t>トk</t>
    </rPh>
    <phoneticPr fontId="22"/>
  </si>
  <si>
    <t>[effect:break_heal_ratio, val:0.15, lowest_val:1000, count:-1, block:block_green, animation:heal03],[effect:enhance_unit, target:unit_all, turn:3, status:heal, val:0.42, calc:mul, animation:enhance_unit_all_heal04]</t>
    <phoneticPr fontId="22"/>
  </si>
  <si>
    <t>[effect:break_heal_ratio, val:0.15, lowest_val:1000, count:-1, block:block_green, animation:heal03],[effect:enhance_unit, target:unit_all, turn:3, status:heal, val:0.6, calc:mul, animation:enhance_unit_all_heal04]</t>
    <phoneticPr fontId="22"/>
  </si>
  <si>
    <t>DropWizSSS</t>
    <phoneticPr fontId="9"/>
  </si>
  <si>
    <t>DropWizSS</t>
    <phoneticPr fontId="9"/>
  </si>
  <si>
    <t>-</t>
    <phoneticPr fontId="9"/>
  </si>
  <si>
    <t>DropWizS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</si>
  <si>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</si>
  <si>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</si>
  <si>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</si>
  <si>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</si>
  <si>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DropWizSS</t>
    <phoneticPr fontId="9"/>
  </si>
  <si>
    <t>required_exp_250</t>
    <phoneticPr fontId="9"/>
  </si>
  <si>
    <t>DropWizS</t>
    <phoneticPr fontId="9"/>
  </si>
  <si>
    <t>DropWizSSS</t>
    <phoneticPr fontId="9"/>
  </si>
  <si>
    <t>DropWizS</t>
    <phoneticPr fontId="9"/>
  </si>
  <si>
    <t>DropN</t>
    <phoneticPr fontId="9"/>
  </si>
  <si>
    <t>DropW</t>
    <phoneticPr fontId="9"/>
  </si>
  <si>
    <t>-</t>
    <phoneticPr fontId="9"/>
  </si>
  <si>
    <t>DropWizN</t>
    <phoneticPr fontId="9"/>
  </si>
  <si>
    <t>DropWizW</t>
    <phoneticPr fontId="9"/>
  </si>
  <si>
    <t>required_exp_300</t>
    <phoneticPr fontId="9"/>
  </si>
  <si>
    <t>[effect:enhance_unit, target:unit_yellow, turn:3, status:attack, val:0.255, calc:mul, animation:enhance_unit_all_attack04_unit01]],[effect:enhance_unit, target:unit_yellow, turn:3, status:action, val:1.0, calc:mul, animation:enhance_unit_one_action01]</t>
    <phoneticPr fontId="22"/>
  </si>
  <si>
    <t>[effect:enhance_unit, target:unit_yellow, turn:3, status:attack, val:0.255, calc:mul, animation:enhance_unit_all_attack04_unit01]],[effect:enhance_unit, target:unit_yellow, turn:3, status:action, val:1.0, calc:mul, animation:enhance_unit_one_action01]</t>
    <phoneticPr fontId="22"/>
  </si>
  <si>
    <t>[effect:enhance_unit, target:unit_red, turn:2, status:action, val:1.0, calc:mul, animation:enhance_unit_one_action01],[effect:change_panel_ratio, turn:2, block_type:yellow, val:0],[effect:break_enchance_unit, val:0.005, lowest_val:0.2, count :-1, status:attack, turn:2, block:block_yellow, target:unit_red, calc:mul, animation:enhance_unit_all_attack02]</t>
    <phoneticPr fontId="22"/>
  </si>
  <si>
    <t>戦勝牙剣レーヴァテイン</t>
  </si>
  <si>
    <t>戦勝牙剣レーヴァテイン</t>
    <rPh sb="0" eb="1">
      <t>イクs</t>
    </rPh>
    <rPh sb="1" eb="2">
      <t>カt</t>
    </rPh>
    <rPh sb="2" eb="4">
      <t>キb</t>
    </rPh>
    <phoneticPr fontId="22"/>
  </si>
  <si>
    <t>勇進の凱旋</t>
    <rPh sb="0" eb="1">
      <t>イサm</t>
    </rPh>
    <rPh sb="1" eb="2">
      <t>ススm</t>
    </rPh>
    <rPh sb="3" eb="5">
      <t>ガ</t>
    </rPh>
    <phoneticPr fontId="22"/>
  </si>
  <si>
    <t>俺に勝てるとでも思ったのか？</t>
    <rPh sb="0" eb="2">
      <t>オr</t>
    </rPh>
    <rPh sb="2" eb="5">
      <t>カt</t>
    </rPh>
    <rPh sb="8" eb="10">
      <t>オモッt</t>
    </rPh>
    <rPh sb="10" eb="13">
      <t>オモッッタン</t>
    </rPh>
    <phoneticPr fontId="22"/>
  </si>
  <si>
    <t>調子に乗るなよ…！</t>
    <rPh sb="0" eb="3">
      <t>チョ</t>
    </rPh>
    <rPh sb="3" eb="7">
      <t>ノr</t>
    </rPh>
    <phoneticPr fontId="22"/>
  </si>
  <si>
    <t>勝者は常に俺だ…！</t>
    <rPh sb="0" eb="2">
      <t>ショウsy</t>
    </rPh>
    <rPh sb="3" eb="5">
      <t>ツン</t>
    </rPh>
    <rPh sb="5" eb="7">
      <t>オr</t>
    </rPh>
    <phoneticPr fontId="22"/>
  </si>
  <si>
    <t>邪魔をするな！</t>
    <rPh sb="0" eb="3">
      <t>ジャm</t>
    </rPh>
    <phoneticPr fontId="22"/>
  </si>
  <si>
    <t>maru</t>
    <phoneticPr fontId="22"/>
  </si>
  <si>
    <t>maru</t>
    <phoneticPr fontId="22"/>
  </si>
  <si>
    <t>2ターン赤属性のタップ回数を1増やし、攻撃力UP(黄パネルを吸収して効果UP)+黄パネルが出現しなくなる</t>
    <rPh sb="11" eb="13">
      <t>カ</t>
    </rPh>
    <rPh sb="15" eb="19">
      <t>フヤs</t>
    </rPh>
    <rPh sb="19" eb="21">
      <t>コウゲk</t>
    </rPh>
    <rPh sb="21" eb="22">
      <t>リョk</t>
    </rPh>
    <rPh sb="25" eb="26">
      <t>キイr</t>
    </rPh>
    <rPh sb="30" eb="34">
      <t>9sy</t>
    </rPh>
    <rPh sb="34" eb="36">
      <t>コウk</t>
    </rPh>
    <rPh sb="40" eb="41">
      <t>キ</t>
    </rPh>
    <rPh sb="45" eb="49">
      <t>シュt</t>
    </rPh>
    <phoneticPr fontId="22"/>
  </si>
  <si>
    <t>1体に大ダメージ
+攻撃力UP</t>
    <rPh sb="1" eb="2">
      <t>タイ</t>
    </rPh>
    <rPh sb="3" eb="4">
      <t>トクダ</t>
    </rPh>
    <rPh sb="10" eb="13">
      <t>コウゲk</t>
    </rPh>
    <phoneticPr fontId="22"/>
  </si>
  <si>
    <t>[effect:special_block,val:36, count:1, animation:change_block],[effect:enhance_unit, target:unit_blue, turn:3, status:defense, val:1440, calc:add, animation:enhance_unit_all_defense03_unit01]</t>
    <phoneticPr fontId="22"/>
  </si>
  <si>
    <t>[effect:damage, target:enemy_one, color:red, val:1.2, animation:damage_one_red04],[effect:enhance_unit, target:unit_all, turn:1, status:attack, val:0.075, calc:mul,animation:enhance_unit_all_attack03_unit01]</t>
    <phoneticPr fontId="22"/>
  </si>
  <si>
    <t>[effect:damage, target:enemy_one, color:red, val:1.2, animation:damage_one_red04],[effect:enhance_unit, target:unit_all, turn:1, status:attack, val:0.075, calc:mul,animation:enhance_unit_all_attack03_unit01]</t>
    <phoneticPr fontId="22"/>
  </si>
  <si>
    <t>俺が管理してやるよ</t>
    <phoneticPr fontId="22"/>
  </si>
  <si>
    <t>sell_ghosts</t>
  </si>
  <si>
    <t>sell_ghosts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</si>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</sst>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2"/>
      <color indexed="206"/>
      <name val="ＭＳ Ｐゴシック"/>
      <family val="2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479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87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4" borderId="4" xfId="0" applyFill="1" applyBorder="1"/>
    <xf numFmtId="0" fontId="0" fillId="24" borderId="0" xfId="0" applyFill="1"/>
    <xf numFmtId="0" fontId="13" fillId="20" borderId="4" xfId="0" applyFont="1" applyFill="1" applyBorder="1" applyAlignment="1">
      <alignment horizontal="left" vertical="center" wrapText="1"/>
    </xf>
    <xf numFmtId="0" fontId="25" fillId="11" borderId="7" xfId="0" applyFont="1" applyFill="1" applyBorder="1" applyAlignment="1">
      <alignment vertical="center" wrapText="1"/>
    </xf>
    <xf numFmtId="0" fontId="13" fillId="7" borderId="14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left" vertical="center"/>
    </xf>
    <xf numFmtId="0" fontId="25" fillId="11" borderId="4" xfId="0" applyFont="1" applyFill="1" applyBorder="1" applyAlignment="1">
      <alignment vertical="center" wrapText="1"/>
    </xf>
    <xf numFmtId="0" fontId="13" fillId="7" borderId="4" xfId="0" applyFont="1" applyFill="1" applyBorder="1" applyAlignment="1">
      <alignment horizontal="center" vertical="center"/>
    </xf>
    <xf numFmtId="0" fontId="13" fillId="0" borderId="4" xfId="0" applyFont="1" applyBorder="1"/>
    <xf numFmtId="0" fontId="16" fillId="0" borderId="23" xfId="0" applyFont="1" applyFill="1" applyBorder="1" applyAlignment="1">
      <alignment horizontal="right" vertical="center"/>
    </xf>
    <xf numFmtId="0" fontId="28" fillId="0" borderId="7" xfId="0" applyFont="1" applyFill="1" applyBorder="1"/>
    <xf numFmtId="0" fontId="0" fillId="0" borderId="4" xfId="0" applyNumberFormat="1" applyFill="1" applyBorder="1"/>
    <xf numFmtId="0" fontId="13" fillId="24" borderId="4" xfId="0" applyFont="1" applyFill="1" applyBorder="1" applyAlignment="1">
      <alignment horizontal="left" vertical="center" wrapText="1"/>
    </xf>
    <xf numFmtId="0" fontId="29" fillId="0" borderId="4" xfId="0" applyNumberFormat="1" applyFont="1" applyFill="1" applyBorder="1" applyAlignment="1">
      <alignment horizontal="left"/>
    </xf>
    <xf numFmtId="0" fontId="30" fillId="0" borderId="0" xfId="0" applyFont="1"/>
    <xf numFmtId="0" fontId="25" fillId="0" borderId="7" xfId="0" applyFont="1" applyFill="1" applyBorder="1" applyAlignment="1">
      <alignment vertical="center" wrapText="1"/>
    </xf>
    <xf numFmtId="0" fontId="16" fillId="8" borderId="4" xfId="0" applyFont="1" applyFill="1" applyBorder="1" applyAlignment="1">
      <alignment horizontal="right" vertical="center"/>
    </xf>
    <xf numFmtId="0" fontId="13" fillId="11" borderId="4" xfId="0" applyFont="1" applyFill="1" applyBorder="1"/>
    <xf numFmtId="0" fontId="16" fillId="0" borderId="23" xfId="0" applyFont="1" applyFill="1" applyBorder="1" applyAlignment="1">
      <alignment horizontal="left" vertical="center"/>
    </xf>
    <xf numFmtId="0" fontId="29" fillId="0" borderId="4" xfId="0" applyFont="1" applyFill="1" applyBorder="1"/>
    <xf numFmtId="0" fontId="16" fillId="25" borderId="3" xfId="0" applyFont="1" applyFill="1" applyBorder="1" applyAlignment="1">
      <alignment horizontal="center" vertical="center"/>
    </xf>
    <xf numFmtId="0" fontId="8" fillId="25" borderId="2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vertical="center"/>
    </xf>
    <xf numFmtId="0" fontId="8" fillId="25" borderId="19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26" borderId="4" xfId="0" applyFont="1" applyFill="1" applyBorder="1" applyAlignment="1">
      <alignment vertical="center"/>
    </xf>
    <xf numFmtId="0" fontId="8" fillId="25" borderId="24" xfId="0" applyFont="1" applyFill="1" applyBorder="1" applyAlignment="1">
      <alignment horizontal="center" vertical="center"/>
    </xf>
    <xf numFmtId="0" fontId="8" fillId="25" borderId="25" xfId="0" applyFont="1" applyFill="1" applyBorder="1" applyAlignment="1">
      <alignment horizontal="center" vertical="center"/>
    </xf>
    <xf numFmtId="0" fontId="8" fillId="26" borderId="25" xfId="0" applyFont="1" applyFill="1" applyBorder="1" applyAlignment="1">
      <alignment vertical="center"/>
    </xf>
    <xf numFmtId="0" fontId="16" fillId="26" borderId="4" xfId="0" applyFont="1" applyFill="1" applyBorder="1" applyAlignment="1">
      <alignment vertical="center"/>
    </xf>
    <xf numFmtId="0" fontId="18" fillId="26" borderId="4" xfId="0" applyFont="1" applyFill="1" applyBorder="1" applyAlignment="1">
      <alignment horizontal="center" vertical="center"/>
    </xf>
    <xf numFmtId="0" fontId="17" fillId="26" borderId="4" xfId="0" applyFont="1" applyFill="1" applyBorder="1" applyAlignment="1">
      <alignment horizontal="center" vertical="center" wrapText="1"/>
    </xf>
    <xf numFmtId="0" fontId="8" fillId="26" borderId="1" xfId="0" applyFont="1" applyFill="1" applyBorder="1" applyAlignment="1">
      <alignment vertical="center"/>
    </xf>
    <xf numFmtId="0" fontId="16" fillId="25" borderId="21" xfId="0" applyFont="1" applyFill="1" applyBorder="1" applyAlignment="1">
      <alignment horizontal="center" vertical="center"/>
    </xf>
    <xf numFmtId="0" fontId="8" fillId="25" borderId="26" xfId="0" applyFont="1" applyFill="1" applyBorder="1" applyAlignment="1">
      <alignment horizontal="center" vertical="center"/>
    </xf>
    <xf numFmtId="0" fontId="8" fillId="25" borderId="12" xfId="0" applyFont="1" applyFill="1" applyBorder="1" applyAlignment="1">
      <alignment horizontal="center" vertical="center"/>
    </xf>
    <xf numFmtId="0" fontId="17" fillId="26" borderId="12" xfId="0" applyFont="1" applyFill="1" applyBorder="1" applyAlignment="1">
      <alignment horizontal="center" vertical="center" wrapText="1"/>
    </xf>
  </cellXfs>
  <cellStyles count="479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ハイパーリンク" xfId="4714" builtinId="8" hidden="1"/>
    <cellStyle name="ハイパーリンク" xfId="4716" builtinId="8" hidden="1"/>
    <cellStyle name="ハイパーリンク" xfId="4718" builtinId="8" hidden="1"/>
    <cellStyle name="ハイパーリンク" xfId="4720" builtinId="8" hidden="1"/>
    <cellStyle name="ハイパーリンク" xfId="4722" builtinId="8" hidden="1"/>
    <cellStyle name="ハイパーリンク" xfId="4724" builtinId="8" hidden="1"/>
    <cellStyle name="ハイパーリンク" xfId="4726" builtinId="8" hidden="1"/>
    <cellStyle name="ハイパーリンク" xfId="4728" builtinId="8" hidden="1"/>
    <cellStyle name="ハイパーリンク" xfId="4730" builtinId="8" hidden="1"/>
    <cellStyle name="ハイパーリンク" xfId="4732" builtinId="8" hidden="1"/>
    <cellStyle name="ハイパーリンク" xfId="4734" builtinId="8" hidden="1"/>
    <cellStyle name="ハイパーリンク" xfId="4736" builtinId="8" hidden="1"/>
    <cellStyle name="ハイパーリンク" xfId="4738" builtinId="8" hidden="1"/>
    <cellStyle name="ハイパーリンク" xfId="4740" builtinId="8" hidden="1"/>
    <cellStyle name="ハイパーリンク" xfId="4742" builtinId="8" hidden="1"/>
    <cellStyle name="ハイパーリンク" xfId="4744" builtinId="8" hidden="1"/>
    <cellStyle name="ハイパーリンク" xfId="4746" builtinId="8" hidden="1"/>
    <cellStyle name="ハイパーリンク" xfId="4748" builtinId="8" hidden="1"/>
    <cellStyle name="ハイパーリンク" xfId="4750" builtinId="8" hidden="1"/>
    <cellStyle name="ハイパーリンク" xfId="4752" builtinId="8" hidden="1"/>
    <cellStyle name="ハイパーリンク" xfId="4754" builtinId="8" hidden="1"/>
    <cellStyle name="ハイパーリンク" xfId="4756" builtinId="8" hidden="1"/>
    <cellStyle name="ハイパーリンク" xfId="4758" builtinId="8" hidden="1"/>
    <cellStyle name="ハイパーリンク" xfId="4760" builtinId="8" hidden="1"/>
    <cellStyle name="ハイパーリンク" xfId="4762" builtinId="8" hidden="1"/>
    <cellStyle name="ハイパーリンク" xfId="4764" builtinId="8" hidden="1"/>
    <cellStyle name="ハイパーリンク" xfId="4766" builtinId="8" hidden="1"/>
    <cellStyle name="ハイパーリンク" xfId="4768" builtinId="8" hidden="1"/>
    <cellStyle name="ハイパーリンク" xfId="4770" builtinId="8" hidden="1"/>
    <cellStyle name="ハイパーリンク" xfId="4772" builtinId="8" hidden="1"/>
    <cellStyle name="ハイパーリンク" xfId="4774" builtinId="8" hidden="1"/>
    <cellStyle name="ハイパーリンク" xfId="4776" builtinId="8" hidden="1"/>
    <cellStyle name="ハイパーリンク" xfId="4778" builtinId="8" hidden="1"/>
    <cellStyle name="ハイパーリンク" xfId="4780" builtinId="8" hidden="1"/>
    <cellStyle name="ハイパーリンク" xfId="4782" builtinId="8" hidden="1"/>
    <cellStyle name="ハイパーリンク" xfId="4784" builtinId="8" hidden="1"/>
    <cellStyle name="ハイパーリンク" xfId="4786" builtinId="8" hidden="1"/>
    <cellStyle name="ハイパーリンク" xfId="4788" builtinId="8" hidden="1"/>
    <cellStyle name="ハイパーリンク" xfId="4790" builtinId="8" hidden="1"/>
    <cellStyle name="ハイパーリンク" xfId="479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表示済みのハイパーリンク" xfId="4715" builtinId="9" hidden="1"/>
    <cellStyle name="表示済みのハイパーリンク" xfId="4717" builtinId="9" hidden="1"/>
    <cellStyle name="表示済みのハイパーリンク" xfId="4719" builtinId="9" hidden="1"/>
    <cellStyle name="表示済みのハイパーリンク" xfId="4721" builtinId="9" hidden="1"/>
    <cellStyle name="表示済みのハイパーリンク" xfId="4723" builtinId="9" hidden="1"/>
    <cellStyle name="表示済みのハイパーリンク" xfId="4725" builtinId="9" hidden="1"/>
    <cellStyle name="表示済みのハイパーリンク" xfId="4727" builtinId="9" hidden="1"/>
    <cellStyle name="表示済みのハイパーリンク" xfId="4729" builtinId="9" hidden="1"/>
    <cellStyle name="表示済みのハイパーリンク" xfId="4731" builtinId="9" hidden="1"/>
    <cellStyle name="表示済みのハイパーリンク" xfId="4733" builtinId="9" hidden="1"/>
    <cellStyle name="表示済みのハイパーリンク" xfId="4735" builtinId="9" hidden="1"/>
    <cellStyle name="表示済みのハイパーリンク" xfId="4737" builtinId="9" hidden="1"/>
    <cellStyle name="表示済みのハイパーリンク" xfId="4739" builtinId="9" hidden="1"/>
    <cellStyle name="表示済みのハイパーリンク" xfId="4741" builtinId="9" hidden="1"/>
    <cellStyle name="表示済みのハイパーリンク" xfId="4743" builtinId="9" hidden="1"/>
    <cellStyle name="表示済みのハイパーリンク" xfId="4745" builtinId="9" hidden="1"/>
    <cellStyle name="表示済みのハイパーリンク" xfId="4747" builtinId="9" hidden="1"/>
    <cellStyle name="表示済みのハイパーリンク" xfId="4749" builtinId="9" hidden="1"/>
    <cellStyle name="表示済みのハイパーリンク" xfId="4751" builtinId="9" hidden="1"/>
    <cellStyle name="表示済みのハイパーリンク" xfId="4753" builtinId="9" hidden="1"/>
    <cellStyle name="表示済みのハイパーリンク" xfId="4755" builtinId="9" hidden="1"/>
    <cellStyle name="表示済みのハイパーリンク" xfId="4757" builtinId="9" hidden="1"/>
    <cellStyle name="表示済みのハイパーリンク" xfId="4759" builtinId="9" hidden="1"/>
    <cellStyle name="表示済みのハイパーリンク" xfId="4761" builtinId="9" hidden="1"/>
    <cellStyle name="表示済みのハイパーリンク" xfId="4763" builtinId="9" hidden="1"/>
    <cellStyle name="表示済みのハイパーリンク" xfId="4765" builtinId="9" hidden="1"/>
    <cellStyle name="表示済みのハイパーリンク" xfId="4767" builtinId="9" hidden="1"/>
    <cellStyle name="表示済みのハイパーリンク" xfId="4769" builtinId="9" hidden="1"/>
    <cellStyle name="表示済みのハイパーリンク" xfId="4771" builtinId="9" hidden="1"/>
    <cellStyle name="表示済みのハイパーリンク" xfId="4773" builtinId="9" hidden="1"/>
    <cellStyle name="表示済みのハイパーリンク" xfId="4775" builtinId="9" hidden="1"/>
    <cellStyle name="表示済みのハイパーリンク" xfId="4777" builtinId="9" hidden="1"/>
    <cellStyle name="表示済みのハイパーリンク" xfId="4779" builtinId="9" hidden="1"/>
    <cellStyle name="表示済みのハイパーリンク" xfId="4781" builtinId="9" hidden="1"/>
    <cellStyle name="表示済みのハイパーリンク" xfId="4783" builtinId="9" hidden="1"/>
    <cellStyle name="表示済みのハイパーリンク" xfId="4785" builtinId="9" hidden="1"/>
    <cellStyle name="表示済みのハイパーリンク" xfId="4787" builtinId="9" hidden="1"/>
    <cellStyle name="表示済みのハイパーリンク" xfId="4789" builtinId="9" hidden="1"/>
    <cellStyle name="表示済みのハイパーリンク" xfId="4791" builtinId="9" hidden="1"/>
    <cellStyle name="表示済みのハイパーリンク" xfId="4793" builtinId="9" hidden="1"/>
    <cellStyle name="赤字強調" xfId="4"/>
    <cellStyle name="青字強調" xfId="3"/>
  </cellStyles>
  <dxfs count="30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externalLink" Target="externalLinks/externalLink1.xml"/><Relationship Id="rId17" Type="http://schemas.openxmlformats.org/officeDocument/2006/relationships/externalLink" Target="externalLinks/externalLink2.xml"/><Relationship Id="rId18" Type="http://schemas.openxmlformats.org/officeDocument/2006/relationships/externalLink" Target="externalLinks/externalLink3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magai/Documents/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units"/>
      <sheetName val="awake_materials"/>
      <sheetName val="awake_material_habitats"/>
      <sheetName val="awake_material_habitats_manual"/>
      <sheetName val="limitbreak_materials"/>
      <sheetName val="ghosts_label"/>
      <sheetName val="コスト"/>
      <sheetName val="レベル"/>
      <sheetName val="経験値"/>
      <sheetName val="RC6SV"/>
      <sheetName val="ビット"/>
      <sheetName val="unit_exp_table"/>
      <sheetName val="unit_material_exp"/>
      <sheetName val="unit_soldprice_rate"/>
    </sheetNames>
    <sheetDataSet>
      <sheetData sheetId="0"/>
      <sheetData sheetId="1"/>
      <sheetData sheetId="2">
        <row r="1">
          <cell r="A1" t="str">
            <v>character_id</v>
          </cell>
          <cell r="B1" t="str">
            <v>name</v>
          </cell>
          <cell r="C1" t="str">
            <v>特徴</v>
          </cell>
          <cell r="D1" t="str">
            <v>勢力</v>
          </cell>
          <cell r="E1" t="str">
            <v>訴求軸</v>
          </cell>
          <cell r="F1" t="str">
            <v>性別</v>
          </cell>
          <cell r="G1" t="str">
            <v>rare</v>
          </cell>
          <cell r="H1" t="str">
            <v>drop_label</v>
          </cell>
          <cell r="I1" t="str">
            <v>color</v>
          </cell>
          <cell r="J1" t="str">
            <v>HP係数</v>
          </cell>
          <cell r="K1" t="str">
            <v>攻撃係数</v>
          </cell>
          <cell r="L1" t="str">
            <v>防御系数</v>
          </cell>
          <cell r="M1" t="str">
            <v>回復系数</v>
          </cell>
          <cell r="N1" t="str">
            <v>cost</v>
          </cell>
          <cell r="O1" t="str">
            <v>max_level</v>
          </cell>
          <cell r="P1" t="str">
            <v>max_bug</v>
          </cell>
          <cell r="Q1" t="str">
            <v>character_type_id</v>
          </cell>
          <cell r="R1" t="str">
            <v>name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回復係数</v>
          </cell>
          <cell r="W1" t="str">
            <v>character_main_tribe_id</v>
          </cell>
          <cell r="X1" t="str">
            <v>name</v>
          </cell>
          <cell r="Y1" t="str">
            <v>character_sub_tribe_id</v>
          </cell>
          <cell r="Z1" t="str">
            <v>name</v>
          </cell>
          <cell r="AA1" t="str">
            <v>HP係数</v>
          </cell>
          <cell r="AB1" t="str">
            <v>攻撃係数</v>
          </cell>
          <cell r="AC1" t="str">
            <v>防御係数</v>
          </cell>
          <cell r="AD1" t="str">
            <v>回復係数</v>
          </cell>
          <cell r="AE1" t="str">
            <v>awake_character_id</v>
          </cell>
          <cell r="AF1" t="str">
            <v>name</v>
          </cell>
          <cell r="AG1" t="str">
            <v>base_character_id</v>
          </cell>
          <cell r="AH1" t="str">
            <v>name</v>
          </cell>
          <cell r="AI1" t="str">
            <v>awake_price</v>
          </cell>
          <cell r="AJ1" t="str">
            <v>growth_speed</v>
          </cell>
          <cell r="AK1" t="str">
            <v>成長速度名</v>
          </cell>
          <cell r="AL1" t="str">
            <v>exp_table</v>
          </cell>
          <cell r="AM1" t="str">
            <v>base_material_exp</v>
          </cell>
          <cell r="AN1" t="str">
            <v>base_soldprice</v>
          </cell>
          <cell r="AO1" t="str">
            <v>スキルタイプ</v>
          </cell>
          <cell r="AP1" t="str">
            <v>unit_skill_id</v>
          </cell>
          <cell r="AQ1" t="str">
            <v>unit_skill_name</v>
          </cell>
          <cell r="AR1" t="str">
            <v>unit_skill_comment</v>
          </cell>
          <cell r="AS1" t="str">
            <v>等級</v>
          </cell>
          <cell r="AT1" t="str">
            <v>crash_skill_id</v>
          </cell>
          <cell r="AU1" t="str">
            <v>crash_skill_name</v>
          </cell>
          <cell r="AV1" t="str">
            <v>crash_skill_comment</v>
          </cell>
          <cell r="AW1" t="str">
            <v>等級</v>
          </cell>
          <cell r="AX1" t="str">
            <v>valid_flg</v>
          </cell>
          <cell r="AY1" t="str">
            <v>HP係数</v>
          </cell>
          <cell r="AZ1" t="str">
            <v>攻撃系数</v>
          </cell>
          <cell r="BA1" t="str">
            <v>防御係数</v>
          </cell>
          <cell r="BB1" t="str">
            <v>回復系数</v>
          </cell>
          <cell r="BC1" t="str">
            <v>RC6SV</v>
          </cell>
          <cell r="BD1" t="str">
            <v>調整後</v>
          </cell>
          <cell r="BE1" t="str">
            <v>進化前RC6SV</v>
          </cell>
          <cell r="BF1" t="str">
            <v>進化前MAXレベル</v>
          </cell>
          <cell r="BG1" t="str">
            <v>min_hp</v>
          </cell>
          <cell r="BH1" t="str">
            <v>min_attack</v>
          </cell>
          <cell r="BI1" t="str">
            <v>min_defense</v>
          </cell>
          <cell r="BJ1" t="str">
            <v>min_heal</v>
          </cell>
          <cell r="BK1" t="str">
            <v>max_hp</v>
          </cell>
          <cell r="BL1" t="str">
            <v>max_attack</v>
          </cell>
          <cell r="BM1" t="str">
            <v>max_defense</v>
          </cell>
          <cell r="BN1" t="str">
            <v>max_heal</v>
          </cell>
          <cell r="BO1" t="str">
            <v>skip</v>
          </cell>
          <cell r="BP1" t="str">
            <v>min_max</v>
          </cell>
          <cell r="BQ1" t="str">
            <v>level_test</v>
          </cell>
          <cell r="BR1" t="str">
            <v>sell_ghosts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418</v>
          </cell>
        </row>
        <row r="412">
          <cell r="A412">
            <v>419</v>
          </cell>
        </row>
        <row r="413">
          <cell r="A413">
            <v>420</v>
          </cell>
        </row>
        <row r="414">
          <cell r="A414">
            <v>421</v>
          </cell>
        </row>
        <row r="415">
          <cell r="A415">
            <v>422</v>
          </cell>
        </row>
        <row r="416">
          <cell r="A416">
            <v>423</v>
          </cell>
        </row>
        <row r="417">
          <cell r="A417">
            <v>424</v>
          </cell>
        </row>
        <row r="418">
          <cell r="A418">
            <v>425</v>
          </cell>
        </row>
        <row r="419">
          <cell r="A419">
            <v>426</v>
          </cell>
        </row>
        <row r="420">
          <cell r="A420">
            <v>427</v>
          </cell>
        </row>
        <row r="421">
          <cell r="A421">
            <v>432</v>
          </cell>
        </row>
        <row r="422">
          <cell r="A422">
            <v>433</v>
          </cell>
        </row>
        <row r="423">
          <cell r="A423">
            <v>434</v>
          </cell>
        </row>
        <row r="424">
          <cell r="A424">
            <v>435</v>
          </cell>
        </row>
        <row r="425">
          <cell r="A425">
            <v>436</v>
          </cell>
        </row>
        <row r="426">
          <cell r="A426">
            <v>437</v>
          </cell>
        </row>
        <row r="427">
          <cell r="A427">
            <v>438</v>
          </cell>
        </row>
        <row r="428">
          <cell r="A428">
            <v>439</v>
          </cell>
        </row>
        <row r="429">
          <cell r="A429">
            <v>440</v>
          </cell>
        </row>
        <row r="430">
          <cell r="A430">
            <v>441</v>
          </cell>
        </row>
        <row r="431">
          <cell r="A431">
            <v>442</v>
          </cell>
        </row>
        <row r="432">
          <cell r="A432">
            <v>443</v>
          </cell>
        </row>
        <row r="433">
          <cell r="A433">
            <v>451</v>
          </cell>
        </row>
        <row r="434">
          <cell r="A434">
            <v>524</v>
          </cell>
        </row>
        <row r="435">
          <cell r="A435">
            <v>412</v>
          </cell>
        </row>
        <row r="436">
          <cell r="A436">
            <v>413</v>
          </cell>
        </row>
        <row r="437">
          <cell r="A437">
            <v>837</v>
          </cell>
        </row>
        <row r="438">
          <cell r="A438">
            <v>976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ラベル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character_id</v>
          </cell>
          <cell r="B1" t="str">
            <v>language</v>
          </cell>
          <cell r="C1" t="str">
            <v>name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</row>
        <row r="572">
          <cell r="A572">
            <v>571</v>
          </cell>
          <cell r="B572" t="str">
            <v>ja</v>
          </cell>
          <cell r="C572" t="str">
            <v>ハッピー（制服&amp;チョコ＆手紙差分）</v>
          </cell>
        </row>
        <row r="573">
          <cell r="A573">
            <v>572</v>
          </cell>
          <cell r="B573" t="str">
            <v>ja</v>
          </cell>
          <cell r="C573" t="str">
            <v>チョコりんご（秘術）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</row>
        <row r="688">
          <cell r="A688">
            <v>687</v>
          </cell>
          <cell r="B688" t="str">
            <v>ja</v>
          </cell>
          <cell r="C688" t="str">
            <v>ユークリッド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ユークリッド</v>
          </cell>
        </row>
        <row r="691">
          <cell r="A691">
            <v>690</v>
          </cell>
          <cell r="B691" t="str">
            <v>ja</v>
          </cell>
          <cell r="C691" t="str">
            <v>黒沼青葉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紀田正臣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セルティ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</row>
        <row r="698">
          <cell r="A698">
            <v>697</v>
          </cell>
          <cell r="B698" t="str">
            <v>ja</v>
          </cell>
          <cell r="C698" t="str">
            <v>園原杏里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折原臨也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サイモン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贄川春奈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岸谷新羅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門田京介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</row>
        <row r="710">
          <cell r="A710">
            <v>709</v>
          </cell>
          <cell r="B710" t="str">
            <v>ja</v>
          </cell>
          <cell r="C710" t="str">
            <v>田中トム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竜ヶ峰帝人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粟楠茜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平和島静雄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ヴァローナ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直江兼続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蘭丸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</row>
        <row r="724">
          <cell r="A724">
            <v>723</v>
          </cell>
          <cell r="B724" t="str">
            <v>ja</v>
          </cell>
          <cell r="C724" t="str">
            <v>上杉謙信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</row>
        <row r="726">
          <cell r="A726">
            <v>725</v>
          </cell>
          <cell r="B726" t="str">
            <v>ja</v>
          </cell>
          <cell r="C726" t="str">
            <v>織田信長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井伊直虎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ガラシャ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</row>
        <row r="733">
          <cell r="A733">
            <v>732</v>
          </cell>
          <cell r="B733" t="str">
            <v>ja</v>
          </cell>
          <cell r="C733" t="str">
            <v>伊達政宗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</row>
        <row r="735">
          <cell r="A735">
            <v>734</v>
          </cell>
          <cell r="B735" t="str">
            <v>ja</v>
          </cell>
          <cell r="C735" t="str">
            <v>信玄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</row>
        <row r="743">
          <cell r="A743">
            <v>742</v>
          </cell>
          <cell r="B743" t="str">
            <v>ja</v>
          </cell>
          <cell r="C743" t="str">
            <v>パーン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</row>
        <row r="750">
          <cell r="A750">
            <v>749</v>
          </cell>
          <cell r="B750" t="str">
            <v>ja</v>
          </cell>
          <cell r="C750" t="str">
            <v>アポロン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</row>
        <row r="752">
          <cell r="A752">
            <v>751</v>
          </cell>
          <cell r="B752" t="str">
            <v>ja</v>
          </cell>
          <cell r="C752" t="str">
            <v>ムラマサ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マサムネ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アメノムラクモ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雷切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クロネッカー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</row>
        <row r="762">
          <cell r="A762">
            <v>761</v>
          </cell>
          <cell r="B762" t="str">
            <v>ja</v>
          </cell>
          <cell r="C762" t="str">
            <v>フィボナッチ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バジリスク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</row>
        <row r="766">
          <cell r="A766">
            <v>765</v>
          </cell>
          <cell r="B766" t="str">
            <v>ja</v>
          </cell>
          <cell r="C766" t="str">
            <v>イナバ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</row>
        <row r="769">
          <cell r="A769">
            <v>768</v>
          </cell>
          <cell r="B769" t="str">
            <v>ja</v>
          </cell>
          <cell r="C769" t="str">
            <v>ミケランジェロ</v>
          </cell>
        </row>
        <row r="770">
          <cell r="A770">
            <v>769</v>
          </cell>
          <cell r="B770" t="str">
            <v>ja</v>
          </cell>
          <cell r="C770" t="str">
            <v>侵食破壊性ミケランジェロ</v>
          </cell>
        </row>
        <row r="771">
          <cell r="A771">
            <v>770</v>
          </cell>
          <cell r="B771" t="str">
            <v>ja</v>
          </cell>
          <cell r="C771" t="str">
            <v>ミケランジェロ</v>
          </cell>
        </row>
        <row r="772">
          <cell r="A772">
            <v>771</v>
          </cell>
          <cell r="B772" t="str">
            <v>ja</v>
          </cell>
          <cell r="C772" t="str">
            <v>ガラハッド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</row>
        <row r="775">
          <cell r="A775">
            <v>774</v>
          </cell>
          <cell r="B775" t="str">
            <v>ja</v>
          </cell>
          <cell r="C775" t="str">
            <v>チャリオット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</row>
        <row r="777">
          <cell r="A777">
            <v>776</v>
          </cell>
          <cell r="B777" t="str">
            <v>ja</v>
          </cell>
          <cell r="C777" t="str">
            <v>ミズチ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</row>
        <row r="780">
          <cell r="A780">
            <v>779</v>
          </cell>
          <cell r="B780" t="str">
            <v>ja</v>
          </cell>
          <cell r="C780" t="str">
            <v>ラブレター</v>
          </cell>
        </row>
        <row r="781">
          <cell r="A781">
            <v>780</v>
          </cell>
          <cell r="B781" t="str">
            <v>ja</v>
          </cell>
          <cell r="C781" t="str">
            <v>連鎖告白型ラブレター</v>
          </cell>
        </row>
        <row r="782">
          <cell r="A782">
            <v>781</v>
          </cell>
          <cell r="B782" t="str">
            <v>ja</v>
          </cell>
          <cell r="C782" t="str">
            <v>ラブレター</v>
          </cell>
        </row>
        <row r="783">
          <cell r="A783">
            <v>782</v>
          </cell>
          <cell r="B783" t="str">
            <v>ja</v>
          </cell>
          <cell r="C783" t="str">
            <v>ガレス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</row>
        <row r="786">
          <cell r="A786">
            <v>785</v>
          </cell>
          <cell r="B786" t="str">
            <v>ja</v>
          </cell>
          <cell r="C786" t="str">
            <v>ヘイウェイ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パブロフ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</row>
        <row r="790">
          <cell r="A790">
            <v>789</v>
          </cell>
          <cell r="B790" t="str">
            <v>ja</v>
          </cell>
          <cell r="C790" t="str">
            <v>ノイマン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</row>
        <row r="792">
          <cell r="A792">
            <v>791</v>
          </cell>
          <cell r="B792" t="str">
            <v>ja</v>
          </cell>
          <cell r="C792" t="str">
            <v>ゼノン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</row>
        <row r="794">
          <cell r="A794">
            <v>793</v>
          </cell>
          <cell r="B794" t="str">
            <v>ja</v>
          </cell>
          <cell r="C794" t="str">
            <v>制服ハッピー</v>
          </cell>
        </row>
        <row r="795">
          <cell r="A795">
            <v>794</v>
          </cell>
          <cell r="B795" t="str">
            <v>ja</v>
          </cell>
          <cell r="C795" t="str">
            <v>桜りんご</v>
          </cell>
        </row>
        <row r="796">
          <cell r="A796">
            <v>795</v>
          </cell>
          <cell r="B796" t="str">
            <v>ja</v>
          </cell>
          <cell r="C796" t="str">
            <v>ラグランジュ</v>
          </cell>
        </row>
        <row r="797">
          <cell r="A797">
            <v>796</v>
          </cell>
          <cell r="B797" t="str">
            <v>ja</v>
          </cell>
          <cell r="C797" t="str">
            <v>シュレディンガー</v>
          </cell>
        </row>
        <row r="798">
          <cell r="A798">
            <v>797</v>
          </cell>
          <cell r="B798" t="str">
            <v>ja</v>
          </cell>
          <cell r="C798" t="str">
            <v>オイラー</v>
          </cell>
        </row>
        <row r="799">
          <cell r="A799">
            <v>798</v>
          </cell>
          <cell r="B799" t="str">
            <v>ja</v>
          </cell>
          <cell r="C799" t="str">
            <v>チューリング</v>
          </cell>
        </row>
        <row r="800">
          <cell r="A800">
            <v>799</v>
          </cell>
          <cell r="B800" t="str">
            <v>ja</v>
          </cell>
          <cell r="C800" t="str">
            <v>ヘンペル</v>
          </cell>
        </row>
        <row r="801">
          <cell r="A801">
            <v>800</v>
          </cell>
          <cell r="B801" t="str">
            <v>ja</v>
          </cell>
          <cell r="C801" t="str">
            <v>オーディン</v>
          </cell>
        </row>
        <row r="802">
          <cell r="A802">
            <v>801</v>
          </cell>
          <cell r="B802" t="str">
            <v>ja</v>
          </cell>
          <cell r="C802" t="str">
            <v>麒麟</v>
          </cell>
        </row>
        <row r="803">
          <cell r="A803">
            <v>802</v>
          </cell>
          <cell r="B803" t="str">
            <v>ja</v>
          </cell>
          <cell r="C803" t="str">
            <v>パラケルスス(旧イゾルデ)</v>
          </cell>
        </row>
        <row r="804">
          <cell r="A804">
            <v>803</v>
          </cell>
          <cell r="B804" t="str">
            <v>ja</v>
          </cell>
          <cell r="C804" t="str">
            <v>ファラデー(旧トール)</v>
          </cell>
        </row>
        <row r="805">
          <cell r="A805">
            <v>804</v>
          </cell>
          <cell r="B805" t="str">
            <v>ja</v>
          </cell>
          <cell r="C805" t="str">
            <v>R6 ベリアル</v>
          </cell>
        </row>
        <row r="806">
          <cell r="A806">
            <v>805</v>
          </cell>
          <cell r="B806" t="str">
            <v>ja</v>
          </cell>
          <cell r="C806" t="str">
            <v>R6 オセ</v>
          </cell>
        </row>
        <row r="807">
          <cell r="A807">
            <v>806</v>
          </cell>
          <cell r="B807" t="str">
            <v>ja</v>
          </cell>
          <cell r="C807" t="str">
            <v xml:space="preserve">R6 フォルネウス </v>
          </cell>
        </row>
        <row r="808">
          <cell r="A808">
            <v>807</v>
          </cell>
          <cell r="B808" t="str">
            <v>ja</v>
          </cell>
          <cell r="C808" t="str">
            <v>R6 イザナミ</v>
          </cell>
        </row>
        <row r="809">
          <cell r="A809">
            <v>808</v>
          </cell>
          <cell r="B809" t="str">
            <v>ja</v>
          </cell>
          <cell r="C809" t="str">
            <v>R6 沖田総司</v>
          </cell>
        </row>
        <row r="810">
          <cell r="A810">
            <v>809</v>
          </cell>
          <cell r="B810" t="str">
            <v>ja</v>
          </cell>
          <cell r="C810" t="str">
            <v>R6 アマテラス</v>
          </cell>
        </row>
        <row r="811">
          <cell r="A811">
            <v>810</v>
          </cell>
          <cell r="B811" t="str">
            <v>ja</v>
          </cell>
          <cell r="C811" t="str">
            <v>R6 親指姫</v>
          </cell>
        </row>
        <row r="812">
          <cell r="A812">
            <v>811</v>
          </cell>
          <cell r="B812" t="str">
            <v>ja</v>
          </cell>
          <cell r="C812" t="str">
            <v>R6 アザゼル</v>
          </cell>
        </row>
        <row r="813">
          <cell r="A813">
            <v>812</v>
          </cell>
          <cell r="B813" t="str">
            <v>ja</v>
          </cell>
          <cell r="C813" t="str">
            <v>R6 ヘンゼル＆グレーテル</v>
          </cell>
        </row>
        <row r="814">
          <cell r="A814">
            <v>813</v>
          </cell>
          <cell r="B814" t="str">
            <v>ja</v>
          </cell>
          <cell r="C814" t="str">
            <v>R6 ジャンヌ</v>
          </cell>
        </row>
        <row r="815">
          <cell r="A815">
            <v>814</v>
          </cell>
          <cell r="B815" t="str">
            <v>ja</v>
          </cell>
          <cell r="C815" t="str">
            <v>八咫烏</v>
          </cell>
        </row>
        <row r="816">
          <cell r="A816">
            <v>815</v>
          </cell>
          <cell r="B816" t="str">
            <v>ja</v>
          </cell>
          <cell r="C816" t="str">
            <v>宮本武蔵</v>
          </cell>
        </row>
        <row r="817">
          <cell r="A817">
            <v>816</v>
          </cell>
          <cell r="B817" t="str">
            <v>ja</v>
          </cell>
          <cell r="C817" t="str">
            <v>ドロシー</v>
          </cell>
        </row>
        <row r="818">
          <cell r="A818">
            <v>817</v>
          </cell>
          <cell r="B818" t="str">
            <v>ja</v>
          </cell>
          <cell r="C818" t="str">
            <v>オズ</v>
          </cell>
        </row>
        <row r="819">
          <cell r="A819">
            <v>818</v>
          </cell>
          <cell r="B819" t="str">
            <v>ja</v>
          </cell>
          <cell r="C819" t="str">
            <v>モルドレッド</v>
          </cell>
        </row>
        <row r="820">
          <cell r="A820">
            <v>819</v>
          </cell>
          <cell r="B820" t="str">
            <v>ja</v>
          </cell>
          <cell r="C820" t="str">
            <v>アーサー</v>
          </cell>
        </row>
        <row r="821">
          <cell r="A821">
            <v>820</v>
          </cell>
          <cell r="B821" t="str">
            <v>ja</v>
          </cell>
          <cell r="C821" t="str">
            <v>ペロー(長靴をはいた猫)</v>
          </cell>
        </row>
        <row r="822">
          <cell r="A822">
            <v>821</v>
          </cell>
          <cell r="B822" t="str">
            <v>ja</v>
          </cell>
          <cell r="C822" t="str">
            <v>グリム兄弟</v>
          </cell>
        </row>
        <row r="823">
          <cell r="A823">
            <v>822</v>
          </cell>
          <cell r="B823" t="str">
            <v>ja</v>
          </cell>
          <cell r="C823" t="str">
            <v>ハーメルン</v>
          </cell>
        </row>
        <row r="824">
          <cell r="A824">
            <v>823</v>
          </cell>
          <cell r="B824" t="str">
            <v>ja</v>
          </cell>
          <cell r="C824" t="str">
            <v>子供</v>
          </cell>
        </row>
        <row r="825">
          <cell r="A825">
            <v>824</v>
          </cell>
          <cell r="B825" t="str">
            <v>ja</v>
          </cell>
          <cell r="C825" t="str">
            <v>フレイヤ</v>
          </cell>
        </row>
        <row r="826">
          <cell r="A826">
            <v>825</v>
          </cell>
          <cell r="B826" t="str">
            <v>ja</v>
          </cell>
          <cell r="C826" t="str">
            <v>フレイ</v>
          </cell>
        </row>
        <row r="827">
          <cell r="A827">
            <v>826</v>
          </cell>
          <cell r="B827" t="str">
            <v>ja</v>
          </cell>
          <cell r="C827" t="str">
            <v>アルフヘイム(雲ドラゴン)</v>
          </cell>
        </row>
        <row r="828">
          <cell r="A828">
            <v>827</v>
          </cell>
          <cell r="B828" t="str">
            <v>ja</v>
          </cell>
          <cell r="C828" t="str">
            <v>フギンとムニン</v>
          </cell>
        </row>
        <row r="829">
          <cell r="A829">
            <v>828</v>
          </cell>
          <cell r="B829" t="str">
            <v>ja</v>
          </cell>
          <cell r="C829" t="str">
            <v>猫又（化け猫)</v>
          </cell>
        </row>
        <row r="830">
          <cell r="A830">
            <v>829</v>
          </cell>
          <cell r="B830" t="str">
            <v>ja</v>
          </cell>
          <cell r="C830" t="str">
            <v>カラス天狗</v>
          </cell>
        </row>
        <row r="831">
          <cell r="A831">
            <v>830</v>
          </cell>
          <cell r="B831" t="str">
            <v>ja</v>
          </cell>
          <cell r="C831" t="str">
            <v>ぬらりひょん</v>
          </cell>
        </row>
        <row r="832">
          <cell r="A832">
            <v>831</v>
          </cell>
          <cell r="B832" t="str">
            <v>ja</v>
          </cell>
          <cell r="C832" t="str">
            <v>鬼（酒呑童子）</v>
          </cell>
        </row>
        <row r="833">
          <cell r="A833">
            <v>832</v>
          </cell>
          <cell r="B833" t="str">
            <v>ja</v>
          </cell>
          <cell r="C833" t="str">
            <v>ヴィシュヌ</v>
          </cell>
        </row>
        <row r="834">
          <cell r="A834">
            <v>833</v>
          </cell>
          <cell r="B834" t="str">
            <v>ja</v>
          </cell>
          <cell r="C834" t="str">
            <v>シヴァ</v>
          </cell>
        </row>
        <row r="835">
          <cell r="A835">
            <v>834</v>
          </cell>
          <cell r="B835" t="str">
            <v>ja</v>
          </cell>
          <cell r="C835" t="str">
            <v>サラスヴァティ</v>
          </cell>
        </row>
        <row r="836">
          <cell r="A836">
            <v>835</v>
          </cell>
          <cell r="B836" t="str">
            <v>ja</v>
          </cell>
          <cell r="C836" t="str">
            <v>マーラ</v>
          </cell>
        </row>
        <row r="837">
          <cell r="A837">
            <v>836</v>
          </cell>
          <cell r="B837" t="str">
            <v>ja</v>
          </cell>
          <cell r="C837" t="str">
            <v>ちびハンプティ</v>
          </cell>
        </row>
        <row r="838">
          <cell r="A838">
            <v>837</v>
          </cell>
          <cell r="B838" t="str">
            <v>ja</v>
          </cell>
          <cell r="C838" t="str">
            <v>近藤勇</v>
          </cell>
        </row>
        <row r="839">
          <cell r="A839">
            <v>838</v>
          </cell>
          <cell r="B839" t="str">
            <v>ja</v>
          </cell>
          <cell r="C839" t="str">
            <v>ランスロット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topLeftCell="I1" workbookViewId="0">
      <selection activeCell="R24" sqref="R24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13" t="s">
        <v>158</v>
      </c>
      <c r="B1" s="113" t="s">
        <v>149</v>
      </c>
      <c r="C1" s="113" t="s">
        <v>150</v>
      </c>
      <c r="D1" s="113" t="s">
        <v>151</v>
      </c>
      <c r="E1" s="113" t="s">
        <v>152</v>
      </c>
      <c r="F1" s="113" t="s">
        <v>153</v>
      </c>
      <c r="G1" s="113" t="s">
        <v>154</v>
      </c>
      <c r="H1" s="113"/>
      <c r="I1" s="113"/>
      <c r="J1" s="113"/>
      <c r="K1" s="113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</row>
    <row r="2" spans="1:23" x14ac:dyDescent="0.15">
      <c r="A2" s="115" t="s">
        <v>224</v>
      </c>
      <c r="B2" s="115" t="s">
        <v>162</v>
      </c>
      <c r="C2" s="115" t="s">
        <v>223</v>
      </c>
      <c r="D2" s="115" t="s">
        <v>161</v>
      </c>
      <c r="E2" s="114" t="str">
        <f>B2&amp;C2&amp;D2</f>
        <v>units_event07.tmp</v>
      </c>
      <c r="F2" s="115" t="s">
        <v>157</v>
      </c>
      <c r="G2" s="65" t="s">
        <v>18</v>
      </c>
      <c r="H2" s="66" t="s">
        <v>122</v>
      </c>
      <c r="I2" s="66" t="s">
        <v>1</v>
      </c>
      <c r="J2" s="66" t="s">
        <v>3</v>
      </c>
      <c r="K2" s="66" t="s">
        <v>2</v>
      </c>
      <c r="L2" s="66" t="s">
        <v>124</v>
      </c>
      <c r="M2" s="66" t="s">
        <v>21</v>
      </c>
      <c r="N2" s="66" t="s">
        <v>129</v>
      </c>
      <c r="O2" s="66" t="s">
        <v>127</v>
      </c>
      <c r="P2" s="66" t="s">
        <v>61</v>
      </c>
      <c r="Q2" s="66" t="s">
        <v>83</v>
      </c>
      <c r="R2" s="115" t="s">
        <v>367</v>
      </c>
      <c r="S2" s="115"/>
      <c r="T2" s="115"/>
      <c r="U2" s="115"/>
      <c r="V2" s="115"/>
      <c r="W2" s="115"/>
    </row>
    <row r="3" spans="1:23" x14ac:dyDescent="0.15">
      <c r="A3" s="115" t="s">
        <v>224</v>
      </c>
      <c r="B3" s="115" t="s">
        <v>163</v>
      </c>
      <c r="C3" s="115" t="s">
        <v>223</v>
      </c>
      <c r="D3" s="115" t="s">
        <v>161</v>
      </c>
      <c r="E3" s="114" t="str">
        <f>B3&amp;C3&amp;D3</f>
        <v>awake_materials_event07.tmp</v>
      </c>
      <c r="F3" s="115" t="s">
        <v>156</v>
      </c>
      <c r="G3" s="116" t="s">
        <v>60</v>
      </c>
      <c r="H3" s="117" t="s">
        <v>58</v>
      </c>
      <c r="I3" s="117" t="s">
        <v>59</v>
      </c>
      <c r="J3" s="119" t="s">
        <v>159</v>
      </c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</row>
    <row r="4" spans="1:23" x14ac:dyDescent="0.15">
      <c r="A4" s="115" t="s">
        <v>224</v>
      </c>
      <c r="B4" s="115" t="s">
        <v>164</v>
      </c>
      <c r="C4" s="115" t="s">
        <v>222</v>
      </c>
      <c r="D4" s="115" t="s">
        <v>165</v>
      </c>
      <c r="E4" s="114" t="str">
        <f t="shared" ref="E4" si="0">B4&amp;C4&amp;D4</f>
        <v>unit_levels_calc_event07.tmp</v>
      </c>
      <c r="F4" s="115" t="s">
        <v>155</v>
      </c>
      <c r="G4" s="61" t="s">
        <v>18</v>
      </c>
      <c r="H4" s="62" t="s">
        <v>2</v>
      </c>
      <c r="I4" s="63" t="s">
        <v>105</v>
      </c>
      <c r="J4" s="63" t="s">
        <v>106</v>
      </c>
      <c r="K4" s="63" t="s">
        <v>107</v>
      </c>
      <c r="L4" s="63" t="s">
        <v>108</v>
      </c>
      <c r="M4" s="63" t="s">
        <v>113</v>
      </c>
      <c r="N4" s="63" t="s">
        <v>114</v>
      </c>
      <c r="O4" s="63" t="s">
        <v>115</v>
      </c>
      <c r="P4" s="63" t="s">
        <v>116</v>
      </c>
      <c r="Q4" s="63" t="s">
        <v>117</v>
      </c>
      <c r="R4" s="63" t="s">
        <v>120</v>
      </c>
      <c r="S4" s="63" t="s">
        <v>118</v>
      </c>
      <c r="T4" s="63" t="s">
        <v>119</v>
      </c>
      <c r="U4" s="63" t="s">
        <v>109</v>
      </c>
      <c r="V4" s="63" t="s">
        <v>110</v>
      </c>
      <c r="W4" s="63" t="s">
        <v>111</v>
      </c>
    </row>
    <row r="5" spans="1:23" x14ac:dyDescent="0.15">
      <c r="A5" s="115" t="s">
        <v>224</v>
      </c>
      <c r="B5" s="115" t="s">
        <v>176</v>
      </c>
      <c r="C5" s="115" t="s">
        <v>222</v>
      </c>
      <c r="D5" s="115" t="s">
        <v>177</v>
      </c>
      <c r="E5" s="114" t="str">
        <f>B5&amp;C5&amp;D5</f>
        <v>unit_skills_data_event07.tmp</v>
      </c>
      <c r="F5" s="115" t="s">
        <v>178</v>
      </c>
      <c r="G5" s="124" t="s">
        <v>21</v>
      </c>
      <c r="H5" s="124" t="s">
        <v>179</v>
      </c>
      <c r="I5" s="124" t="s">
        <v>2</v>
      </c>
      <c r="J5" s="124" t="s">
        <v>180</v>
      </c>
      <c r="K5" s="124" t="s">
        <v>181</v>
      </c>
      <c r="L5" s="124" t="s">
        <v>4</v>
      </c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23" x14ac:dyDescent="0.15">
      <c r="A6" s="115" t="s">
        <v>224</v>
      </c>
      <c r="B6" s="115" t="s">
        <v>182</v>
      </c>
      <c r="C6" s="115" t="s">
        <v>222</v>
      </c>
      <c r="D6" s="115" t="s">
        <v>161</v>
      </c>
      <c r="E6" s="114" t="str">
        <f>B6&amp;C6&amp;D6</f>
        <v>unit_skills_i18n_event07.tmp</v>
      </c>
      <c r="F6" s="115" t="s">
        <v>178</v>
      </c>
      <c r="G6" s="124" t="s">
        <v>183</v>
      </c>
      <c r="H6" s="124" t="s">
        <v>167</v>
      </c>
      <c r="I6" s="124" t="s">
        <v>184</v>
      </c>
      <c r="J6" s="124" t="s">
        <v>185</v>
      </c>
      <c r="K6" s="118"/>
      <c r="L6" s="118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15">
      <c r="A7" s="115" t="s">
        <v>224</v>
      </c>
      <c r="B7" s="115" t="s">
        <v>186</v>
      </c>
      <c r="C7" s="115" t="s">
        <v>222</v>
      </c>
      <c r="D7" s="115" t="s">
        <v>187</v>
      </c>
      <c r="E7" s="114" t="str">
        <f>B7&amp;C7&amp;D7</f>
        <v>crash_skills_data_event07.tmp</v>
      </c>
      <c r="F7" s="115" t="s">
        <v>188</v>
      </c>
      <c r="G7" s="124" t="s">
        <v>189</v>
      </c>
      <c r="H7" s="124" t="s">
        <v>181</v>
      </c>
      <c r="I7" s="124" t="s">
        <v>4</v>
      </c>
      <c r="J7" s="118"/>
      <c r="K7" s="118"/>
      <c r="L7" s="118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x14ac:dyDescent="0.15">
      <c r="A8" s="115" t="s">
        <v>224</v>
      </c>
      <c r="B8" s="115" t="s">
        <v>190</v>
      </c>
      <c r="C8" s="115" t="s">
        <v>222</v>
      </c>
      <c r="D8" s="115" t="s">
        <v>191</v>
      </c>
      <c r="E8" s="114" t="str">
        <f t="shared" ref="E8" si="1">B8&amp;C8&amp;D8</f>
        <v>crash_skills_i18n_event07.tmp</v>
      </c>
      <c r="F8" s="115" t="s">
        <v>188</v>
      </c>
      <c r="G8" s="124" t="s">
        <v>192</v>
      </c>
      <c r="H8" s="124" t="s">
        <v>193</v>
      </c>
      <c r="I8" s="124" t="s">
        <v>194</v>
      </c>
      <c r="J8" s="124" t="s">
        <v>195</v>
      </c>
      <c r="K8" s="125"/>
      <c r="L8" s="125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23" x14ac:dyDescent="0.15">
      <c r="A9" s="115" t="s">
        <v>224</v>
      </c>
      <c r="B9" s="118" t="s">
        <v>168</v>
      </c>
      <c r="C9" s="115" t="s">
        <v>222</v>
      </c>
      <c r="D9" s="115" t="s">
        <v>191</v>
      </c>
      <c r="E9" s="114" t="str">
        <f t="shared" ref="E9:E10" si="2">B9&amp;C9&amp;D9</f>
        <v>unit_serifs_data_event07.tmp</v>
      </c>
      <c r="F9" s="118" t="s">
        <v>170</v>
      </c>
      <c r="G9" s="123" t="s">
        <v>171</v>
      </c>
      <c r="H9" s="124" t="s">
        <v>172</v>
      </c>
      <c r="I9" s="124" t="s">
        <v>166</v>
      </c>
      <c r="J9" s="122" t="s">
        <v>220</v>
      </c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</row>
    <row r="10" spans="1:23" x14ac:dyDescent="0.15">
      <c r="A10" s="115" t="s">
        <v>224</v>
      </c>
      <c r="B10" s="118" t="s">
        <v>169</v>
      </c>
      <c r="C10" s="115" t="s">
        <v>222</v>
      </c>
      <c r="D10" s="115" t="s">
        <v>191</v>
      </c>
      <c r="E10" s="114" t="str">
        <f t="shared" si="2"/>
        <v>unit_serifs_i18n_event07.tmp</v>
      </c>
      <c r="F10" s="118" t="s">
        <v>255</v>
      </c>
      <c r="G10" s="123" t="s">
        <v>173</v>
      </c>
      <c r="H10" s="124" t="s">
        <v>174</v>
      </c>
      <c r="I10" s="124" t="s">
        <v>175</v>
      </c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3"/>
  <sheetViews>
    <sheetView showGridLines="0" workbookViewId="0">
      <pane xSplit="9" ySplit="1" topLeftCell="BN2" activePane="bottomRight" state="frozen"/>
      <selection pane="topRight" activeCell="J1" sqref="J1"/>
      <selection pane="bottomLeft" activeCell="A3" sqref="A3"/>
      <selection pane="bottomRight" activeCell="BR13" sqref="BR13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/>
    <col min="3" max="3" width="23.6640625" style="13" customWidth="1" outlineLevel="1"/>
    <col min="4" max="4" width="8.6640625" style="13" customWidth="1" outlineLevel="1"/>
    <col min="5" max="5" width="8" style="13" customWidth="1" outlineLevel="1"/>
    <col min="6" max="6" width="7.1640625" style="13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7" bestFit="1" customWidth="1"/>
    <col min="42" max="42" width="14.33203125" style="15" bestFit="1" customWidth="1"/>
    <col min="43" max="43" width="20.83203125" style="13" customWidth="1" collapsed="1"/>
    <col min="44" max="44" width="80.6640625" style="13" hidden="1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6" width="12" style="13" bestFit="1" customWidth="1"/>
    <col min="57" max="57" width="14.33203125" style="13" customWidth="1" outlineLevel="1"/>
    <col min="58" max="58" width="16.1640625" style="13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7" t="s">
        <v>135</v>
      </c>
      <c r="B1" s="89" t="s">
        <v>70</v>
      </c>
      <c r="C1" s="92" t="s">
        <v>35</v>
      </c>
      <c r="D1" s="92" t="s">
        <v>38</v>
      </c>
      <c r="E1" s="92" t="s">
        <v>36</v>
      </c>
      <c r="F1" s="92" t="s">
        <v>37</v>
      </c>
      <c r="G1" s="87" t="s">
        <v>1</v>
      </c>
      <c r="H1" s="90" t="s">
        <v>20</v>
      </c>
      <c r="I1" s="91" t="s">
        <v>0</v>
      </c>
      <c r="J1" s="93" t="s">
        <v>75</v>
      </c>
      <c r="K1" s="93" t="s">
        <v>74</v>
      </c>
      <c r="L1" s="93" t="s">
        <v>76</v>
      </c>
      <c r="M1" s="93" t="s">
        <v>77</v>
      </c>
      <c r="N1" s="87" t="s">
        <v>3</v>
      </c>
      <c r="O1" s="94" t="s">
        <v>2</v>
      </c>
      <c r="P1" s="87" t="s">
        <v>123</v>
      </c>
      <c r="Q1" s="95" t="s">
        <v>19</v>
      </c>
      <c r="R1" s="86" t="s">
        <v>78</v>
      </c>
      <c r="S1" s="96" t="s">
        <v>24</v>
      </c>
      <c r="T1" s="96" t="s">
        <v>25</v>
      </c>
      <c r="U1" s="96" t="s">
        <v>27</v>
      </c>
      <c r="V1" s="96" t="s">
        <v>26</v>
      </c>
      <c r="W1" s="91" t="s">
        <v>40</v>
      </c>
      <c r="X1" s="92" t="s">
        <v>79</v>
      </c>
      <c r="Y1" s="91" t="s">
        <v>41</v>
      </c>
      <c r="Z1" s="92" t="s">
        <v>79</v>
      </c>
      <c r="AA1" s="93" t="s">
        <v>24</v>
      </c>
      <c r="AB1" s="93" t="s">
        <v>25</v>
      </c>
      <c r="AC1" s="93" t="s">
        <v>27</v>
      </c>
      <c r="AD1" s="93" t="s">
        <v>26</v>
      </c>
      <c r="AE1" s="97" t="s">
        <v>126</v>
      </c>
      <c r="AF1" s="86" t="s">
        <v>71</v>
      </c>
      <c r="AG1" s="98" t="s">
        <v>84</v>
      </c>
      <c r="AH1" s="86" t="s">
        <v>71</v>
      </c>
      <c r="AI1" s="98" t="s">
        <v>72</v>
      </c>
      <c r="AJ1" s="88" t="s">
        <v>93</v>
      </c>
      <c r="AK1" s="86" t="s">
        <v>22</v>
      </c>
      <c r="AL1" s="99" t="s">
        <v>94</v>
      </c>
      <c r="AM1" s="100" t="s">
        <v>92</v>
      </c>
      <c r="AN1" s="100" t="s">
        <v>95</v>
      </c>
      <c r="AO1" s="101" t="s">
        <v>39</v>
      </c>
      <c r="AP1" s="97" t="s">
        <v>21</v>
      </c>
      <c r="AQ1" s="102" t="s">
        <v>143</v>
      </c>
      <c r="AR1" s="102" t="s">
        <v>134</v>
      </c>
      <c r="AS1" s="86" t="s">
        <v>130</v>
      </c>
      <c r="AT1" s="97" t="s">
        <v>128</v>
      </c>
      <c r="AU1" s="86" t="s">
        <v>140</v>
      </c>
      <c r="AV1" s="102" t="s">
        <v>134</v>
      </c>
      <c r="AW1" s="86" t="s">
        <v>130</v>
      </c>
      <c r="AX1" s="92" t="s">
        <v>4</v>
      </c>
      <c r="AY1" s="103" t="s">
        <v>80</v>
      </c>
      <c r="AZ1" s="103" t="s">
        <v>81</v>
      </c>
      <c r="BA1" s="103" t="s">
        <v>144</v>
      </c>
      <c r="BB1" s="103" t="s">
        <v>82</v>
      </c>
      <c r="BC1" s="5" t="s">
        <v>23</v>
      </c>
      <c r="BD1" s="106" t="s">
        <v>46</v>
      </c>
      <c r="BE1" s="104" t="s">
        <v>5</v>
      </c>
      <c r="BF1" s="105" t="s">
        <v>6</v>
      </c>
      <c r="BG1" s="107" t="s">
        <v>96</v>
      </c>
      <c r="BH1" s="107" t="s">
        <v>97</v>
      </c>
      <c r="BI1" s="107" t="s">
        <v>98</v>
      </c>
      <c r="BJ1" s="107" t="s">
        <v>99</v>
      </c>
      <c r="BK1" s="108" t="s">
        <v>100</v>
      </c>
      <c r="BL1" s="108" t="s">
        <v>121</v>
      </c>
      <c r="BM1" s="108" t="s">
        <v>101</v>
      </c>
      <c r="BN1" s="108" t="s">
        <v>102</v>
      </c>
      <c r="BO1" s="109" t="s">
        <v>103</v>
      </c>
      <c r="BP1" s="110" t="s">
        <v>104</v>
      </c>
      <c r="BQ1" s="88" t="s">
        <v>112</v>
      </c>
      <c r="BR1" s="10" t="s">
        <v>366</v>
      </c>
    </row>
    <row r="2" spans="1:70" ht="21" customHeight="1" x14ac:dyDescent="0.15">
      <c r="A2" s="12">
        <v>573</v>
      </c>
      <c r="B2" s="59" t="str">
        <f ca="1">VLOOKUP($A2,OFFSET([1]characters!$A$1,0,0,COUNTA([1]characters!$A:$A),MATCH(B$1,[1]characters!$1:$1,0)-MATCH($A$1,[1]characters!$1:$1,0)+1),MATCH(B$1,[1]characters!$1:$1,0)-MATCH($A$1,[1]characters!$1:$1,0)+1,FALSE)</f>
        <v>オーディン</v>
      </c>
      <c r="C2" s="59" t="str">
        <f ca="1">VLOOKUP($A2,OFFSET([1]characters!$A$1,0,0,COUNTA([1]characters!$A:$A),MATCH(C$1,[1]characters!$1:$1,0)-MATCH($A$1,[1]characters!$1:$1,0)+1),MATCH(C$1,[1]characters!$1:$1,0)-MATCH($A$1,[1]characters!$1:$1,0)+1,FALSE)</f>
        <v>イベント:超ウィザード</v>
      </c>
      <c r="D2" s="59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9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9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9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9" t="str">
        <f ca="1">VLOOKUP($A2,OFFSET([1]characters!$A$1,0,0,COUNTA([1]characters!$A:$A),MATCH(H$1,[1]characters!$1:$1,0)-MATCH($A$1,[1]characters!$1:$1,0)+1),MATCH(H$1,[1]characters!$1:$1,0)-MATCH($A$1,[1]characters!$1:$1,0)+1,FALSE)</f>
        <v>DropWizSS</v>
      </c>
      <c r="I2" s="59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11">
        <f ca="1">VLOOKUP(I2,[1]属性!$A:$E,2,FALSE)</f>
        <v>1</v>
      </c>
      <c r="K2" s="11">
        <f ca="1">VLOOKUP(I2,[1]属性!$A:$E,3,FALSE)</f>
        <v>0.98</v>
      </c>
      <c r="L2" s="11">
        <f ca="1">VLOOKUP(I2,[1]属性!$A:$E,4,FALSE)</f>
        <v>1</v>
      </c>
      <c r="M2" s="11">
        <f ca="1">VLOOKUP(I2,[1]属性!$A:$E,5,FALSE)</f>
        <v>1.02</v>
      </c>
      <c r="N2" s="11">
        <f ca="1">INDEX(コスト!$A$1:$I$20,MATCH(H2,コスト!$A$1:$A$20,FALSE),MATCH(G2,コスト!$A$1:$I$1,FALSE))</f>
        <v>25</v>
      </c>
      <c r="O2" s="11">
        <f ca="1">INDEX(レベル!$A$1:$I$21,MATCH(H2,レベル!$A$1:$A$21,FALSE),MATCH(G2,レベル!$A$1:$I$1,FALSE))</f>
        <v>60</v>
      </c>
      <c r="P2" s="49">
        <f t="shared" ref="P2" ca="1" si="0">G2*15</f>
        <v>60</v>
      </c>
      <c r="Q2" s="59" t="str">
        <f ca="1">VLOOKUP($A2,OFFSET([1]characters!$A$1,0,0,COUNTA([1]characters!$A:$A),MATCH(Q$1,[1]characters!$1:$1,0)-MATCH($A$1,[1]characters!$1:$1,0)+1),MATCH(Q$1,[1]characters!$1:$1,0)-MATCH($A$1,[1]characters!$1:$1,0)+1,FALSE)</f>
        <v>hp</v>
      </c>
      <c r="R2" s="5" t="str">
        <f ca="1">VLOOKUP(Q2,[1]character_type_i18n!$A:$H,3,FALSE)</f>
        <v>体力タイプ</v>
      </c>
      <c r="S2" s="11">
        <f ca="1">VLOOKUP(Q2,[1]character_type_i18n!$A:$H,4,FALSE)</f>
        <v>1.45</v>
      </c>
      <c r="T2" s="11">
        <f ca="1">VLOOKUP(Q2,[1]character_type_i18n!$A:$H,5,FALSE)</f>
        <v>0.85</v>
      </c>
      <c r="U2" s="11">
        <f ca="1">VLOOKUP(Q2,[1]character_type_i18n!$A:$H,6,FALSE)</f>
        <v>1</v>
      </c>
      <c r="V2" s="11">
        <f ca="1">VLOOKUP(Q2,[1]character_type_i18n!$A:$H,7,FALSE)</f>
        <v>0.7</v>
      </c>
      <c r="W2" s="59" t="str">
        <f ca="1">VLOOKUP($A2,OFFSET([1]characters!$A$1,0,0,COUNTA([1]characters!$A:$A),MATCH(W$1,[1]characters!$1:$1,0)-MATCH($A$1,[1]characters!$1:$1,0)+1),MATCH(W$1,[1]characters!$1:$1,0)-MATCH($A$1,[1]characters!$1:$1,0)+1,FALSE)</f>
        <v>machine</v>
      </c>
      <c r="X2" s="5" t="str">
        <f ca="1">VLOOKUP(W2,[1]character_tribe_i18n!$A:$H,3,FALSE)</f>
        <v>マシン</v>
      </c>
      <c r="Y2" s="59" t="str">
        <f ca="1">VLOOKUP($A2,OFFSET([1]characters!$A$1,0,0,COUNTA([1]characters!$A:$A),MATCH(Y$1,[1]characters!$1:$1,0)-MATCH($A$1,[1]characters!$1:$1,0)+1),MATCH(Y$1,[1]characters!$1:$1,0)-MATCH($A$1,[1]characters!$1:$1,0)+1,FALSE)</f>
        <v>god</v>
      </c>
      <c r="Z2" s="5" t="str">
        <f ca="1">VLOOKUP(Y2,[1]character_tribe_i18n!$A:$H,3,FALSE)</f>
        <v>ゴッド</v>
      </c>
      <c r="AA2" s="11">
        <f ca="1">VLOOKUP(W2,[1]character_tribe_i18n!$A:$H,4,FALSE)</f>
        <v>1</v>
      </c>
      <c r="AB2" s="11">
        <f ca="1">VLOOKUP(W2,[1]character_tribe_i18n!$A:$H,5,FALSE)</f>
        <v>1</v>
      </c>
      <c r="AC2" s="11">
        <f ca="1">VLOOKUP(W2,[1]character_tribe_i18n!$A:$H,6,FALSE)</f>
        <v>1</v>
      </c>
      <c r="AD2" s="11">
        <f ca="1">VLOOKUP(W2,[1]character_tribe_i18n!$A:$H,7,FALSE)</f>
        <v>1</v>
      </c>
      <c r="AE2" s="9">
        <v>574</v>
      </c>
      <c r="AF2" s="64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世慧の守神 オーディン</v>
      </c>
      <c r="AG2" s="5">
        <f t="shared" ref="AG2:AG13" ca="1" si="1">IF(ISNA(MATCH(A2,AE:AE,0)),A2,INDIRECT(ADDRESS(MATCH(A2,AE:AE,0),COLUMN())))</f>
        <v>573</v>
      </c>
      <c r="AH2" s="64" t="str">
        <f ca="1">VLOOKUP($AG2,OFFSET([1]characters!$A$1,0,0,COUNTA([1]characters!$A:$A),MATCH(AH$1,[1]characters!$1:$1,0)-MATCH($A$1,[1]characters!$1:$1,0)+1),MATCH(AH$1,[1]characters!$1:$1,0)-MATCH($A$1,[1]characters!$1:$1,0)+1,FALSE)</f>
        <v>オーディン</v>
      </c>
      <c r="AI2" s="11">
        <f ca="1">IF(AE2="NULL","NULL",VLOOKUP(G2,ビット!$A$2:$B$7,2))</f>
        <v>50000</v>
      </c>
      <c r="AJ2" s="6">
        <v>2</v>
      </c>
      <c r="AK2" s="7" t="str">
        <f t="shared" ref="AK2" si="2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3400</v>
      </c>
      <c r="AN2" s="17">
        <f ca="1">VLOOKUP(G2,ビット!$G$2:$H$7,2)</f>
        <v>600</v>
      </c>
      <c r="AO2" s="46"/>
      <c r="AP2" s="69">
        <v>573</v>
      </c>
      <c r="AQ2" s="59" t="str">
        <f ca="1">VLOOKUP($AP2,OFFSET(unit_skills!$A$1,0,0,COUNTA(unit_skills!$A:$A),MATCH(AQ$1,unit_skills!$1:$1,0)-MATCH($AP$1,unit_skills!$1:$1,0)+1),MATCH(AQ$1,unit_skills!$1:$1,0)-MATCH($AP$1,unit_skills!$1:$1,0)+1,FALSE)</f>
        <v>刻蒼・ルーニックガルドル</v>
      </c>
      <c r="AR2" s="59" t="str">
        <f ca="1">VLOOKUP($AP2,OFFSET(unit_skills!$A$1,0,0,COUNTA(unit_skills!$A:$A),MATCH(AR$1,unit_skills!$1:$1,0)-MATCH($AP$1,unit_skills!$1:$1,0)+1),MATCH(AR$1,unit_skills!$1:$1,0)-MATCH($AP$1,unit_skills!$1:$1,0)+1,FALSE)</f>
        <v>パネルを1つランダムでSCパネルに変換(威力特大)+3ターン青属性の防御を特大UP</v>
      </c>
      <c r="AS2" s="59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2">
        <v>573</v>
      </c>
      <c r="AU2" s="59" t="str">
        <f ca="1">VLOOKUP($AT2,OFFSET(crash_skills!$A$1,0,0,COUNTA(crash_skills!$A:$A),MATCH(AU$1,crash_skills!$1:$1,0)-MATCH($AT$1,crash_skills!$1:$1,0)+1),MATCH(AU$1,crash_skills!$1:$1,0)-MATCH($AT$1,crash_skills!$1:$1,0)+1,FALSE)</f>
        <v>神機槍 グングニル</v>
      </c>
      <c r="AV2" s="59" t="str">
        <f ca="1">VLOOKUP($AT2,OFFSET(crash_skills!$A$1,0,0,COUNTA(crash_skills!$A:$A),MATCH(AV$1,crash_skills!$1:$1,0)-MATCH($AT$1,crash_skills!$1:$1,0)+1),MATCH(AV$1,crash_skills!$1:$1,0)-MATCH($AT$1,crash_skills!$1:$1,0)+1,FALSE)</f>
        <v>1体に特大ダメージ_x000D_+青属性の攻撃力小UP</v>
      </c>
      <c r="AW2" s="59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60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70">
        <v>1.1000000000000001</v>
      </c>
      <c r="AZ2" s="70">
        <v>1.08</v>
      </c>
      <c r="BA2" s="70">
        <v>0</v>
      </c>
      <c r="BB2" s="70">
        <v>0.9</v>
      </c>
      <c r="BC2" s="11">
        <f ca="1">INDEX('RC6SV'!$A$1:$G$20,MATCH(H2,'RC6SV'!$A$1:$A$20,FALSE),MATCH(G2,'RC6SV'!$A$1:$G$1,FALSE))</f>
        <v>7500</v>
      </c>
      <c r="BD2" s="49">
        <f t="shared" ref="BD2" ca="1" si="3">ROUND(BC2*IF(AJ2=1,0.95,IF(AJ2=2,1,IF(AJ2,1.05,0))),0)</f>
        <v>7500</v>
      </c>
      <c r="BE2" s="11">
        <f t="shared" ref="BE2:BE13" ca="1" si="4">ROUND(IFERROR(INDIRECT(ADDRESS(MATCH($A2,$AE:$AE,0),MATCH($BC$1,$1:$1,0))),0),0)</f>
        <v>0</v>
      </c>
      <c r="BF2" s="11">
        <f t="shared" ref="BF2:BF13" ca="1" si="5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2991</v>
      </c>
      <c r="BH2" s="16">
        <f ca="1">IF($BE2&lt;=0,ROUND(BL2*0.5,0), ROUND($BE2*T2*AB2*K2*AZ2*0.8*[1]ステータス!$C$2,0))</f>
        <v>1012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603</v>
      </c>
      <c r="BK2" s="11">
        <f ca="1">ROUND(BD2*S2*AA2*J2*AY2*[1]ステータス!$B$2,0)</f>
        <v>5981</v>
      </c>
      <c r="BL2" s="11">
        <f ca="1">ROUND(BD2*T2*AB2*K2*AZ2*[1]ステータス!$C$2,0)</f>
        <v>2024</v>
      </c>
      <c r="BM2" s="11">
        <f ca="1">ROUND(BD2*U2*AC2*L2*BA2*[1]ステータス!$D$2,0)</f>
        <v>0</v>
      </c>
      <c r="BN2" s="11">
        <f ca="1">ROUND(BD2*V2*AD2*M2*BB2*[1]ステータス!$E$2,0)</f>
        <v>1205</v>
      </c>
      <c r="BO2" s="10">
        <v>0</v>
      </c>
      <c r="BP2" s="10">
        <v>1</v>
      </c>
      <c r="BQ2" s="10" t="s">
        <v>73</v>
      </c>
      <c r="BR2" s="10">
        <f ca="1">VLOOKUP(H2,ghosts_label!$A$2:$B$19,2,FALSE)</f>
        <v>1</v>
      </c>
    </row>
    <row r="3" spans="1:70" ht="21" customHeight="1" x14ac:dyDescent="0.15">
      <c r="A3" s="12">
        <v>574</v>
      </c>
      <c r="B3" s="59" t="str">
        <f ca="1">VLOOKUP($A3,OFFSET([1]characters!$A$1,0,0,COUNTA([1]characters!$A:$A),MATCH(B$1,[1]characters!$1:$1,0)-MATCH($A$1,[1]characters!$1:$1,0)+1),MATCH(B$1,[1]characters!$1:$1,0)-MATCH($A$1,[1]characters!$1:$1,0)+1,FALSE)</f>
        <v>世慧の守神 オーディン</v>
      </c>
      <c r="C3" s="59" t="str">
        <f ca="1">VLOOKUP($A3,OFFSET([1]characters!$A$1,0,0,COUNTA([1]characters!$A:$A),MATCH(C$1,[1]characters!$1:$1,0)-MATCH($A$1,[1]characters!$1:$1,0)+1),MATCH(C$1,[1]characters!$1:$1,0)-MATCH($A$1,[1]characters!$1:$1,0)+1,FALSE)</f>
        <v>イベント:超ウィザード</v>
      </c>
      <c r="D3" s="59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9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9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9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9" t="str">
        <f ca="1">VLOOKUP($A3,OFFSET([1]characters!$A$1,0,0,COUNTA([1]characters!$A:$A),MATCH(H$1,[1]characters!$1:$1,0)-MATCH($A$1,[1]characters!$1:$1,0)+1),MATCH(H$1,[1]characters!$1:$1,0)-MATCH($A$1,[1]characters!$1:$1,0)+1,FALSE)</f>
        <v>DropWizSS</v>
      </c>
      <c r="I3" s="59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11">
        <f ca="1">VLOOKUP(I3,[1]属性!$A:$E,2,FALSE)</f>
        <v>1</v>
      </c>
      <c r="K3" s="11">
        <f ca="1">VLOOKUP(I3,[1]属性!$A:$E,3,FALSE)</f>
        <v>0.98</v>
      </c>
      <c r="L3" s="11">
        <f ca="1">VLOOKUP(I3,[1]属性!$A:$E,4,FALSE)</f>
        <v>1</v>
      </c>
      <c r="M3" s="11">
        <f ca="1">VLOOKUP(I3,[1]属性!$A:$E,5,FALSE)</f>
        <v>1.02</v>
      </c>
      <c r="N3" s="11">
        <f ca="1">INDEX(コスト!$A$1:$I$20,MATCH(H3,コスト!$A$1:$A$20,FALSE),MATCH(G3,コスト!$A$1:$I$1,FALSE))</f>
        <v>35</v>
      </c>
      <c r="O3" s="11">
        <f ca="1">INDEX(レベル!$A$1:$I$21,MATCH(H3,レベル!$A$1:$A$21,FALSE),MATCH(G3,レベル!$A$1:$I$1,FALSE))</f>
        <v>80</v>
      </c>
      <c r="P3" s="49">
        <f t="shared" ref="P3:P4" ca="1" si="6">G3*15</f>
        <v>75</v>
      </c>
      <c r="Q3" s="59" t="str">
        <f ca="1">VLOOKUP($A3,OFFSET([1]characters!$A$1,0,0,COUNTA([1]characters!$A:$A),MATCH(Q$1,[1]characters!$1:$1,0)-MATCH($A$1,[1]characters!$1:$1,0)+1),MATCH(Q$1,[1]characters!$1:$1,0)-MATCH($A$1,[1]characters!$1:$1,0)+1,FALSE)</f>
        <v>hp</v>
      </c>
      <c r="R3" s="5" t="str">
        <f ca="1">VLOOKUP(Q3,[1]character_type_i18n!$A:$H,3,FALSE)</f>
        <v>体力タイプ</v>
      </c>
      <c r="S3" s="11">
        <f ca="1">VLOOKUP(Q3,[1]character_type_i18n!$A:$H,4,FALSE)</f>
        <v>1.45</v>
      </c>
      <c r="T3" s="11">
        <f ca="1">VLOOKUP(Q3,[1]character_type_i18n!$A:$H,5,FALSE)</f>
        <v>0.85</v>
      </c>
      <c r="U3" s="11">
        <f ca="1">VLOOKUP(Q3,[1]character_type_i18n!$A:$H,6,FALSE)</f>
        <v>1</v>
      </c>
      <c r="V3" s="11">
        <f ca="1">VLOOKUP(Q3,[1]character_type_i18n!$A:$H,7,FALSE)</f>
        <v>0.7</v>
      </c>
      <c r="W3" s="59" t="str">
        <f ca="1">VLOOKUP($A3,OFFSET([1]characters!$A$1,0,0,COUNTA([1]characters!$A:$A),MATCH(W$1,[1]characters!$1:$1,0)-MATCH($A$1,[1]characters!$1:$1,0)+1),MATCH(W$1,[1]characters!$1:$1,0)-MATCH($A$1,[1]characters!$1:$1,0)+1,FALSE)</f>
        <v>machine</v>
      </c>
      <c r="X3" s="5" t="str">
        <f ca="1">VLOOKUP(W3,[1]character_tribe_i18n!$A:$H,3,FALSE)</f>
        <v>マシン</v>
      </c>
      <c r="Y3" s="59" t="str">
        <f ca="1">VLOOKUP($A3,OFFSET([1]characters!$A$1,0,0,COUNTA([1]characters!$A:$A),MATCH(Y$1,[1]characters!$1:$1,0)-MATCH($A$1,[1]characters!$1:$1,0)+1),MATCH(Y$1,[1]characters!$1:$1,0)-MATCH($A$1,[1]characters!$1:$1,0)+1,FALSE)</f>
        <v>god</v>
      </c>
      <c r="Z3" s="5" t="str">
        <f ca="1">VLOOKUP(Y3,[1]character_tribe_i18n!$A:$H,3,FALSE)</f>
        <v>ゴッド</v>
      </c>
      <c r="AA3" s="11">
        <f ca="1">VLOOKUP(W3,[1]character_tribe_i18n!$A:$H,4,FALSE)</f>
        <v>1</v>
      </c>
      <c r="AB3" s="11">
        <f ca="1">VLOOKUP(W3,[1]character_tribe_i18n!$A:$H,5,FALSE)</f>
        <v>1</v>
      </c>
      <c r="AC3" s="11">
        <f ca="1">VLOOKUP(W3,[1]character_tribe_i18n!$A:$H,6,FALSE)</f>
        <v>1</v>
      </c>
      <c r="AD3" s="11">
        <f ca="1">VLOOKUP(W3,[1]character_tribe_i18n!$A:$H,7,FALSE)</f>
        <v>1</v>
      </c>
      <c r="AE3" s="9">
        <v>801</v>
      </c>
      <c r="AF3" s="64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>覚世の大機神 オーディン</v>
      </c>
      <c r="AG3" s="5">
        <f t="shared" ca="1" si="1"/>
        <v>573</v>
      </c>
      <c r="AH3" s="64" t="str">
        <f ca="1">VLOOKUP($AG3,OFFSET([1]characters!$A$1,0,0,COUNTA([1]characters!$A:$A),MATCH(AH$1,[1]characters!$1:$1,0)-MATCH($A$1,[1]characters!$1:$1,0)+1),MATCH(AH$1,[1]characters!$1:$1,0)-MATCH($A$1,[1]characters!$1:$1,0)+1,FALSE)</f>
        <v>オーディン</v>
      </c>
      <c r="AI3" s="11">
        <f ca="1">IF(AE3="NULL","NULL",VLOOKUP(G3,ビット!$A$2:$B$7,2))</f>
        <v>200000</v>
      </c>
      <c r="AJ3" s="6">
        <v>2</v>
      </c>
      <c r="AK3" s="7" t="str">
        <f t="shared" ref="AK3:AK4" si="7">IF(AJ3=1,"早熟",IF(AJ3=2,"普通",IF(AJ3=3,"晩成","")))</f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6400</v>
      </c>
      <c r="AN3" s="17">
        <f ca="1">VLOOKUP(G3,ビット!$G$2:$H$7,2)</f>
        <v>900</v>
      </c>
      <c r="AO3" s="46"/>
      <c r="AP3" s="69">
        <v>574</v>
      </c>
      <c r="AQ3" s="59" t="str">
        <f ca="1">VLOOKUP($AP3,OFFSET(unit_skills!$A$1,0,0,COUNTA(unit_skills!$A:$A),MATCH(AQ$1,unit_skills!$1:$1,0)-MATCH($AP$1,unit_skills!$1:$1,0)+1),MATCH(AQ$1,unit_skills!$1:$1,0)-MATCH($AP$1,unit_skills!$1:$1,0)+1,FALSE)</f>
        <v>刻蒼・ルーニックガルドル</v>
      </c>
      <c r="AR3" s="59" t="str">
        <f ca="1">VLOOKUP($AP3,OFFSET(unit_skills!$A$1,0,0,COUNTA(unit_skills!$A:$A),MATCH(AR$1,unit_skills!$1:$1,0)-MATCH($AP$1,unit_skills!$1:$1,0)+1),MATCH(AR$1,unit_skills!$1:$1,0)-MATCH($AP$1,unit_skills!$1:$1,0)+1,FALSE)</f>
        <v>パネルを1つランダムでSCパネルに変換(威力特大)+3ターン青属性の防御を特大UP</v>
      </c>
      <c r="AS3" s="59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2">
        <v>574</v>
      </c>
      <c r="AU3" s="59" t="str">
        <f ca="1">VLOOKUP($AT3,OFFSET(crash_skills!$A$1,0,0,COUNTA(crash_skills!$A:$A),MATCH(AU$1,crash_skills!$1:$1,0)-MATCH($AT$1,crash_skills!$1:$1,0)+1),MATCH(AU$1,crash_skills!$1:$1,0)-MATCH($AT$1,crash_skills!$1:$1,0)+1,FALSE)</f>
        <v>神機槍 グングニル</v>
      </c>
      <c r="AV3" s="59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1体に特大ダメージ_x000D_+青属性の攻撃力小UP</v>
      </c>
      <c r="AW3" s="59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60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70">
        <v>1.1000000000000001</v>
      </c>
      <c r="AZ3" s="70">
        <v>1.08</v>
      </c>
      <c r="BA3" s="70">
        <v>0</v>
      </c>
      <c r="BB3" s="70">
        <v>0.9</v>
      </c>
      <c r="BC3" s="11">
        <f ca="1">INDEX('RC6SV'!$A$1:$G$20,MATCH(H3,'RC6SV'!$A$1:$A$20,FALSE),MATCH(G3,'RC6SV'!$A$1:$G$1,FALSE))</f>
        <v>9500</v>
      </c>
      <c r="BD3" s="49">
        <f t="shared" ref="BD3:BD4" ca="1" si="8">ROUND(BC3*IF(AJ3=1,0.95,IF(AJ3=2,1,IF(AJ3,1.05,0))),0)</f>
        <v>9500</v>
      </c>
      <c r="BE3" s="11">
        <f t="shared" ca="1" si="4"/>
        <v>7500</v>
      </c>
      <c r="BF3" s="11">
        <f t="shared" ca="1" si="5"/>
        <v>1</v>
      </c>
      <c r="BG3" s="16">
        <f ca="1">IF($BE3&lt;=0,ROUND(BK3*0.5,0), ROUND($BE3*S3*AA3*J3*AY3*0.8*[1]ステータス!$B$2,0))</f>
        <v>4785</v>
      </c>
      <c r="BH3" s="16">
        <f ca="1">IF($BE3&lt;=0,ROUND(BL3*0.5,0), ROUND($BE3*T3*AB3*K3*AZ3*0.8*[1]ステータス!$C$2,0))</f>
        <v>1619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964</v>
      </c>
      <c r="BK3" s="11">
        <f ca="1">ROUND(BD3*S3*AA3*J3*AY3*[1]ステータス!$B$2,0)</f>
        <v>7576</v>
      </c>
      <c r="BL3" s="11">
        <f ca="1">ROUND(BD3*T3*AB3*K3*AZ3*[1]ステータス!$C$2,0)</f>
        <v>2564</v>
      </c>
      <c r="BM3" s="11">
        <f ca="1">ROUND(BD3*U3*AC3*L3*BA3*[1]ステータス!$D$2,0)</f>
        <v>0</v>
      </c>
      <c r="BN3" s="11">
        <f ca="1">ROUND(BD3*V3*AD3*M3*BB3*[1]ステータス!$E$2,0)</f>
        <v>1526</v>
      </c>
      <c r="BO3" s="10">
        <v>0</v>
      </c>
      <c r="BP3" s="10">
        <v>1</v>
      </c>
      <c r="BQ3" s="10" t="s">
        <v>73</v>
      </c>
      <c r="BR3" s="10">
        <f ca="1">VLOOKUP(H3,ghosts_label!$A$2:$B$19,2,FALSE)</f>
        <v>1</v>
      </c>
    </row>
    <row r="4" spans="1:70" ht="21" customHeight="1" x14ac:dyDescent="0.15">
      <c r="A4" s="12">
        <v>575</v>
      </c>
      <c r="B4" s="59" t="str">
        <f ca="1">VLOOKUP($A4,OFFSET([1]characters!$A$1,0,0,COUNTA([1]characters!$A:$A),MATCH(B$1,[1]characters!$1:$1,0)-MATCH($A$1,[1]characters!$1:$1,0)+1),MATCH(B$1,[1]characters!$1:$1,0)-MATCH($A$1,[1]characters!$1:$1,0)+1,FALSE)</f>
        <v>フレイ</v>
      </c>
      <c r="C4" s="59" t="str">
        <f ca="1">VLOOKUP($A4,OFFSET([1]characters!$A$1,0,0,COUNTA([1]characters!$A:$A),MATCH(C$1,[1]characters!$1:$1,0)-MATCH($A$1,[1]characters!$1:$1,0)+1),MATCH(C$1,[1]characters!$1:$1,0)-MATCH($A$1,[1]characters!$1:$1,0)+1,FALSE)</f>
        <v>イベント:ウィザード</v>
      </c>
      <c r="D4" s="59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9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9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9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9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9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11">
        <f ca="1">VLOOKUP(I4,[1]属性!$A:$E,2,FALSE)</f>
        <v>1</v>
      </c>
      <c r="K4" s="11">
        <f ca="1">VLOOKUP(I4,[1]属性!$A:$E,3,FALSE)</f>
        <v>1.02</v>
      </c>
      <c r="L4" s="11">
        <f ca="1">VLOOKUP(I4,[1]属性!$A:$E,4,FALSE)</f>
        <v>1</v>
      </c>
      <c r="M4" s="11">
        <f ca="1">VLOOKUP(I4,[1]属性!$A:$E,5,FALSE)</f>
        <v>0.98</v>
      </c>
      <c r="N4" s="11">
        <f ca="1">INDEX(コスト!$A$1:$I$20,MATCH(H4,コスト!$A$1:$A$20,FALSE),MATCH(G4,コスト!$A$1:$I$1,FALSE))</f>
        <v>20</v>
      </c>
      <c r="O4" s="11">
        <f ca="1">INDEX(レベル!$A$1:$I$21,MATCH(H4,レベル!$A$1:$A$21,FALSE),MATCH(G4,レベル!$A$1:$I$1,FALSE))</f>
        <v>60</v>
      </c>
      <c r="P4" s="49">
        <f t="shared" ca="1" si="6"/>
        <v>60</v>
      </c>
      <c r="Q4" s="59" t="str">
        <f ca="1">VLOOKUP($A4,OFFSET([1]characters!$A$1,0,0,COUNTA([1]characters!$A:$A),MATCH(Q$1,[1]characters!$1:$1,0)-MATCH($A$1,[1]characters!$1:$1,0)+1),MATCH(Q$1,[1]characters!$1:$1,0)-MATCH($A$1,[1]characters!$1:$1,0)+1,FALSE)</f>
        <v>attack</v>
      </c>
      <c r="R4" s="5" t="str">
        <f ca="1">VLOOKUP(Q4,[1]character_type_i18n!$A:$H,3,FALSE)</f>
        <v>攻撃タイプ</v>
      </c>
      <c r="S4" s="11">
        <f ca="1">VLOOKUP(Q4,[1]character_type_i18n!$A:$H,4,FALSE)</f>
        <v>1</v>
      </c>
      <c r="T4" s="11">
        <f ca="1">VLOOKUP(Q4,[1]character_type_i18n!$A:$H,5,FALSE)</f>
        <v>1.33</v>
      </c>
      <c r="U4" s="11">
        <f ca="1">VLOOKUP(Q4,[1]character_type_i18n!$A:$H,6,FALSE)</f>
        <v>1</v>
      </c>
      <c r="V4" s="11">
        <f ca="1">VLOOKUP(Q4,[1]character_type_i18n!$A:$H,7,FALSE)</f>
        <v>0.67</v>
      </c>
      <c r="W4" s="59" t="str">
        <f ca="1">VLOOKUP($A4,OFFSET([1]characters!$A$1,0,0,COUNTA([1]characters!$A:$A),MATCH(W$1,[1]characters!$1:$1,0)-MATCH($A$1,[1]characters!$1:$1,0)+1),MATCH(W$1,[1]characters!$1:$1,0)-MATCH($A$1,[1]characters!$1:$1,0)+1,FALSE)</f>
        <v>animal</v>
      </c>
      <c r="X4" s="5" t="str">
        <f ca="1">VLOOKUP(W4,[1]character_tribe_i18n!$A:$H,3,FALSE)</f>
        <v>アニマル</v>
      </c>
      <c r="Y4" s="59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1</v>
      </c>
      <c r="AB4" s="11">
        <f ca="1">VLOOKUP(W4,[1]character_tribe_i18n!$A:$H,5,FALSE)</f>
        <v>1.1000000000000001</v>
      </c>
      <c r="AC4" s="11">
        <f ca="1">VLOOKUP(W4,[1]character_tribe_i18n!$A:$H,6,FALSE)</f>
        <v>1</v>
      </c>
      <c r="AD4" s="11">
        <f ca="1">VLOOKUP(W4,[1]character_tribe_i18n!$A:$H,7,FALSE)</f>
        <v>0.9</v>
      </c>
      <c r="AE4" s="9">
        <v>576</v>
      </c>
      <c r="AF4" s="64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統勝の豊穣王神 フレイ</v>
      </c>
      <c r="AG4" s="5">
        <f t="shared" ca="1" si="1"/>
        <v>575</v>
      </c>
      <c r="AH4" s="64" t="str">
        <f ca="1">VLOOKUP($AG4,OFFSET([1]characters!$A$1,0,0,COUNTA([1]characters!$A:$A),MATCH(AH$1,[1]characters!$1:$1,0)-MATCH($A$1,[1]characters!$1:$1,0)+1),MATCH(AH$1,[1]characters!$1:$1,0)-MATCH($A$1,[1]characters!$1:$1,0)+1,FALSE)</f>
        <v>フレイ</v>
      </c>
      <c r="AI4" s="11">
        <f ca="1">IF(AE4="NULL","NULL",VLOOKUP(G4,ビット!$A$2:$B$7,2))</f>
        <v>50000</v>
      </c>
      <c r="AJ4" s="6">
        <v>2</v>
      </c>
      <c r="AK4" s="7" t="str">
        <f t="shared" si="7"/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3400</v>
      </c>
      <c r="AN4" s="17">
        <f ca="1">VLOOKUP(G4,ビット!$G$2:$H$7,2)</f>
        <v>600</v>
      </c>
      <c r="AO4" s="46"/>
      <c r="AP4" s="69">
        <v>575</v>
      </c>
      <c r="AQ4" s="59" t="str">
        <f ca="1">VLOOKUP($AP4,OFFSET(unit_skills!$A$1,0,0,COUNTA(unit_skills!$A:$A),MATCH(AQ$1,unit_skills!$1:$1,0)-MATCH($AP$1,unit_skills!$1:$1,0)+1),MATCH(AQ$1,unit_skills!$1:$1,0)-MATCH($AP$1,unit_skills!$1:$1,0)+1,FALSE)</f>
        <v>戦勝牙剣レーヴァテイン</v>
      </c>
      <c r="AR4" s="59" t="str">
        <f ca="1">VLOOKUP($AP4,OFFSET(unit_skills!$A$1,0,0,COUNTA(unit_skills!$A:$A),MATCH(AR$1,unit_skills!$1:$1,0)-MATCH($AP$1,unit_skills!$1:$1,0)+1),MATCH(AR$1,unit_skills!$1:$1,0)-MATCH($AP$1,unit_skills!$1:$1,0)+1,FALSE)</f>
        <v>2ターン赤属性のタップ回数を1増やし、攻撃力UP(黄パネルを吸収して効果UP)+黄パネルが出現しなくなる</v>
      </c>
      <c r="AS4" s="59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2">
        <v>575</v>
      </c>
      <c r="AU4" s="59" t="str">
        <f ca="1">VLOOKUP($AT4,OFFSET(crash_skills!$A$1,0,0,COUNTA(crash_skills!$A:$A),MATCH(AU$1,crash_skills!$1:$1,0)-MATCH($AT$1,crash_skills!$1:$1,0)+1),MATCH(AU$1,crash_skills!$1:$1,0)-MATCH($AT$1,crash_skills!$1:$1,0)+1,FALSE)</f>
        <v>勇進の凱旋</v>
      </c>
      <c r="AV4" s="59" t="str">
        <f ca="1">VLOOKUP($AT4,OFFSET(crash_skills!$A$1,0,0,COUNTA(crash_skills!$A:$A),MATCH(AV$1,crash_skills!$1:$1,0)-MATCH($AT$1,crash_skills!$1:$1,0)+1),MATCH(AV$1,crash_skills!$1:$1,0)-MATCH($AT$1,crash_skills!$1:$1,0)+1,FALSE)</f>
        <v>1体に大ダメージ_x000D_+攻撃力UP</v>
      </c>
      <c r="AW4" s="59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60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70">
        <v>0.9</v>
      </c>
      <c r="AZ4" s="70">
        <v>0.95</v>
      </c>
      <c r="BA4" s="70">
        <v>0</v>
      </c>
      <c r="BB4" s="70">
        <v>1</v>
      </c>
      <c r="BC4" s="11">
        <f ca="1">INDEX('RC6SV'!$A$1:$G$20,MATCH(H4,'RC6SV'!$A$1:$A$20,FALSE),MATCH(G4,'RC6SV'!$A$1:$G$1,FALSE))</f>
        <v>7000</v>
      </c>
      <c r="BD4" s="49">
        <f t="shared" ca="1" si="8"/>
        <v>7000</v>
      </c>
      <c r="BE4" s="11">
        <f t="shared" ca="1" si="4"/>
        <v>0</v>
      </c>
      <c r="BF4" s="11">
        <f t="shared" ca="1" si="5"/>
        <v>1</v>
      </c>
      <c r="BG4" s="16">
        <f ca="1">IF($BE4&lt;=0,ROUND(BK4*0.5,0), ROUND($BE4*S4*AA4*J4*AY4*0.8*[1]ステータス!$B$2,0))</f>
        <v>1575</v>
      </c>
      <c r="BH4" s="16">
        <f ca="1">IF($BE4&lt;=0,ROUND(BL4*0.5,0), ROUND($BE4*T4*AB4*K4*AZ4*0.8*[1]ステータス!$C$2,0))</f>
        <v>1489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517</v>
      </c>
      <c r="BK4" s="11">
        <f ca="1">ROUND(BD4*S4*AA4*J4*AY4*[1]ステータス!$B$2,0)</f>
        <v>3150</v>
      </c>
      <c r="BL4" s="11">
        <f ca="1">ROUND(BD4*T4*AB4*K4*AZ4*[1]ステータス!$C$2,0)</f>
        <v>2977</v>
      </c>
      <c r="BM4" s="11">
        <f ca="1">ROUND(BD4*U4*AC4*L4*BA4*[1]ステータス!$D$2,0)</f>
        <v>0</v>
      </c>
      <c r="BN4" s="11">
        <f ca="1">ROUND(BD4*V4*AD4*M4*BB4*[1]ステータス!$E$2,0)</f>
        <v>1034</v>
      </c>
      <c r="BO4" s="10">
        <v>0</v>
      </c>
      <c r="BP4" s="10">
        <v>1</v>
      </c>
      <c r="BQ4" s="10" t="s">
        <v>73</v>
      </c>
      <c r="BR4" s="10">
        <f ca="1">VLOOKUP(H4,ghosts_label!$A$2:$B$19,2,FALSE)</f>
        <v>1</v>
      </c>
    </row>
    <row r="5" spans="1:70" ht="21" customHeight="1" x14ac:dyDescent="0.15">
      <c r="A5" s="12">
        <v>576</v>
      </c>
      <c r="B5" s="59" t="str">
        <f ca="1">VLOOKUP($A5,OFFSET([1]characters!$A$1,0,0,COUNTA([1]characters!$A:$A),MATCH(B$1,[1]characters!$1:$1,0)-MATCH($A$1,[1]characters!$1:$1,0)+1),MATCH(B$1,[1]characters!$1:$1,0)-MATCH($A$1,[1]characters!$1:$1,0)+1,FALSE)</f>
        <v>統勝の豊穣王神 フレイ</v>
      </c>
      <c r="C5" s="59" t="str">
        <f ca="1">VLOOKUP($A5,OFFSET([1]characters!$A$1,0,0,COUNTA([1]characters!$A:$A),MATCH(C$1,[1]characters!$1:$1,0)-MATCH($A$1,[1]characters!$1:$1,0)+1),MATCH(C$1,[1]characters!$1:$1,0)-MATCH($A$1,[1]characters!$1:$1,0)+1,FALSE)</f>
        <v>イベント:ウィザード</v>
      </c>
      <c r="D5" s="59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9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9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9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9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59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11">
        <f ca="1">VLOOKUP(I5,[1]属性!$A:$E,2,FALSE)</f>
        <v>1</v>
      </c>
      <c r="K5" s="11">
        <f ca="1">VLOOKUP(I5,[1]属性!$A:$E,3,FALSE)</f>
        <v>1.02</v>
      </c>
      <c r="L5" s="11">
        <f ca="1">VLOOKUP(I5,[1]属性!$A:$E,4,FALSE)</f>
        <v>1</v>
      </c>
      <c r="M5" s="11">
        <f ca="1">VLOOKUP(I5,[1]属性!$A:$E,5,FALSE)</f>
        <v>0.98</v>
      </c>
      <c r="N5" s="11">
        <f ca="1">INDEX(コスト!$A$1:$I$20,MATCH(H5,コスト!$A$1:$A$20,FALSE),MATCH(G5,コスト!$A$1:$I$1,FALSE))</f>
        <v>30</v>
      </c>
      <c r="O5" s="11">
        <f ca="1">INDEX(レベル!$A$1:$I$21,MATCH(H5,レベル!$A$1:$A$21,FALSE),MATCH(G5,レベル!$A$1:$I$1,FALSE))</f>
        <v>80</v>
      </c>
      <c r="P5" s="49">
        <f t="shared" ref="P5:P13" ca="1" si="9">G5*15</f>
        <v>75</v>
      </c>
      <c r="Q5" s="59" t="str">
        <f ca="1">VLOOKUP($A5,OFFSET([1]characters!$A$1,0,0,COUNTA([1]characters!$A:$A),MATCH(Q$1,[1]characters!$1:$1,0)-MATCH($A$1,[1]characters!$1:$1,0)+1),MATCH(Q$1,[1]characters!$1:$1,0)-MATCH($A$1,[1]characters!$1:$1,0)+1,FALSE)</f>
        <v>attack</v>
      </c>
      <c r="R5" s="5" t="str">
        <f ca="1">VLOOKUP(Q5,[1]character_type_i18n!$A:$H,3,FALSE)</f>
        <v>攻撃タイプ</v>
      </c>
      <c r="S5" s="11">
        <f ca="1">VLOOKUP(Q5,[1]character_type_i18n!$A:$H,4,FALSE)</f>
        <v>1</v>
      </c>
      <c r="T5" s="11">
        <f ca="1">VLOOKUP(Q5,[1]character_type_i18n!$A:$H,5,FALSE)</f>
        <v>1.33</v>
      </c>
      <c r="U5" s="11">
        <f ca="1">VLOOKUP(Q5,[1]character_type_i18n!$A:$H,6,FALSE)</f>
        <v>1</v>
      </c>
      <c r="V5" s="11">
        <f ca="1">VLOOKUP(Q5,[1]character_type_i18n!$A:$H,7,FALSE)</f>
        <v>0.67</v>
      </c>
      <c r="W5" s="59" t="str">
        <f ca="1">VLOOKUP($A5,OFFSET([1]characters!$A$1,0,0,COUNTA([1]characters!$A:$A),MATCH(W$1,[1]characters!$1:$1,0)-MATCH($A$1,[1]characters!$1:$1,0)+1),MATCH(W$1,[1]characters!$1:$1,0)-MATCH($A$1,[1]characters!$1:$1,0)+1,FALSE)</f>
        <v>animal</v>
      </c>
      <c r="X5" s="5" t="str">
        <f ca="1">VLOOKUP(W5,[1]character_tribe_i18n!$A:$H,3,FALSE)</f>
        <v>アニマル</v>
      </c>
      <c r="Y5" s="59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1</v>
      </c>
      <c r="AB5" s="11">
        <f ca="1">VLOOKUP(W5,[1]character_tribe_i18n!$A:$H,5,FALSE)</f>
        <v>1.1000000000000001</v>
      </c>
      <c r="AC5" s="11">
        <f ca="1">VLOOKUP(W5,[1]character_tribe_i18n!$A:$H,6,FALSE)</f>
        <v>1</v>
      </c>
      <c r="AD5" s="11">
        <f ca="1">VLOOKUP(W5,[1]character_tribe_i18n!$A:$H,7,FALSE)</f>
        <v>0.9</v>
      </c>
      <c r="AE5" s="9" t="s">
        <v>216</v>
      </c>
      <c r="AF5" s="64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1"/>
        <v>575</v>
      </c>
      <c r="AH5" s="64" t="str">
        <f ca="1">VLOOKUP($AG5,OFFSET([1]characters!$A$1,0,0,COUNTA([1]characters!$A:$A),MATCH(AH$1,[1]characters!$1:$1,0)-MATCH($A$1,[1]characters!$1:$1,0)+1),MATCH(AH$1,[1]characters!$1:$1,0)-MATCH($A$1,[1]characters!$1:$1,0)+1,FALSE)</f>
        <v>フレイ</v>
      </c>
      <c r="AI5" s="11" t="str">
        <f>IF(AE5="NULL","NULL",VLOOKUP(G5,ビット!$A$2:$B$7,2))</f>
        <v>NULL</v>
      </c>
      <c r="AJ5" s="6">
        <v>2</v>
      </c>
      <c r="AK5" s="7" t="str">
        <f t="shared" ref="AK5:AK13" si="10">IF(AJ5=1,"早熟",IF(AJ5=2,"普通",IF(AJ5=3,"晩成","")))</f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6400</v>
      </c>
      <c r="AN5" s="17">
        <f ca="1">VLOOKUP(G5,ビット!$G$2:$H$7,2)</f>
        <v>900</v>
      </c>
      <c r="AO5" s="46"/>
      <c r="AP5" s="69">
        <v>576</v>
      </c>
      <c r="AQ5" s="59" t="str">
        <f ca="1">VLOOKUP($AP5,OFFSET(unit_skills!$A$1,0,0,COUNTA(unit_skills!$A:$A),MATCH(AQ$1,unit_skills!$1:$1,0)-MATCH($AP$1,unit_skills!$1:$1,0)+1),MATCH(AQ$1,unit_skills!$1:$1,0)-MATCH($AP$1,unit_skills!$1:$1,0)+1,FALSE)</f>
        <v>戦勝牙剣レーヴァテイン</v>
      </c>
      <c r="AR5" s="59" t="str">
        <f ca="1">VLOOKUP($AP5,OFFSET(unit_skills!$A$1,0,0,COUNTA(unit_skills!$A:$A),MATCH(AR$1,unit_skills!$1:$1,0)-MATCH($AP$1,unit_skills!$1:$1,0)+1),MATCH(AR$1,unit_skills!$1:$1,0)-MATCH($AP$1,unit_skills!$1:$1,0)+1,FALSE)</f>
        <v>2ターン赤属性のタップ回数を1増やし、攻撃力UP(黄パネルを吸収して効果UP)+黄パネルが出現しなくなる</v>
      </c>
      <c r="AS5" s="59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2">
        <v>576</v>
      </c>
      <c r="AU5" s="59" t="str">
        <f ca="1">VLOOKUP($AT5,OFFSET(crash_skills!$A$1,0,0,COUNTA(crash_skills!$A:$A),MATCH(AU$1,crash_skills!$1:$1,0)-MATCH($AT$1,crash_skills!$1:$1,0)+1),MATCH(AU$1,crash_skills!$1:$1,0)-MATCH($AT$1,crash_skills!$1:$1,0)+1,FALSE)</f>
        <v>勇進の凱旋</v>
      </c>
      <c r="AV5" s="59" t="str">
        <f ca="1">VLOOKUP($AT5,OFFSET(crash_skills!$A$1,0,0,COUNTA(crash_skills!$A:$A),MATCH(AV$1,crash_skills!$1:$1,0)-MATCH($AT$1,crash_skills!$1:$1,0)+1),MATCH(AV$1,crash_skills!$1:$1,0)-MATCH($AT$1,crash_skills!$1:$1,0)+1,FALSE)</f>
        <v>1体に大ダメージ_x000D_+攻撃力UP</v>
      </c>
      <c r="AW5" s="59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60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70">
        <v>0.9</v>
      </c>
      <c r="AZ5" s="70">
        <v>0.95</v>
      </c>
      <c r="BA5" s="70">
        <v>0</v>
      </c>
      <c r="BB5" s="70">
        <v>1</v>
      </c>
      <c r="BC5" s="11">
        <f ca="1">INDEX('RC6SV'!$A$1:$G$20,MATCH(H5,'RC6SV'!$A$1:$A$20,FALSE),MATCH(G5,'RC6SV'!$A$1:$G$1,FALSE))</f>
        <v>9000</v>
      </c>
      <c r="BD5" s="49">
        <f t="shared" ref="BD5:BD13" ca="1" si="11">ROUND(BC5*IF(AJ5=1,0.95,IF(AJ5=2,1,IF(AJ5,1.05,0))),0)</f>
        <v>9000</v>
      </c>
      <c r="BE5" s="11">
        <f t="shared" ca="1" si="4"/>
        <v>7000</v>
      </c>
      <c r="BF5" s="11">
        <f t="shared" ca="1" si="5"/>
        <v>1</v>
      </c>
      <c r="BG5" s="16">
        <f ca="1">IF($BE5&lt;=0,ROUND(BK5*0.5,0), ROUND($BE5*S5*AA5*J5*AY5*0.8*[1]ステータス!$B$2,0))</f>
        <v>2520</v>
      </c>
      <c r="BH5" s="16">
        <f ca="1">IF($BE5&lt;=0,ROUND(BL5*0.5,0), ROUND($BE5*T5*AB5*K5*AZ5*0.8*[1]ステータス!$C$2,0))</f>
        <v>2382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827</v>
      </c>
      <c r="BK5" s="11">
        <f ca="1">ROUND(BD5*S5*AA5*J5*AY5*[1]ステータス!$B$2,0)</f>
        <v>4050</v>
      </c>
      <c r="BL5" s="11">
        <f ca="1">ROUND(BD5*T5*AB5*K5*AZ5*[1]ステータス!$C$2,0)</f>
        <v>3828</v>
      </c>
      <c r="BM5" s="11">
        <f ca="1">ROUND(BD5*U5*AC5*L5*BA5*[1]ステータス!$D$2,0)</f>
        <v>0</v>
      </c>
      <c r="BN5" s="11">
        <f ca="1">ROUND(BD5*V5*AD5*M5*BB5*[1]ステータス!$E$2,0)</f>
        <v>1330</v>
      </c>
      <c r="BO5" s="10">
        <v>0</v>
      </c>
      <c r="BP5" s="10">
        <v>1</v>
      </c>
      <c r="BQ5" s="10" t="s">
        <v>73</v>
      </c>
      <c r="BR5" s="10">
        <f ca="1">VLOOKUP(H5,ghosts_label!$A$2:$B$19,2,FALSE)</f>
        <v>1</v>
      </c>
    </row>
    <row r="6" spans="1:70" ht="21" customHeight="1" x14ac:dyDescent="0.15">
      <c r="A6" s="12">
        <v>577</v>
      </c>
      <c r="B6" s="59" t="str">
        <f ca="1">VLOOKUP($A6,OFFSET([1]characters!$A$1,0,0,COUNTA([1]characters!$A:$A),MATCH(B$1,[1]characters!$1:$1,0)-MATCH($A$1,[1]characters!$1:$1,0)+1),MATCH(B$1,[1]characters!$1:$1,0)-MATCH($A$1,[1]characters!$1:$1,0)+1,FALSE)</f>
        <v>ビュグヴィルとベイラ</v>
      </c>
      <c r="C6" s="59" t="str">
        <f ca="1">VLOOKUP($A6,OFFSET([1]characters!$A$1,0,0,COUNTA([1]characters!$A:$A),MATCH(C$1,[1]characters!$1:$1,0)-MATCH($A$1,[1]characters!$1:$1,0)+1),MATCH(C$1,[1]characters!$1:$1,0)-MATCH($A$1,[1]characters!$1:$1,0)+1,FALSE)</f>
        <v>イベント:北欧01</v>
      </c>
      <c r="D6" s="59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9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9" t="str">
        <f ca="1">VLOOKUP($A6,OFFSET([1]characters!$A$1,0,0,COUNTA([1]characters!$A:$A),MATCH(F$1,[1]characters!$1:$1,0)-MATCH($A$1,[1]characters!$1:$1,0)+1),MATCH(F$1,[1]characters!$1:$1,0)-MATCH($A$1,[1]characters!$1:$1,0)+1,FALSE)</f>
        <v>女性</v>
      </c>
      <c r="G6" s="59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9" t="str">
        <f ca="1">VLOOKUP($A6,OFFSET([1]characters!$A$1,0,0,COUNTA([1]characters!$A:$A),MATCH(H$1,[1]characters!$1:$1,0)-MATCH($A$1,[1]characters!$1:$1,0)+1),MATCH(H$1,[1]characters!$1:$1,0)-MATCH($A$1,[1]characters!$1:$1,0)+1,FALSE)</f>
        <v>Drop2N</v>
      </c>
      <c r="I6" s="59" t="str">
        <f ca="1">VLOOKUP($A6,OFFSET([1]characters!$A$1,0,0,COUNTA([1]characters!$A:$A),MATCH(I$1,[1]characters!$1:$1,0)-MATCH($A$1,[1]characters!$1:$1,0)+1),MATCH(I$1,[1]characters!$1:$1,0)-MATCH($A$1,[1]characters!$1:$1,0)+1,FALSE)</f>
        <v>red</v>
      </c>
      <c r="J6" s="11">
        <f ca="1">VLOOKUP(I6,[1]属性!$A:$E,2,FALSE)</f>
        <v>1</v>
      </c>
      <c r="K6" s="11">
        <f ca="1">VLOOKUP(I6,[1]属性!$A:$E,3,FALSE)</f>
        <v>1.02</v>
      </c>
      <c r="L6" s="11">
        <f ca="1">VLOOKUP(I6,[1]属性!$A:$E,4,FALSE)</f>
        <v>1</v>
      </c>
      <c r="M6" s="11">
        <f ca="1">VLOOKUP(I6,[1]属性!$A:$E,5,FALSE)</f>
        <v>0.98</v>
      </c>
      <c r="N6" s="11">
        <f ca="1">INDEX(コスト!$A$1:$I$20,MATCH(H6,コスト!$A$1:$A$20,FALSE),MATCH(G6,コスト!$A$1:$I$1,FALSE))</f>
        <v>17</v>
      </c>
      <c r="O6" s="11">
        <f ca="1">INDEX(レベル!$A$1:$I$21,MATCH(H6,レベル!$A$1:$A$21,FALSE),MATCH(G6,レベル!$A$1:$I$1,FALSE))</f>
        <v>60</v>
      </c>
      <c r="P6" s="49">
        <f t="shared" ca="1" si="9"/>
        <v>60</v>
      </c>
      <c r="Q6" s="59" t="str">
        <f ca="1">VLOOKUP($A6,OFFSET([1]characters!$A$1,0,0,COUNTA([1]characters!$A:$A),MATCH(Q$1,[1]characters!$1:$1,0)-MATCH($A$1,[1]characters!$1:$1,0)+1),MATCH(Q$1,[1]characters!$1:$1,0)-MATCH($A$1,[1]characters!$1:$1,0)+1,FALSE)</f>
        <v>heal</v>
      </c>
      <c r="R6" s="5" t="str">
        <f ca="1">VLOOKUP(Q6,[1]character_type_i18n!$A:$H,3,FALSE)</f>
        <v>回復タイプ</v>
      </c>
      <c r="S6" s="11">
        <f ca="1">VLOOKUP(Q6,[1]character_type_i18n!$A:$H,4,FALSE)</f>
        <v>0.8</v>
      </c>
      <c r="T6" s="11">
        <f ca="1">VLOOKUP(Q6,[1]character_type_i18n!$A:$H,5,FALSE)</f>
        <v>0.78</v>
      </c>
      <c r="U6" s="11">
        <f ca="1">VLOOKUP(Q6,[1]character_type_i18n!$A:$H,6,FALSE)</f>
        <v>1</v>
      </c>
      <c r="V6" s="11">
        <f ca="1">VLOOKUP(Q6,[1]character_type_i18n!$A:$H,7,FALSE)</f>
        <v>1.42</v>
      </c>
      <c r="W6" s="59" t="str">
        <f ca="1">VLOOKUP($A6,OFFSET([1]characters!$A$1,0,0,COUNTA([1]characters!$A:$A),MATCH(W$1,[1]characters!$1:$1,0)-MATCH($A$1,[1]characters!$1:$1,0)+1),MATCH(W$1,[1]characters!$1:$1,0)-MATCH($A$1,[1]characters!$1:$1,0)+1,FALSE)</f>
        <v>unknown</v>
      </c>
      <c r="X6" s="5" t="str">
        <f ca="1">VLOOKUP(W6,[1]character_tribe_i18n!$A:$H,3,FALSE)</f>
        <v>Unknown</v>
      </c>
      <c r="Y6" s="59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1</v>
      </c>
      <c r="AB6" s="11">
        <f ca="1">VLOOKUP(W6,[1]character_tribe_i18n!$A:$H,5,FALSE)</f>
        <v>1</v>
      </c>
      <c r="AC6" s="11">
        <f ca="1">VLOOKUP(W6,[1]character_tribe_i18n!$A:$H,6,FALSE)</f>
        <v>1</v>
      </c>
      <c r="AD6" s="11">
        <f ca="1">VLOOKUP(W6,[1]character_tribe_i18n!$A:$H,7,FALSE)</f>
        <v>1</v>
      </c>
      <c r="AE6" s="9">
        <v>578</v>
      </c>
      <c r="AF6" s="64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穣神従事 ビュグヴィルとベイラ</v>
      </c>
      <c r="AG6" s="5">
        <f t="shared" ca="1" si="1"/>
        <v>577</v>
      </c>
      <c r="AH6" s="64" t="str">
        <f ca="1">VLOOKUP($AG6,OFFSET([1]characters!$A$1,0,0,COUNTA([1]characters!$A:$A),MATCH(AH$1,[1]characters!$1:$1,0)-MATCH($A$1,[1]characters!$1:$1,0)+1),MATCH(AH$1,[1]characters!$1:$1,0)-MATCH($A$1,[1]characters!$1:$1,0)+1,FALSE)</f>
        <v>ビュグヴィルとベイラ</v>
      </c>
      <c r="AI6" s="11">
        <f ca="1">IF(AE6="NULL","NULL",VLOOKUP(G6,ビット!$A$2:$B$7,2))</f>
        <v>50000</v>
      </c>
      <c r="AJ6" s="6">
        <v>2</v>
      </c>
      <c r="AK6" s="7" t="str">
        <f t="shared" si="10"/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3400</v>
      </c>
      <c r="AN6" s="17">
        <f ca="1">VLOOKUP(G6,ビット!$G$2:$H$7,2)</f>
        <v>600</v>
      </c>
      <c r="AO6" s="46"/>
      <c r="AP6" s="69">
        <v>577</v>
      </c>
      <c r="AQ6" s="59" t="str">
        <f ca="1">VLOOKUP($AP6,OFFSET(unit_skills!$A$1,0,0,COUNTA(unit_skills!$A:$A),MATCH(AQ$1,unit_skills!$1:$1,0)-MATCH($AP$1,unit_skills!$1:$1,0)+1),MATCH(AQ$1,unit_skills!$1:$1,0)-MATCH($AP$1,unit_skills!$1:$1,0)+1,FALSE)</f>
        <v>メリーハーヴェスト</v>
      </c>
      <c r="AR6" s="59" t="str">
        <f ca="1">VLOOKUP($AP6,OFFSET(unit_skills!$A$1,0,0,COUNTA(unit_skills!$A:$A),MATCH(AR$1,unit_skills!$1:$1,0)-MATCH($AP$1,unit_skills!$1:$1,0)+1),MATCH(AR$1,unit_skills!$1:$1,0)-MATCH($AP$1,unit_skills!$1:$1,0)+1,FALSE)</f>
        <v>HP回復(緑パネルを吸収して効果UP)+3ターン全ユニットの回復力を大UP</v>
      </c>
      <c r="AS6" s="59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2">
        <v>577</v>
      </c>
      <c r="AU6" s="59" t="str">
        <f ca="1">VLOOKUP($AT6,OFFSET(crash_skills!$A$1,0,0,COUNTA(crash_skills!$A:$A),MATCH(AU$1,crash_skills!$1:$1,0)-MATCH($AT$1,crash_skills!$1:$1,0)+1),MATCH(AU$1,crash_skills!$1:$1,0)-MATCH($AT$1,crash_skills!$1:$1,0)+1,FALSE)</f>
        <v>メイクウィートミール</v>
      </c>
      <c r="AV6" s="59" t="str">
        <f ca="1">VLOOKUP($AT6,OFFSET(crash_skills!$A$1,0,0,COUNTA(crash_skills!$A:$A),MATCH(AV$1,crash_skills!$1:$1,0)-MATCH($AT$1,crash_skills!$1:$1,0)+1),MATCH(AV$1,crash_skills!$1:$1,0)-MATCH($AT$1,crash_skills!$1:$1,0)+1,FALSE)</f>
        <v>全体に中ダメージ_x000D_+HP大回復</v>
      </c>
      <c r="AW6" s="59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60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70">
        <v>0.98</v>
      </c>
      <c r="AZ6" s="70">
        <v>1</v>
      </c>
      <c r="BA6" s="70">
        <v>0</v>
      </c>
      <c r="BB6" s="70">
        <v>1.3</v>
      </c>
      <c r="BC6" s="11">
        <f ca="1">INDEX('RC6SV'!$A$1:$G$20,MATCH(H6,'RC6SV'!$A$1:$A$20,FALSE),MATCH(G6,'RC6SV'!$A$1:$G$1,FALSE))</f>
        <v>5800</v>
      </c>
      <c r="BD6" s="49">
        <f t="shared" ca="1" si="11"/>
        <v>5800</v>
      </c>
      <c r="BE6" s="11">
        <f t="shared" ca="1" si="4"/>
        <v>0</v>
      </c>
      <c r="BF6" s="11">
        <f t="shared" ca="1" si="5"/>
        <v>1</v>
      </c>
      <c r="BG6" s="16">
        <f ca="1">IF($BE6&lt;=0,ROUND(BK6*0.5,0), ROUND($BE6*S6*AA6*J6*AY6*0.8*[1]ステータス!$B$2,0))</f>
        <v>1137</v>
      </c>
      <c r="BH6" s="16">
        <f ca="1">IF($BE6&lt;=0,ROUND(BL6*0.5,0), ROUND($BE6*T6*AB6*K6*AZ6*0.8*[1]ステータス!$C$2,0))</f>
        <v>692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1312</v>
      </c>
      <c r="BK6" s="11">
        <f ca="1">ROUND(BD6*S6*AA6*J6*AY6*[1]ステータス!$B$2,0)</f>
        <v>2274</v>
      </c>
      <c r="BL6" s="11">
        <f ca="1">ROUND(BD6*T6*AB6*K6*AZ6*[1]ステータス!$C$2,0)</f>
        <v>1384</v>
      </c>
      <c r="BM6" s="11">
        <f ca="1">ROUND(BD6*U6*AC6*L6*BA6*[1]ステータス!$D$2,0)</f>
        <v>0</v>
      </c>
      <c r="BN6" s="11">
        <f ca="1">ROUND(BD6*V6*AD6*M6*BB6*[1]ステータス!$E$2,0)</f>
        <v>2623</v>
      </c>
      <c r="BO6" s="10">
        <v>0</v>
      </c>
      <c r="BP6" s="10">
        <v>1</v>
      </c>
      <c r="BQ6" s="10" t="s">
        <v>73</v>
      </c>
      <c r="BR6" s="10">
        <f ca="1">VLOOKUP(H6,ghosts_label!$A$2:$B$19,2,FALSE)</f>
        <v>1</v>
      </c>
    </row>
    <row r="7" spans="1:70" ht="21" customHeight="1" x14ac:dyDescent="0.15">
      <c r="A7" s="12">
        <v>578</v>
      </c>
      <c r="B7" s="59" t="str">
        <f ca="1">VLOOKUP($A7,OFFSET([1]characters!$A$1,0,0,COUNTA([1]characters!$A:$A),MATCH(B$1,[1]characters!$1:$1,0)-MATCH($A$1,[1]characters!$1:$1,0)+1),MATCH(B$1,[1]characters!$1:$1,0)-MATCH($A$1,[1]characters!$1:$1,0)+1,FALSE)</f>
        <v>穣神従事 ビュグヴィルとベイラ</v>
      </c>
      <c r="C7" s="59" t="str">
        <f ca="1">VLOOKUP($A7,OFFSET([1]characters!$A$1,0,0,COUNTA([1]characters!$A:$A),MATCH(C$1,[1]characters!$1:$1,0)-MATCH($A$1,[1]characters!$1:$1,0)+1),MATCH(C$1,[1]characters!$1:$1,0)-MATCH($A$1,[1]characters!$1:$1,0)+1,FALSE)</f>
        <v>イベント:北欧01</v>
      </c>
      <c r="D7" s="59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9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9" t="str">
        <f ca="1">VLOOKUP($A7,OFFSET([1]characters!$A$1,0,0,COUNTA([1]characters!$A:$A),MATCH(F$1,[1]characters!$1:$1,0)-MATCH($A$1,[1]characters!$1:$1,0)+1),MATCH(F$1,[1]characters!$1:$1,0)-MATCH($A$1,[1]characters!$1:$1,0)+1,FALSE)</f>
        <v>女性</v>
      </c>
      <c r="G7" s="59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9" t="str">
        <f ca="1">VLOOKUP($A7,OFFSET([1]characters!$A$1,0,0,COUNTA([1]characters!$A:$A),MATCH(H$1,[1]characters!$1:$1,0)-MATCH($A$1,[1]characters!$1:$1,0)+1),MATCH(H$1,[1]characters!$1:$1,0)-MATCH($A$1,[1]characters!$1:$1,0)+1,FALSE)</f>
        <v>Drop2N</v>
      </c>
      <c r="I7" s="59" t="str">
        <f ca="1">VLOOKUP($A7,OFFSET([1]characters!$A$1,0,0,COUNTA([1]characters!$A:$A),MATCH(I$1,[1]characters!$1:$1,0)-MATCH($A$1,[1]characters!$1:$1,0)+1),MATCH(I$1,[1]characters!$1:$1,0)-MATCH($A$1,[1]characters!$1:$1,0)+1,FALSE)</f>
        <v>red</v>
      </c>
      <c r="J7" s="11">
        <f ca="1">VLOOKUP(I7,[1]属性!$A:$E,2,FALSE)</f>
        <v>1</v>
      </c>
      <c r="K7" s="11">
        <f ca="1">VLOOKUP(I7,[1]属性!$A:$E,3,FALSE)</f>
        <v>1.02</v>
      </c>
      <c r="L7" s="11">
        <f ca="1">VLOOKUP(I7,[1]属性!$A:$E,4,FALSE)</f>
        <v>1</v>
      </c>
      <c r="M7" s="11">
        <f ca="1">VLOOKUP(I7,[1]属性!$A:$E,5,FALSE)</f>
        <v>0.98</v>
      </c>
      <c r="N7" s="11">
        <f ca="1">INDEX(コスト!$A$1:$I$20,MATCH(H7,コスト!$A$1:$A$20,FALSE),MATCH(G7,コスト!$A$1:$I$1,FALSE))</f>
        <v>26</v>
      </c>
      <c r="O7" s="11">
        <f ca="1">INDEX(レベル!$A$1:$I$21,MATCH(H7,レベル!$A$1:$A$21,FALSE),MATCH(G7,レベル!$A$1:$I$1,FALSE))</f>
        <v>80</v>
      </c>
      <c r="P7" s="49">
        <f t="shared" ca="1" si="9"/>
        <v>75</v>
      </c>
      <c r="Q7" s="59" t="str">
        <f ca="1">VLOOKUP($A7,OFFSET([1]characters!$A$1,0,0,COUNTA([1]characters!$A:$A),MATCH(Q$1,[1]characters!$1:$1,0)-MATCH($A$1,[1]characters!$1:$1,0)+1),MATCH(Q$1,[1]characters!$1:$1,0)-MATCH($A$1,[1]characters!$1:$1,0)+1,FALSE)</f>
        <v>heal</v>
      </c>
      <c r="R7" s="5" t="str">
        <f ca="1">VLOOKUP(Q7,[1]character_type_i18n!$A:$H,3,FALSE)</f>
        <v>回復タイプ</v>
      </c>
      <c r="S7" s="11">
        <f ca="1">VLOOKUP(Q7,[1]character_type_i18n!$A:$H,4,FALSE)</f>
        <v>0.8</v>
      </c>
      <c r="T7" s="11">
        <f ca="1">VLOOKUP(Q7,[1]character_type_i18n!$A:$H,5,FALSE)</f>
        <v>0.78</v>
      </c>
      <c r="U7" s="11">
        <f ca="1">VLOOKUP(Q7,[1]character_type_i18n!$A:$H,6,FALSE)</f>
        <v>1</v>
      </c>
      <c r="V7" s="11">
        <f ca="1">VLOOKUP(Q7,[1]character_type_i18n!$A:$H,7,FALSE)</f>
        <v>1.42</v>
      </c>
      <c r="W7" s="59" t="str">
        <f ca="1">VLOOKUP($A7,OFFSET([1]characters!$A$1,0,0,COUNTA([1]characters!$A:$A),MATCH(W$1,[1]characters!$1:$1,0)-MATCH($A$1,[1]characters!$1:$1,0)+1),MATCH(W$1,[1]characters!$1:$1,0)-MATCH($A$1,[1]characters!$1:$1,0)+1,FALSE)</f>
        <v>unknown</v>
      </c>
      <c r="X7" s="5" t="str">
        <f ca="1">VLOOKUP(W7,[1]character_tribe_i18n!$A:$H,3,FALSE)</f>
        <v>Unknown</v>
      </c>
      <c r="Y7" s="59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1</v>
      </c>
      <c r="AB7" s="11">
        <f ca="1">VLOOKUP(W7,[1]character_tribe_i18n!$A:$H,5,FALSE)</f>
        <v>1</v>
      </c>
      <c r="AC7" s="11">
        <f ca="1">VLOOKUP(W7,[1]character_tribe_i18n!$A:$H,6,FALSE)</f>
        <v>1</v>
      </c>
      <c r="AD7" s="11">
        <f ca="1">VLOOKUP(W7,[1]character_tribe_i18n!$A:$H,7,FALSE)</f>
        <v>1</v>
      </c>
      <c r="AE7" s="9" t="s">
        <v>216</v>
      </c>
      <c r="AF7" s="64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1"/>
        <v>577</v>
      </c>
      <c r="AH7" s="64" t="str">
        <f ca="1">VLOOKUP($AG7,OFFSET([1]characters!$A$1,0,0,COUNTA([1]characters!$A:$A),MATCH(AH$1,[1]characters!$1:$1,0)-MATCH($A$1,[1]characters!$1:$1,0)+1),MATCH(AH$1,[1]characters!$1:$1,0)-MATCH($A$1,[1]characters!$1:$1,0)+1,FALSE)</f>
        <v>ビュグヴィルとベイラ</v>
      </c>
      <c r="AI7" s="11" t="str">
        <f>IF(AE7="NULL","NULL",VLOOKUP(G7,ビット!$A$2:$B$7,2))</f>
        <v>NULL</v>
      </c>
      <c r="AJ7" s="6">
        <v>2</v>
      </c>
      <c r="AK7" s="7" t="str">
        <f t="shared" si="10"/>
        <v>普通</v>
      </c>
      <c r="AL7" s="11" t="str">
        <f ca="1">INDEX(経験値!$A$1:$I$20,MATCH(H7,経験値!$A$1:$A$20,FALSE),MATCH(G7,経験値!$A$1:$I$1,FALSE))</f>
        <v>required_exp_200</v>
      </c>
      <c r="AM7" s="8">
        <f ca="1">VLOOKUP(G7,経験値!$A$27:$B$31,2)</f>
        <v>6400</v>
      </c>
      <c r="AN7" s="17">
        <f ca="1">VLOOKUP(G7,ビット!$G$2:$H$7,2)</f>
        <v>900</v>
      </c>
      <c r="AO7" s="46"/>
      <c r="AP7" s="69">
        <v>578</v>
      </c>
      <c r="AQ7" s="59" t="str">
        <f ca="1">VLOOKUP($AP7,OFFSET(unit_skills!$A$1,0,0,COUNTA(unit_skills!$A:$A),MATCH(AQ$1,unit_skills!$1:$1,0)-MATCH($AP$1,unit_skills!$1:$1,0)+1),MATCH(AQ$1,unit_skills!$1:$1,0)-MATCH($AP$1,unit_skills!$1:$1,0)+1,FALSE)</f>
        <v>ハッピーハーヴェスト</v>
      </c>
      <c r="AR7" s="59" t="str">
        <f ca="1">VLOOKUP($AP7,OFFSET(unit_skills!$A$1,0,0,COUNTA(unit_skills!$A:$A),MATCH(AR$1,unit_skills!$1:$1,0)-MATCH($AP$1,unit_skills!$1:$1,0)+1),MATCH(AR$1,unit_skills!$1:$1,0)-MATCH($AP$1,unit_skills!$1:$1,0)+1,FALSE)</f>
        <v>HP回復(緑パネルを吸収して効果UP)+3ターン全ユニットの回復力を特大UP</v>
      </c>
      <c r="AS7" s="59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2">
        <v>578</v>
      </c>
      <c r="AU7" s="59" t="str">
        <f ca="1">VLOOKUP($AT7,OFFSET(crash_skills!$A$1,0,0,COUNTA(crash_skills!$A:$A),MATCH(AU$1,crash_skills!$1:$1,0)-MATCH($AT$1,crash_skills!$1:$1,0)+1),MATCH(AU$1,crash_skills!$1:$1,0)-MATCH($AT$1,crash_skills!$1:$1,0)+1,FALSE)</f>
        <v>メイクバーリィミール</v>
      </c>
      <c r="AV7" s="59" t="str">
        <f ca="1">VLOOKUP($AT7,OFFSET(crash_skills!$A$1,0,0,COUNTA(crash_skills!$A:$A),MATCH(AV$1,crash_skills!$1:$1,0)-MATCH($AT$1,crash_skills!$1:$1,0)+1),MATCH(AV$1,crash_skills!$1:$1,0)-MATCH($AT$1,crash_skills!$1:$1,0)+1,FALSE)</f>
        <v>全体に大ダメージ_x000D_+HP大回復</v>
      </c>
      <c r="AW7" s="59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60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70">
        <v>0.98</v>
      </c>
      <c r="AZ7" s="70">
        <v>1</v>
      </c>
      <c r="BA7" s="70">
        <v>0</v>
      </c>
      <c r="BB7" s="70">
        <v>1.3</v>
      </c>
      <c r="BC7" s="11">
        <f ca="1">INDEX('RC6SV'!$A$1:$G$20,MATCH(H7,'RC6SV'!$A$1:$A$20,FALSE),MATCH(G7,'RC6SV'!$A$1:$G$1,FALSE))</f>
        <v>7600</v>
      </c>
      <c r="BD7" s="49">
        <f t="shared" ca="1" si="11"/>
        <v>7600</v>
      </c>
      <c r="BE7" s="11">
        <f t="shared" ca="1" si="4"/>
        <v>5800</v>
      </c>
      <c r="BF7" s="11">
        <f t="shared" ca="1" si="5"/>
        <v>1</v>
      </c>
      <c r="BG7" s="16">
        <f ca="1">IF($BE7&lt;=0,ROUND(BK7*0.5,0), ROUND($BE7*S7*AA7*J7*AY7*0.8*[1]ステータス!$B$2,0))</f>
        <v>1819</v>
      </c>
      <c r="BH7" s="16">
        <f ca="1">IF($BE7&lt;=0,ROUND(BL7*0.5,0), ROUND($BE7*T7*AB7*K7*AZ7*0.8*[1]ステータス!$C$2,0))</f>
        <v>1107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2099</v>
      </c>
      <c r="BK7" s="11">
        <f ca="1">ROUND(BD7*S7*AA7*J7*AY7*[1]ステータス!$B$2,0)</f>
        <v>2979</v>
      </c>
      <c r="BL7" s="11">
        <f ca="1">ROUND(BD7*T7*AB7*K7*AZ7*[1]ステータス!$C$2,0)</f>
        <v>1814</v>
      </c>
      <c r="BM7" s="11">
        <f ca="1">ROUND(BD7*U7*AC7*L7*BA7*[1]ステータス!$D$2,0)</f>
        <v>0</v>
      </c>
      <c r="BN7" s="11">
        <f ca="1">ROUND(BD7*V7*AD7*M7*BB7*[1]ステータス!$E$2,0)</f>
        <v>3437</v>
      </c>
      <c r="BO7" s="10">
        <v>0</v>
      </c>
      <c r="BP7" s="10">
        <v>1</v>
      </c>
      <c r="BQ7" s="10" t="s">
        <v>73</v>
      </c>
      <c r="BR7" s="10">
        <f ca="1">VLOOKUP(H7,ghosts_label!$A$2:$B$19,2,FALSE)</f>
        <v>1</v>
      </c>
    </row>
    <row r="8" spans="1:70" ht="21" customHeight="1" x14ac:dyDescent="0.15">
      <c r="A8" s="12">
        <v>579</v>
      </c>
      <c r="B8" s="59" t="str">
        <f ca="1">VLOOKUP($A8,OFFSET([1]characters!$A$1,0,0,COUNTA([1]characters!$A:$A),MATCH(B$1,[1]characters!$1:$1,0)-MATCH($A$1,[1]characters!$1:$1,0)+1),MATCH(B$1,[1]characters!$1:$1,0)-MATCH($A$1,[1]characters!$1:$1,0)+1,FALSE)</f>
        <v>オーズ</v>
      </c>
      <c r="C8" s="59" t="str">
        <f ca="1">VLOOKUP($A8,OFFSET([1]characters!$A$1,0,0,COUNTA([1]characters!$A:$A),MATCH(C$1,[1]characters!$1:$1,0)-MATCH($A$1,[1]characters!$1:$1,0)+1),MATCH(C$1,[1]characters!$1:$1,0)-MATCH($A$1,[1]characters!$1:$1,0)+1,FALSE)</f>
        <v>イベント:北欧01</v>
      </c>
      <c r="D8" s="59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9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9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9">
        <f ca="1">VLOOKUP($A8,OFFSET([1]characters!$A$1,0,0,COUNTA([1]characters!$A:$A),MATCH(G$1,[1]characters!$1:$1,0)-MATCH($A$1,[1]characters!$1:$1,0)+1),MATCH(G$1,[1]characters!$1:$1,0)-MATCH($A$1,[1]characters!$1:$1,0)+1,FALSE)</f>
        <v>4</v>
      </c>
      <c r="H8" s="59" t="str">
        <f ca="1">VLOOKUP($A8,OFFSET([1]characters!$A$1,0,0,COUNTA([1]characters!$A:$A),MATCH(H$1,[1]characters!$1:$1,0)-MATCH($A$1,[1]characters!$1:$1,0)+1),MATCH(H$1,[1]characters!$1:$1,0)-MATCH($A$1,[1]characters!$1:$1,0)+1,FALSE)</f>
        <v>Drop2N</v>
      </c>
      <c r="I8" s="59" t="str">
        <f ca="1">VLOOKUP($A8,OFFSET([1]characters!$A$1,0,0,COUNTA([1]characters!$A:$A),MATCH(I$1,[1]characters!$1:$1,0)-MATCH($A$1,[1]characters!$1:$1,0)+1),MATCH(I$1,[1]characters!$1:$1,0)-MATCH($A$1,[1]characters!$1:$1,0)+1,FALSE)</f>
        <v>green</v>
      </c>
      <c r="J8" s="11">
        <f ca="1">VLOOKUP(I8,[1]属性!$A:$E,2,FALSE)</f>
        <v>1.02</v>
      </c>
      <c r="K8" s="11">
        <f ca="1">VLOOKUP(I8,[1]属性!$A:$E,3,FALSE)</f>
        <v>0.98</v>
      </c>
      <c r="L8" s="11">
        <f ca="1">VLOOKUP(I8,[1]属性!$A:$E,4,FALSE)</f>
        <v>1</v>
      </c>
      <c r="M8" s="11">
        <f ca="1">VLOOKUP(I8,[1]属性!$A:$E,5,FALSE)</f>
        <v>1</v>
      </c>
      <c r="N8" s="11">
        <f ca="1">INDEX(コスト!$A$1:$I$20,MATCH(H8,コスト!$A$1:$A$20,FALSE),MATCH(G8,コスト!$A$1:$I$1,FALSE))</f>
        <v>17</v>
      </c>
      <c r="O8" s="11">
        <f ca="1">INDEX(レベル!$A$1:$I$21,MATCH(H8,レベル!$A$1:$A$21,FALSE),MATCH(G8,レベル!$A$1:$I$1,FALSE))</f>
        <v>60</v>
      </c>
      <c r="P8" s="49">
        <f t="shared" ca="1" si="9"/>
        <v>60</v>
      </c>
      <c r="Q8" s="59" t="str">
        <f ca="1">VLOOKUP($A8,OFFSET([1]characters!$A$1,0,0,COUNTA([1]characters!$A:$A),MATCH(Q$1,[1]characters!$1:$1,0)-MATCH($A$1,[1]characters!$1:$1,0)+1),MATCH(Q$1,[1]characters!$1:$1,0)-MATCH($A$1,[1]characters!$1:$1,0)+1,FALSE)</f>
        <v>technical</v>
      </c>
      <c r="R8" s="5" t="str">
        <f ca="1">VLOOKUP(Q8,[1]character_type_i18n!$A:$H,3,FALSE)</f>
        <v>テクニカルタイプ</v>
      </c>
      <c r="S8" s="11">
        <f ca="1">VLOOKUP(Q8,[1]character_type_i18n!$A:$H,4,FALSE)</f>
        <v>0.9</v>
      </c>
      <c r="T8" s="11">
        <f ca="1">VLOOKUP(Q8,[1]character_type_i18n!$A:$H,5,FALSE)</f>
        <v>0.9</v>
      </c>
      <c r="U8" s="11">
        <f ca="1">VLOOKUP(Q8,[1]character_type_i18n!$A:$H,6,FALSE)</f>
        <v>1</v>
      </c>
      <c r="V8" s="11">
        <f ca="1">VLOOKUP(Q8,[1]character_type_i18n!$A:$H,7,FALSE)</f>
        <v>0.9</v>
      </c>
      <c r="W8" s="59" t="str">
        <f ca="1">VLOOKUP($A8,OFFSET([1]characters!$A$1,0,0,COUNTA([1]characters!$A:$A),MATCH(W$1,[1]characters!$1:$1,0)-MATCH($A$1,[1]characters!$1:$1,0)+1),MATCH(W$1,[1]characters!$1:$1,0)-MATCH($A$1,[1]characters!$1:$1,0)+1,FALSE)</f>
        <v>god</v>
      </c>
      <c r="X8" s="5" t="str">
        <f ca="1">VLOOKUP(W8,[1]character_tribe_i18n!$A:$H,3,FALSE)</f>
        <v>ゴッド</v>
      </c>
      <c r="Y8" s="59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0.96</v>
      </c>
      <c r="AB8" s="11">
        <f ca="1">VLOOKUP(W8,[1]character_tribe_i18n!$A:$H,5,FALSE)</f>
        <v>1.02</v>
      </c>
      <c r="AC8" s="11">
        <f ca="1">VLOOKUP(W8,[1]character_tribe_i18n!$A:$H,6,FALSE)</f>
        <v>1</v>
      </c>
      <c r="AD8" s="11">
        <f ca="1">VLOOKUP(W8,[1]character_tribe_i18n!$A:$H,7,FALSE)</f>
        <v>1.02</v>
      </c>
      <c r="AE8" s="9">
        <v>580</v>
      </c>
      <c r="AF8" s="64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愛憐の旅神 オーズ</v>
      </c>
      <c r="AG8" s="5">
        <f t="shared" ca="1" si="1"/>
        <v>579</v>
      </c>
      <c r="AH8" s="64" t="str">
        <f ca="1">VLOOKUP($AG8,OFFSET([1]characters!$A$1,0,0,COUNTA([1]characters!$A:$A),MATCH(AH$1,[1]characters!$1:$1,0)-MATCH($A$1,[1]characters!$1:$1,0)+1),MATCH(AH$1,[1]characters!$1:$1,0)-MATCH($A$1,[1]characters!$1:$1,0)+1,FALSE)</f>
        <v>オーズ</v>
      </c>
      <c r="AI8" s="11">
        <f ca="1">IF(AE8="NULL","NULL",VLOOKUP(G8,ビット!$A$2:$B$7,2))</f>
        <v>50000</v>
      </c>
      <c r="AJ8" s="6">
        <v>2</v>
      </c>
      <c r="AK8" s="7" t="str">
        <f t="shared" si="10"/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3400</v>
      </c>
      <c r="AN8" s="17">
        <f ca="1">VLOOKUP(G8,ビット!$G$2:$H$7,2)</f>
        <v>600</v>
      </c>
      <c r="AO8" s="46"/>
      <c r="AP8" s="69">
        <v>579</v>
      </c>
      <c r="AQ8" s="59" t="str">
        <f ca="1">VLOOKUP($AP8,OFFSET(unit_skills!$A$1,0,0,COUNTA(unit_skills!$A:$A),MATCH(AQ$1,unit_skills!$1:$1,0)-MATCH($AP$1,unit_skills!$1:$1,0)+1),MATCH(AQ$1,unit_skills!$1:$1,0)-MATCH($AP$1,unit_skills!$1:$1,0)+1,FALSE)</f>
        <v>真実への閃き</v>
      </c>
      <c r="AR8" s="59" t="str">
        <f ca="1">VLOOKUP($AP8,OFFSET(unit_skills!$A$1,0,0,COUNTA(unit_skills!$A:$A),MATCH(AR$1,unit_skills!$1:$1,0)-MATCH($AP$1,unit_skills!$1:$1,0)+1),MATCH(AR$1,unit_skills!$1:$1,0)-MATCH($AP$1,unit_skills!$1:$1,0)+1,FALSE)</f>
        <v>時限式ダメージパネルと赤パネルを緑パネルに変換+3ターン緑属性の攻撃力を特大UP</v>
      </c>
      <c r="AS8" s="59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2">
        <v>579</v>
      </c>
      <c r="AU8" s="59" t="str">
        <f ca="1">VLOOKUP($AT8,OFFSET(crash_skills!$A$1,0,0,COUNTA(crash_skills!$A:$A),MATCH(AU$1,crash_skills!$1:$1,0)-MATCH($AT$1,crash_skills!$1:$1,0)+1),MATCH(AU$1,crash_skills!$1:$1,0)-MATCH($AT$1,crash_skills!$1:$1,0)+1,FALSE)</f>
        <v>トゥルーボイス</v>
      </c>
      <c r="AV8" s="59" t="str">
        <f ca="1">VLOOKUP($AT8,OFFSET(crash_skills!$A$1,0,0,COUNTA(crash_skills!$A:$A),MATCH(AV$1,crash_skills!$1:$1,0)-MATCH($AT$1,crash_skills!$1:$1,0)+1),MATCH(AV$1,crash_skills!$1:$1,0)-MATCH($AT$1,crash_skills!$1:$1,0)+1,FALSE)</f>
        <v>1体に中ダメージ+_x000D_2ターン回復力小UP</v>
      </c>
      <c r="AW8" s="59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60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70">
        <v>1.1000000000000001</v>
      </c>
      <c r="AZ8" s="70">
        <v>1.1000000000000001</v>
      </c>
      <c r="BA8" s="70">
        <v>0</v>
      </c>
      <c r="BB8" s="70">
        <v>1.2</v>
      </c>
      <c r="BC8" s="11">
        <f ca="1">INDEX('RC6SV'!$A$1:$G$20,MATCH(H8,'RC6SV'!$A$1:$A$20,FALSE),MATCH(G8,'RC6SV'!$A$1:$G$1,FALSE))</f>
        <v>5800</v>
      </c>
      <c r="BD8" s="49">
        <f t="shared" ca="1" si="11"/>
        <v>5800</v>
      </c>
      <c r="BE8" s="11">
        <f t="shared" ca="1" si="4"/>
        <v>0</v>
      </c>
      <c r="BF8" s="11">
        <f t="shared" ca="1" si="5"/>
        <v>1</v>
      </c>
      <c r="BG8" s="16">
        <f ca="1">IF($BE8&lt;=0,ROUND(BK8*0.5,0), ROUND($BE8*S8*AA8*J8*AY8*0.8*[1]ステータス!$B$2,0))</f>
        <v>1406</v>
      </c>
      <c r="BH8" s="16">
        <f ca="1">IF($BE8&lt;=0,ROUND(BL8*0.5,0), ROUND($BE8*T8*AB8*K8*AZ8*0.8*[1]ステータス!$C$2,0))</f>
        <v>861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799</v>
      </c>
      <c r="BK8" s="11">
        <f ca="1">ROUND(BD8*S8*AA8*J8*AY8*[1]ステータス!$B$2,0)</f>
        <v>2811</v>
      </c>
      <c r="BL8" s="11">
        <f ca="1">ROUND(BD8*T8*AB8*K8*AZ8*[1]ステータス!$C$2,0)</f>
        <v>1722</v>
      </c>
      <c r="BM8" s="11">
        <f ca="1">ROUND(BD8*U8*AC8*L8*BA8*[1]ステータス!$D$2,0)</f>
        <v>0</v>
      </c>
      <c r="BN8" s="11">
        <f ca="1">ROUND(BD8*V8*AD8*M8*BB8*[1]ステータス!$E$2,0)</f>
        <v>1597</v>
      </c>
      <c r="BO8" s="10">
        <v>0</v>
      </c>
      <c r="BP8" s="10">
        <v>1</v>
      </c>
      <c r="BQ8" s="10" t="s">
        <v>73</v>
      </c>
      <c r="BR8" s="10">
        <f ca="1">VLOOKUP(H8,ghosts_label!$A$2:$B$19,2,FALSE)</f>
        <v>1</v>
      </c>
    </row>
    <row r="9" spans="1:70" ht="21" customHeight="1" x14ac:dyDescent="0.15">
      <c r="A9" s="12">
        <v>580</v>
      </c>
      <c r="B9" s="59" t="str">
        <f ca="1">VLOOKUP($A9,OFFSET([1]characters!$A$1,0,0,COUNTA([1]characters!$A:$A),MATCH(B$1,[1]characters!$1:$1,0)-MATCH($A$1,[1]characters!$1:$1,0)+1),MATCH(B$1,[1]characters!$1:$1,0)-MATCH($A$1,[1]characters!$1:$1,0)+1,FALSE)</f>
        <v>愛憐の旅神 オーズ</v>
      </c>
      <c r="C9" s="59" t="str">
        <f ca="1">VLOOKUP($A9,OFFSET([1]characters!$A$1,0,0,COUNTA([1]characters!$A:$A),MATCH(C$1,[1]characters!$1:$1,0)-MATCH($A$1,[1]characters!$1:$1,0)+1),MATCH(C$1,[1]characters!$1:$1,0)-MATCH($A$1,[1]characters!$1:$1,0)+1,FALSE)</f>
        <v>イベント:北欧01</v>
      </c>
      <c r="D9" s="59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9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9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9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9" t="str">
        <f ca="1">VLOOKUP($A9,OFFSET([1]characters!$A$1,0,0,COUNTA([1]characters!$A:$A),MATCH(H$1,[1]characters!$1:$1,0)-MATCH($A$1,[1]characters!$1:$1,0)+1),MATCH(H$1,[1]characters!$1:$1,0)-MATCH($A$1,[1]characters!$1:$1,0)+1,FALSE)</f>
        <v>Drop2N</v>
      </c>
      <c r="I9" s="59" t="str">
        <f ca="1">VLOOKUP($A9,OFFSET([1]characters!$A$1,0,0,COUNTA([1]characters!$A:$A),MATCH(I$1,[1]characters!$1:$1,0)-MATCH($A$1,[1]characters!$1:$1,0)+1),MATCH(I$1,[1]characters!$1:$1,0)-MATCH($A$1,[1]characters!$1:$1,0)+1,FALSE)</f>
        <v>green</v>
      </c>
      <c r="J9" s="11">
        <f ca="1">VLOOKUP(I9,[1]属性!$A:$E,2,FALSE)</f>
        <v>1.02</v>
      </c>
      <c r="K9" s="11">
        <f ca="1">VLOOKUP(I9,[1]属性!$A:$E,3,FALSE)</f>
        <v>0.98</v>
      </c>
      <c r="L9" s="11">
        <f ca="1">VLOOKUP(I9,[1]属性!$A:$E,4,FALSE)</f>
        <v>1</v>
      </c>
      <c r="M9" s="11">
        <f ca="1">VLOOKUP(I9,[1]属性!$A:$E,5,FALSE)</f>
        <v>1</v>
      </c>
      <c r="N9" s="11">
        <f ca="1">INDEX(コスト!$A$1:$I$20,MATCH(H9,コスト!$A$1:$A$20,FALSE),MATCH(G9,コスト!$A$1:$I$1,FALSE))</f>
        <v>26</v>
      </c>
      <c r="O9" s="11">
        <f ca="1">INDEX(レベル!$A$1:$I$21,MATCH(H9,レベル!$A$1:$A$21,FALSE),MATCH(G9,レベル!$A$1:$I$1,FALSE))</f>
        <v>80</v>
      </c>
      <c r="P9" s="49">
        <f t="shared" ca="1" si="9"/>
        <v>75</v>
      </c>
      <c r="Q9" s="59" t="str">
        <f ca="1">VLOOKUP($A9,OFFSET([1]characters!$A$1,0,0,COUNTA([1]characters!$A:$A),MATCH(Q$1,[1]characters!$1:$1,0)-MATCH($A$1,[1]characters!$1:$1,0)+1),MATCH(Q$1,[1]characters!$1:$1,0)-MATCH($A$1,[1]characters!$1:$1,0)+1,FALSE)</f>
        <v>technical</v>
      </c>
      <c r="R9" s="5" t="str">
        <f ca="1">VLOOKUP(Q9,[1]character_type_i18n!$A:$H,3,FALSE)</f>
        <v>テクニカルタイプ</v>
      </c>
      <c r="S9" s="11">
        <f ca="1">VLOOKUP(Q9,[1]character_type_i18n!$A:$H,4,FALSE)</f>
        <v>0.9</v>
      </c>
      <c r="T9" s="11">
        <f ca="1">VLOOKUP(Q9,[1]character_type_i18n!$A:$H,5,FALSE)</f>
        <v>0.9</v>
      </c>
      <c r="U9" s="11">
        <f ca="1">VLOOKUP(Q9,[1]character_type_i18n!$A:$H,6,FALSE)</f>
        <v>1</v>
      </c>
      <c r="V9" s="11">
        <f ca="1">VLOOKUP(Q9,[1]character_type_i18n!$A:$H,7,FALSE)</f>
        <v>0.9</v>
      </c>
      <c r="W9" s="59" t="str">
        <f ca="1">VLOOKUP($A9,OFFSET([1]characters!$A$1,0,0,COUNTA([1]characters!$A:$A),MATCH(W$1,[1]characters!$1:$1,0)-MATCH($A$1,[1]characters!$1:$1,0)+1),MATCH(W$1,[1]characters!$1:$1,0)-MATCH($A$1,[1]characters!$1:$1,0)+1,FALSE)</f>
        <v>god</v>
      </c>
      <c r="X9" s="5" t="str">
        <f ca="1">VLOOKUP(W9,[1]character_tribe_i18n!$A:$H,3,FALSE)</f>
        <v>ゴッド</v>
      </c>
      <c r="Y9" s="59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0.96</v>
      </c>
      <c r="AB9" s="11">
        <f ca="1">VLOOKUP(W9,[1]character_tribe_i18n!$A:$H,5,FALSE)</f>
        <v>1.02</v>
      </c>
      <c r="AC9" s="11">
        <f ca="1">VLOOKUP(W9,[1]character_tribe_i18n!$A:$H,6,FALSE)</f>
        <v>1</v>
      </c>
      <c r="AD9" s="11">
        <f ca="1">VLOOKUP(W9,[1]character_tribe_i18n!$A:$H,7,FALSE)</f>
        <v>1.02</v>
      </c>
      <c r="AE9" s="9" t="s">
        <v>216</v>
      </c>
      <c r="AF9" s="64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1"/>
        <v>579</v>
      </c>
      <c r="AH9" s="64" t="str">
        <f ca="1">VLOOKUP($AG9,OFFSET([1]characters!$A$1,0,0,COUNTA([1]characters!$A:$A),MATCH(AH$1,[1]characters!$1:$1,0)-MATCH($A$1,[1]characters!$1:$1,0)+1),MATCH(AH$1,[1]characters!$1:$1,0)-MATCH($A$1,[1]characters!$1:$1,0)+1,FALSE)</f>
        <v>オーズ</v>
      </c>
      <c r="AI9" s="11" t="str">
        <f>IF(AE9="NULL","NULL",VLOOKUP(G9,ビット!$A$2:$B$7,2))</f>
        <v>NULL</v>
      </c>
      <c r="AJ9" s="6">
        <v>2</v>
      </c>
      <c r="AK9" s="7" t="str">
        <f t="shared" si="10"/>
        <v>普通</v>
      </c>
      <c r="AL9" s="11" t="str">
        <f ca="1">INDEX(経験値!$A$1:$I$20,MATCH(H9,経験値!$A$1:$A$20,FALSE),MATCH(G9,経験値!$A$1:$I$1,FALSE))</f>
        <v>required_exp_200</v>
      </c>
      <c r="AM9" s="8">
        <f ca="1">VLOOKUP(G9,経験値!$A$27:$B$31,2)</f>
        <v>6400</v>
      </c>
      <c r="AN9" s="17">
        <f ca="1">VLOOKUP(G9,ビット!$G$2:$H$7,2)</f>
        <v>900</v>
      </c>
      <c r="AO9" s="46"/>
      <c r="AP9" s="69">
        <v>580</v>
      </c>
      <c r="AQ9" s="59" t="str">
        <f ca="1">VLOOKUP($AP9,OFFSET(unit_skills!$A$1,0,0,COUNTA(unit_skills!$A:$A),MATCH(AQ$1,unit_skills!$1:$1,0)-MATCH($AP$1,unit_skills!$1:$1,0)+1),MATCH(AQ$1,unit_skills!$1:$1,0)-MATCH($AP$1,unit_skills!$1:$1,0)+1,FALSE)</f>
        <v>真実への閃き</v>
      </c>
      <c r="AR9" s="59" t="str">
        <f ca="1">VLOOKUP($AP9,OFFSET(unit_skills!$A$1,0,0,COUNTA(unit_skills!$A:$A),MATCH(AR$1,unit_skills!$1:$1,0)-MATCH($AP$1,unit_skills!$1:$1,0)+1),MATCH(AR$1,unit_skills!$1:$1,0)-MATCH($AP$1,unit_skills!$1:$1,0)+1,FALSE)</f>
        <v>時限式ダメージパネルと赤パネルを緑パネルに変換+3ターン緑属性の攻撃力を特大UP</v>
      </c>
      <c r="AS9" s="59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2">
        <v>580</v>
      </c>
      <c r="AU9" s="59" t="str">
        <f ca="1">VLOOKUP($AT9,OFFSET(crash_skills!$A$1,0,0,COUNTA(crash_skills!$A:$A),MATCH(AU$1,crash_skills!$1:$1,0)-MATCH($AT$1,crash_skills!$1:$1,0)+1),MATCH(AU$1,crash_skills!$1:$1,0)-MATCH($AT$1,crash_skills!$1:$1,0)+1,FALSE)</f>
        <v>トゥルーボイス</v>
      </c>
      <c r="AV9" s="59" t="str">
        <f ca="1">VLOOKUP($AT9,OFFSET(crash_skills!$A$1,0,0,COUNTA(crash_skills!$A:$A),MATCH(AV$1,crash_skills!$1:$1,0)-MATCH($AT$1,crash_skills!$1:$1,0)+1),MATCH(AV$1,crash_skills!$1:$1,0)-MATCH($AT$1,crash_skills!$1:$1,0)+1,FALSE)</f>
        <v>1体に大ダメージ+_x000D_2ターン回復力小UP</v>
      </c>
      <c r="AW9" s="59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60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70">
        <v>1.1000000000000001</v>
      </c>
      <c r="AZ9" s="70">
        <v>1.1000000000000001</v>
      </c>
      <c r="BA9" s="70">
        <v>0</v>
      </c>
      <c r="BB9" s="70">
        <v>1.2</v>
      </c>
      <c r="BC9" s="11">
        <f ca="1">INDEX('RC6SV'!$A$1:$G$20,MATCH(H9,'RC6SV'!$A$1:$A$20,FALSE),MATCH(G9,'RC6SV'!$A$1:$G$1,FALSE))</f>
        <v>7600</v>
      </c>
      <c r="BD9" s="49">
        <f t="shared" ca="1" si="11"/>
        <v>7600</v>
      </c>
      <c r="BE9" s="11">
        <f t="shared" ca="1" si="4"/>
        <v>5800</v>
      </c>
      <c r="BF9" s="11">
        <f t="shared" ca="1" si="5"/>
        <v>1</v>
      </c>
      <c r="BG9" s="16">
        <f ca="1">IF($BE9&lt;=0,ROUND(BK9*0.5,0), ROUND($BE9*S9*AA9*J9*AY9*0.8*[1]ステータス!$B$2,0))</f>
        <v>2249</v>
      </c>
      <c r="BH9" s="16">
        <f ca="1">IF($BE9&lt;=0,ROUND(BL9*0.5,0), ROUND($BE9*T9*AB9*K9*AZ9*0.8*[1]ステータス!$C$2,0))</f>
        <v>1378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1278</v>
      </c>
      <c r="BK9" s="11">
        <f ca="1">ROUND(BD9*S9*AA9*J9*AY9*[1]ステータス!$B$2,0)</f>
        <v>3684</v>
      </c>
      <c r="BL9" s="11">
        <f ca="1">ROUND(BD9*T9*AB9*K9*AZ9*[1]ステータス!$C$2,0)</f>
        <v>2256</v>
      </c>
      <c r="BM9" s="11">
        <f ca="1">ROUND(BD9*U9*AC9*L9*BA9*[1]ステータス!$D$2,0)</f>
        <v>0</v>
      </c>
      <c r="BN9" s="11">
        <f ca="1">ROUND(BD9*V9*AD9*M9*BB9*[1]ステータス!$E$2,0)</f>
        <v>2093</v>
      </c>
      <c r="BO9" s="10">
        <v>0</v>
      </c>
      <c r="BP9" s="10">
        <v>1</v>
      </c>
      <c r="BQ9" s="10" t="s">
        <v>73</v>
      </c>
      <c r="BR9" s="10">
        <f ca="1">VLOOKUP(H9,ghosts_label!$A$2:$B$19,2,FALSE)</f>
        <v>1</v>
      </c>
    </row>
    <row r="10" spans="1:70" ht="21" customHeight="1" x14ac:dyDescent="0.15">
      <c r="A10" s="12">
        <v>581</v>
      </c>
      <c r="B10" s="59" t="str">
        <f ca="1">VLOOKUP($A10,OFFSET([1]characters!$A$1,0,0,COUNTA([1]characters!$A:$A),MATCH(B$1,[1]characters!$1:$1,0)-MATCH($A$1,[1]characters!$1:$1,0)+1),MATCH(B$1,[1]characters!$1:$1,0)-MATCH($A$1,[1]characters!$1:$1,0)+1,FALSE)</f>
        <v>フギンとムニン</v>
      </c>
      <c r="C10" s="59" t="str">
        <f ca="1">VLOOKUP($A10,OFFSET([1]characters!$A$1,0,0,COUNTA([1]characters!$A:$A),MATCH(C$1,[1]characters!$1:$1,0)-MATCH($A$1,[1]characters!$1:$1,0)+1),MATCH(C$1,[1]characters!$1:$1,0)-MATCH($A$1,[1]characters!$1:$1,0)+1,FALSE)</f>
        <v>イベント:ウィザード</v>
      </c>
      <c r="D10" s="59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9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9" t="str">
        <f ca="1">VLOOKUP($A10,OFFSET([1]characters!$A$1,0,0,COUNTA([1]characters!$A:$A),MATCH(F$1,[1]characters!$1:$1,0)-MATCH($A$1,[1]characters!$1:$1,0)+1),MATCH(F$1,[1]characters!$1:$1,0)-MATCH($A$1,[1]characters!$1:$1,0)+1,FALSE)</f>
        <v>不明</v>
      </c>
      <c r="G10" s="59">
        <f ca="1">VLOOKUP($A10,OFFSET([1]characters!$A$1,0,0,COUNTA([1]characters!$A:$A),MATCH(G$1,[1]characters!$1:$1,0)-MATCH($A$1,[1]characters!$1:$1,0)+1),MATCH(G$1,[1]characters!$1:$1,0)-MATCH($A$1,[1]characters!$1:$1,0)+1,FALSE)</f>
        <v>4</v>
      </c>
      <c r="H10" s="59" t="str">
        <f ca="1">VLOOKUP($A10,OFFSET([1]characters!$A$1,0,0,COUNTA([1]characters!$A:$A),MATCH(H$1,[1]characters!$1:$1,0)-MATCH($A$1,[1]characters!$1:$1,0)+1),MATCH(H$1,[1]characters!$1:$1,0)-MATCH($A$1,[1]characters!$1:$1,0)+1,FALSE)</f>
        <v>DropWizS</v>
      </c>
      <c r="I10" s="59" t="str">
        <f ca="1">VLOOKUP($A10,OFFSET([1]characters!$A$1,0,0,COUNTA([1]characters!$A:$A),MATCH(I$1,[1]characters!$1:$1,0)-MATCH($A$1,[1]characters!$1:$1,0)+1),MATCH(I$1,[1]characters!$1:$1,0)-MATCH($A$1,[1]characters!$1:$1,0)+1,FALSE)</f>
        <v>blue</v>
      </c>
      <c r="J10" s="11">
        <f ca="1">VLOOKUP(I10,[1]属性!$A:$E,2,FALSE)</f>
        <v>1</v>
      </c>
      <c r="K10" s="11">
        <f ca="1">VLOOKUP(I10,[1]属性!$A:$E,3,FALSE)</f>
        <v>0.98</v>
      </c>
      <c r="L10" s="11">
        <f ca="1">VLOOKUP(I10,[1]属性!$A:$E,4,FALSE)</f>
        <v>1</v>
      </c>
      <c r="M10" s="11">
        <f ca="1">VLOOKUP(I10,[1]属性!$A:$E,5,FALSE)</f>
        <v>1.02</v>
      </c>
      <c r="N10" s="11">
        <f ca="1">INDEX(コスト!$A$1:$I$20,MATCH(H10,コスト!$A$1:$A$20,FALSE),MATCH(G10,コスト!$A$1:$I$1,FALSE))</f>
        <v>20</v>
      </c>
      <c r="O10" s="11">
        <f ca="1">INDEX(レベル!$A$1:$I$21,MATCH(H10,レベル!$A$1:$A$21,FALSE),MATCH(G10,レベル!$A$1:$I$1,FALSE))</f>
        <v>60</v>
      </c>
      <c r="P10" s="49">
        <f t="shared" ca="1" si="9"/>
        <v>60</v>
      </c>
      <c r="Q10" s="59" t="str">
        <f ca="1">VLOOKUP($A10,OFFSET([1]characters!$A$1,0,0,COUNTA([1]characters!$A:$A),MATCH(Q$1,[1]characters!$1:$1,0)-MATCH($A$1,[1]characters!$1:$1,0)+1),MATCH(Q$1,[1]characters!$1:$1,0)-MATCH($A$1,[1]characters!$1:$1,0)+1,FALSE)</f>
        <v>technical</v>
      </c>
      <c r="R10" s="5" t="str">
        <f ca="1">VLOOKUP(Q10,[1]character_type_i18n!$A:$H,3,FALSE)</f>
        <v>テクニカルタイプ</v>
      </c>
      <c r="S10" s="11">
        <f ca="1">VLOOKUP(Q10,[1]character_type_i18n!$A:$H,4,FALSE)</f>
        <v>0.9</v>
      </c>
      <c r="T10" s="11">
        <f ca="1">VLOOKUP(Q10,[1]character_type_i18n!$A:$H,5,FALSE)</f>
        <v>0.9</v>
      </c>
      <c r="U10" s="11">
        <f ca="1">VLOOKUP(Q10,[1]character_type_i18n!$A:$H,6,FALSE)</f>
        <v>1</v>
      </c>
      <c r="V10" s="11">
        <f ca="1">VLOOKUP(Q10,[1]character_type_i18n!$A:$H,7,FALSE)</f>
        <v>0.9</v>
      </c>
      <c r="W10" s="59" t="str">
        <f ca="1">VLOOKUP($A10,OFFSET([1]characters!$A$1,0,0,COUNTA([1]characters!$A:$A),MATCH(W$1,[1]characters!$1:$1,0)-MATCH($A$1,[1]characters!$1:$1,0)+1),MATCH(W$1,[1]characters!$1:$1,0)-MATCH($A$1,[1]characters!$1:$1,0)+1,FALSE)</f>
        <v>machine</v>
      </c>
      <c r="X10" s="5" t="str">
        <f ca="1">VLOOKUP(W10,[1]character_tribe_i18n!$A:$H,3,FALSE)</f>
        <v>マシン</v>
      </c>
      <c r="Y10" s="59" t="str">
        <f ca="1">VLOOKUP($A10,OFFSET([1]characters!$A$1,0,0,COUNTA([1]characters!$A:$A),MATCH(Y$1,[1]characters!$1:$1,0)-MATCH($A$1,[1]characters!$1:$1,0)+1),MATCH(Y$1,[1]characters!$1:$1,0)-MATCH($A$1,[1]characters!$1:$1,0)+1,FALSE)</f>
        <v>animal</v>
      </c>
      <c r="Z10" s="5" t="str">
        <f ca="1">VLOOKUP(Y10,[1]character_tribe_i18n!$A:$H,3,FALSE)</f>
        <v>アニマル</v>
      </c>
      <c r="AA10" s="11">
        <f ca="1">VLOOKUP(W10,[1]character_tribe_i18n!$A:$H,4,FALSE)</f>
        <v>1</v>
      </c>
      <c r="AB10" s="11">
        <f ca="1">VLOOKUP(W10,[1]character_tribe_i18n!$A:$H,5,FALSE)</f>
        <v>1</v>
      </c>
      <c r="AC10" s="11">
        <f ca="1">VLOOKUP(W10,[1]character_tribe_i18n!$A:$H,6,FALSE)</f>
        <v>1</v>
      </c>
      <c r="AD10" s="11">
        <f ca="1">VLOOKUP(W10,[1]character_tribe_i18n!$A:$H,7,FALSE)</f>
        <v>1</v>
      </c>
      <c r="AE10" s="9">
        <v>582</v>
      </c>
      <c r="AF10" s="64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空を駆る双鴉 フギンとムニン</v>
      </c>
      <c r="AG10" s="5">
        <f t="shared" ca="1" si="1"/>
        <v>581</v>
      </c>
      <c r="AH10" s="64" t="str">
        <f ca="1">VLOOKUP($AG10,OFFSET([1]characters!$A$1,0,0,COUNTA([1]characters!$A:$A),MATCH(AH$1,[1]characters!$1:$1,0)-MATCH($A$1,[1]characters!$1:$1,0)+1),MATCH(AH$1,[1]characters!$1:$1,0)-MATCH($A$1,[1]characters!$1:$1,0)+1,FALSE)</f>
        <v>フギンとムニン</v>
      </c>
      <c r="AI10" s="11">
        <f ca="1">IF(AE10="NULL","NULL",VLOOKUP(G10,ビット!$A$2:$B$7,2))</f>
        <v>50000</v>
      </c>
      <c r="AJ10" s="6">
        <v>2</v>
      </c>
      <c r="AK10" s="7" t="str">
        <f t="shared" si="10"/>
        <v>普通</v>
      </c>
      <c r="AL10" s="11" t="str">
        <f ca="1">INDEX(経験値!$A$1:$I$20,MATCH(H10,経験値!$A$1:$A$20,FALSE),MATCH(G10,経験値!$A$1:$I$1,FALSE))</f>
        <v>required_exp_200</v>
      </c>
      <c r="AM10" s="8">
        <f ca="1">VLOOKUP(G10,経験値!$A$27:$B$31,2)</f>
        <v>3400</v>
      </c>
      <c r="AN10" s="17">
        <f ca="1">VLOOKUP(G10,ビット!$G$2:$H$7,2)</f>
        <v>600</v>
      </c>
      <c r="AO10" s="46"/>
      <c r="AP10" s="69">
        <v>581</v>
      </c>
      <c r="AQ10" s="59" t="str">
        <f ca="1">VLOOKUP($AP10,OFFSET(unit_skills!$A$1,0,0,COUNTA(unit_skills!$A:$A),MATCH(AQ$1,unit_skills!$1:$1,0)-MATCH($AP$1,unit_skills!$1:$1,0)+1),MATCH(AQ$1,unit_skills!$1:$1,0)-MATCH($AP$1,unit_skills!$1:$1,0)+1,FALSE)</f>
        <v>双賢の黒翅</v>
      </c>
      <c r="AR10" s="59" t="str">
        <f ca="1">VLOOKUP($AP10,OFFSET(unit_skills!$A$1,0,0,COUNTA(unit_skills!$A:$A),MATCH(AR$1,unit_skills!$1:$1,0)-MATCH($AP$1,unit_skills!$1:$1,0)+1),MATCH(AR$1,unit_skills!$1:$1,0)-MATCH($AP$1,unit_skills!$1:$1,0)+1,FALSE)</f>
        <v>時限式ダメージパネルをボムパネル(大)に変換+3ターン青属性の攻撃力を特大UP</v>
      </c>
      <c r="AS10" s="59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2">
        <v>581</v>
      </c>
      <c r="AU10" s="59" t="str">
        <f ca="1">VLOOKUP($AT10,OFFSET(crash_skills!$A$1,0,0,COUNTA(crash_skills!$A:$A),MATCH(AU$1,crash_skills!$1:$1,0)-MATCH($AT$1,crash_skills!$1:$1,0)+1),MATCH(AU$1,crash_skills!$1:$1,0)-MATCH($AT$1,crash_skills!$1:$1,0)+1,FALSE)</f>
        <v>ダブルレイヴン</v>
      </c>
      <c r="AV10" s="59" t="str">
        <f ca="1">VLOOKUP($AT10,OFFSET(crash_skills!$A$1,0,0,COUNTA(crash_skills!$A:$A),MATCH(AV$1,crash_skills!$1:$1,0)-MATCH($AT$1,crash_skills!$1:$1,0)+1),MATCH(AV$1,crash_skills!$1:$1,0)-MATCH($AT$1,crash_skills!$1:$1,0)+1,FALSE)</f>
        <v>マシンに効果大の単体ダメージ_x000D_+アニマルに効果大の単体ダメージ</v>
      </c>
      <c r="AW10" s="59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60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70">
        <v>1</v>
      </c>
      <c r="AZ10" s="70">
        <v>1</v>
      </c>
      <c r="BA10" s="70">
        <v>0</v>
      </c>
      <c r="BB10" s="70">
        <v>1</v>
      </c>
      <c r="BC10" s="11">
        <f ca="1">INDEX('RC6SV'!$A$1:$G$20,MATCH(H10,'RC6SV'!$A$1:$A$20,FALSE),MATCH(G10,'RC6SV'!$A$1:$G$1,FALSE))</f>
        <v>7000</v>
      </c>
      <c r="BD10" s="49">
        <f t="shared" ca="1" si="11"/>
        <v>7000</v>
      </c>
      <c r="BE10" s="11">
        <f t="shared" ca="1" si="4"/>
        <v>0</v>
      </c>
      <c r="BF10" s="11">
        <f t="shared" ca="1" si="5"/>
        <v>1</v>
      </c>
      <c r="BG10" s="16">
        <f ca="1">IF($BE10&lt;=0,ROUND(BK10*0.5,0), ROUND($BE10*S10*AA10*J10*AY10*0.8*[1]ステータス!$B$2,0))</f>
        <v>1575</v>
      </c>
      <c r="BH10" s="16">
        <f ca="1">IF($BE10&lt;=0,ROUND(BL10*0.5,0), ROUND($BE10*T10*AB10*K10*AZ10*0.8*[1]ステータス!$C$2,0))</f>
        <v>926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804</v>
      </c>
      <c r="BK10" s="11">
        <f ca="1">ROUND(BD10*S10*AA10*J10*AY10*[1]ステータス!$B$2,0)</f>
        <v>3150</v>
      </c>
      <c r="BL10" s="11">
        <f ca="1">ROUND(BD10*T10*AB10*K10*AZ10*[1]ステータス!$C$2,0)</f>
        <v>1852</v>
      </c>
      <c r="BM10" s="11">
        <f ca="1">ROUND(BD10*U10*AC10*L10*BA10*[1]ステータス!$D$2,0)</f>
        <v>0</v>
      </c>
      <c r="BN10" s="11">
        <f ca="1">ROUND(BD10*V10*AD10*M10*BB10*[1]ステータス!$E$2,0)</f>
        <v>1607</v>
      </c>
      <c r="BO10" s="10">
        <v>0</v>
      </c>
      <c r="BP10" s="10">
        <v>1</v>
      </c>
      <c r="BQ10" s="10" t="s">
        <v>73</v>
      </c>
      <c r="BR10" s="10">
        <f ca="1">VLOOKUP(H10,ghosts_label!$A$2:$B$19,2,FALSE)</f>
        <v>1</v>
      </c>
    </row>
    <row r="11" spans="1:70" ht="21" customHeight="1" x14ac:dyDescent="0.15">
      <c r="A11" s="12">
        <v>582</v>
      </c>
      <c r="B11" s="59" t="str">
        <f ca="1">VLOOKUP($A11,OFFSET([1]characters!$A$1,0,0,COUNTA([1]characters!$A:$A),MATCH(B$1,[1]characters!$1:$1,0)-MATCH($A$1,[1]characters!$1:$1,0)+1),MATCH(B$1,[1]characters!$1:$1,0)-MATCH($A$1,[1]characters!$1:$1,0)+1,FALSE)</f>
        <v>空を駆る双鴉 フギンとムニン</v>
      </c>
      <c r="C11" s="59" t="str">
        <f ca="1">VLOOKUP($A11,OFFSET([1]characters!$A$1,0,0,COUNTA([1]characters!$A:$A),MATCH(C$1,[1]characters!$1:$1,0)-MATCH($A$1,[1]characters!$1:$1,0)+1),MATCH(C$1,[1]characters!$1:$1,0)-MATCH($A$1,[1]characters!$1:$1,0)+1,FALSE)</f>
        <v>イベント:ウィザード</v>
      </c>
      <c r="D11" s="59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9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9" t="str">
        <f ca="1">VLOOKUP($A11,OFFSET([1]characters!$A$1,0,0,COUNTA([1]characters!$A:$A),MATCH(F$1,[1]characters!$1:$1,0)-MATCH($A$1,[1]characters!$1:$1,0)+1),MATCH(F$1,[1]characters!$1:$1,0)-MATCH($A$1,[1]characters!$1:$1,0)+1,FALSE)</f>
        <v>不明</v>
      </c>
      <c r="G11" s="59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9" t="str">
        <f ca="1">VLOOKUP($A11,OFFSET([1]characters!$A$1,0,0,COUNTA([1]characters!$A:$A),MATCH(H$1,[1]characters!$1:$1,0)-MATCH($A$1,[1]characters!$1:$1,0)+1),MATCH(H$1,[1]characters!$1:$1,0)-MATCH($A$1,[1]characters!$1:$1,0)+1,FALSE)</f>
        <v>DropWizS</v>
      </c>
      <c r="I11" s="59" t="str">
        <f ca="1">VLOOKUP($A11,OFFSET([1]characters!$A$1,0,0,COUNTA([1]characters!$A:$A),MATCH(I$1,[1]characters!$1:$1,0)-MATCH($A$1,[1]characters!$1:$1,0)+1),MATCH(I$1,[1]characters!$1:$1,0)-MATCH($A$1,[1]characters!$1:$1,0)+1,FALSE)</f>
        <v>blue</v>
      </c>
      <c r="J11" s="11">
        <f ca="1">VLOOKUP(I11,[1]属性!$A:$E,2,FALSE)</f>
        <v>1</v>
      </c>
      <c r="K11" s="11">
        <f ca="1">VLOOKUP(I11,[1]属性!$A:$E,3,FALSE)</f>
        <v>0.98</v>
      </c>
      <c r="L11" s="11">
        <f ca="1">VLOOKUP(I11,[1]属性!$A:$E,4,FALSE)</f>
        <v>1</v>
      </c>
      <c r="M11" s="11">
        <f ca="1">VLOOKUP(I11,[1]属性!$A:$E,5,FALSE)</f>
        <v>1.02</v>
      </c>
      <c r="N11" s="11">
        <f ca="1">INDEX(コスト!$A$1:$I$20,MATCH(H11,コスト!$A$1:$A$20,FALSE),MATCH(G11,コスト!$A$1:$I$1,FALSE))</f>
        <v>30</v>
      </c>
      <c r="O11" s="11">
        <f ca="1">INDEX(レベル!$A$1:$I$21,MATCH(H11,レベル!$A$1:$A$21,FALSE),MATCH(G11,レベル!$A$1:$I$1,FALSE))</f>
        <v>80</v>
      </c>
      <c r="P11" s="49">
        <f t="shared" ca="1" si="9"/>
        <v>75</v>
      </c>
      <c r="Q11" s="59" t="str">
        <f ca="1">VLOOKUP($A11,OFFSET([1]characters!$A$1,0,0,COUNTA([1]characters!$A:$A),MATCH(Q$1,[1]characters!$1:$1,0)-MATCH($A$1,[1]characters!$1:$1,0)+1),MATCH(Q$1,[1]characters!$1:$1,0)-MATCH($A$1,[1]characters!$1:$1,0)+1,FALSE)</f>
        <v>technical</v>
      </c>
      <c r="R11" s="5" t="str">
        <f ca="1">VLOOKUP(Q11,[1]character_type_i18n!$A:$H,3,FALSE)</f>
        <v>テクニカルタイプ</v>
      </c>
      <c r="S11" s="11">
        <f ca="1">VLOOKUP(Q11,[1]character_type_i18n!$A:$H,4,FALSE)</f>
        <v>0.9</v>
      </c>
      <c r="T11" s="11">
        <f ca="1">VLOOKUP(Q11,[1]character_type_i18n!$A:$H,5,FALSE)</f>
        <v>0.9</v>
      </c>
      <c r="U11" s="11">
        <f ca="1">VLOOKUP(Q11,[1]character_type_i18n!$A:$H,6,FALSE)</f>
        <v>1</v>
      </c>
      <c r="V11" s="11">
        <f ca="1">VLOOKUP(Q11,[1]character_type_i18n!$A:$H,7,FALSE)</f>
        <v>0.9</v>
      </c>
      <c r="W11" s="59" t="str">
        <f ca="1">VLOOKUP($A11,OFFSET([1]characters!$A$1,0,0,COUNTA([1]characters!$A:$A),MATCH(W$1,[1]characters!$1:$1,0)-MATCH($A$1,[1]characters!$1:$1,0)+1),MATCH(W$1,[1]characters!$1:$1,0)-MATCH($A$1,[1]characters!$1:$1,0)+1,FALSE)</f>
        <v>machine</v>
      </c>
      <c r="X11" s="5" t="str">
        <f ca="1">VLOOKUP(W11,[1]character_tribe_i18n!$A:$H,3,FALSE)</f>
        <v>マシン</v>
      </c>
      <c r="Y11" s="59" t="str">
        <f ca="1">VLOOKUP($A11,OFFSET([1]characters!$A$1,0,0,COUNTA([1]characters!$A:$A),MATCH(Y$1,[1]characters!$1:$1,0)-MATCH($A$1,[1]characters!$1:$1,0)+1),MATCH(Y$1,[1]characters!$1:$1,0)-MATCH($A$1,[1]characters!$1:$1,0)+1,FALSE)</f>
        <v>animal</v>
      </c>
      <c r="Z11" s="5" t="str">
        <f ca="1">VLOOKUP(Y11,[1]character_tribe_i18n!$A:$H,3,FALSE)</f>
        <v>アニマル</v>
      </c>
      <c r="AA11" s="11">
        <f ca="1">VLOOKUP(W11,[1]character_tribe_i18n!$A:$H,4,FALSE)</f>
        <v>1</v>
      </c>
      <c r="AB11" s="11">
        <f ca="1">VLOOKUP(W11,[1]character_tribe_i18n!$A:$H,5,FALSE)</f>
        <v>1</v>
      </c>
      <c r="AC11" s="11">
        <f ca="1">VLOOKUP(W11,[1]character_tribe_i18n!$A:$H,6,FALSE)</f>
        <v>1</v>
      </c>
      <c r="AD11" s="11">
        <f ca="1">VLOOKUP(W11,[1]character_tribe_i18n!$A:$H,7,FALSE)</f>
        <v>1</v>
      </c>
      <c r="AE11" s="9" t="s">
        <v>216</v>
      </c>
      <c r="AF11" s="64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f t="shared" ca="1" si="1"/>
        <v>581</v>
      </c>
      <c r="AH11" s="64" t="str">
        <f ca="1">VLOOKUP($AG11,OFFSET([1]characters!$A$1,0,0,COUNTA([1]characters!$A:$A),MATCH(AH$1,[1]characters!$1:$1,0)-MATCH($A$1,[1]characters!$1:$1,0)+1),MATCH(AH$1,[1]characters!$1:$1,0)-MATCH($A$1,[1]characters!$1:$1,0)+1,FALSE)</f>
        <v>フギンとムニン</v>
      </c>
      <c r="AI11" s="11" t="str">
        <f>IF(AE11="NULL","NULL",VLOOKUP(G11,ビット!$A$2:$B$7,2))</f>
        <v>NULL</v>
      </c>
      <c r="AJ11" s="6">
        <v>2</v>
      </c>
      <c r="AK11" s="7" t="str">
        <f t="shared" si="10"/>
        <v>普通</v>
      </c>
      <c r="AL11" s="11" t="str">
        <f ca="1">INDEX(経験値!$A$1:$I$20,MATCH(H11,経験値!$A$1:$A$20,FALSE),MATCH(G11,経験値!$A$1:$I$1,FALSE))</f>
        <v>required_exp_200</v>
      </c>
      <c r="AM11" s="8">
        <f ca="1">VLOOKUP(G11,経験値!$A$27:$B$31,2)</f>
        <v>6400</v>
      </c>
      <c r="AN11" s="17">
        <f ca="1">VLOOKUP(G11,ビット!$G$2:$H$7,2)</f>
        <v>900</v>
      </c>
      <c r="AO11" s="46"/>
      <c r="AP11" s="69">
        <v>582</v>
      </c>
      <c r="AQ11" s="59" t="str">
        <f ca="1">VLOOKUP($AP11,OFFSET(unit_skills!$A$1,0,0,COUNTA(unit_skills!$A:$A),MATCH(AQ$1,unit_skills!$1:$1,0)-MATCH($AP$1,unit_skills!$1:$1,0)+1),MATCH(AQ$1,unit_skills!$1:$1,0)-MATCH($AP$1,unit_skills!$1:$1,0)+1,FALSE)</f>
        <v>双賢の黒翅</v>
      </c>
      <c r="AR11" s="59" t="str">
        <f ca="1">VLOOKUP($AP11,OFFSET(unit_skills!$A$1,0,0,COUNTA(unit_skills!$A:$A),MATCH(AR$1,unit_skills!$1:$1,0)-MATCH($AP$1,unit_skills!$1:$1,0)+1),MATCH(AR$1,unit_skills!$1:$1,0)-MATCH($AP$1,unit_skills!$1:$1,0)+1,FALSE)</f>
        <v>時限式ダメージパネルをボムパネル(大)に変換+3ターン青属性の攻撃力を特大UP</v>
      </c>
      <c r="AS11" s="59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2">
        <v>582</v>
      </c>
      <c r="AU11" s="59" t="str">
        <f ca="1">VLOOKUP($AT11,OFFSET(crash_skills!$A$1,0,0,COUNTA(crash_skills!$A:$A),MATCH(AU$1,crash_skills!$1:$1,0)-MATCH($AT$1,crash_skills!$1:$1,0)+1),MATCH(AU$1,crash_skills!$1:$1,0)-MATCH($AT$1,crash_skills!$1:$1,0)+1,FALSE)</f>
        <v>ダブルレイヴン</v>
      </c>
      <c r="AV11" s="59" t="str">
        <f ca="1">VLOOKUP($AT11,OFFSET(crash_skills!$A$1,0,0,COUNTA(crash_skills!$A:$A),MATCH(AV$1,crash_skills!$1:$1,0)-MATCH($AT$1,crash_skills!$1:$1,0)+1),MATCH(AV$1,crash_skills!$1:$1,0)-MATCH($AT$1,crash_skills!$1:$1,0)+1,FALSE)</f>
        <v>マシンに効果大の単体ダメージ_x000D_+アニマルに効果大の単体ダメージ</v>
      </c>
      <c r="AW11" s="59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60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70">
        <v>1</v>
      </c>
      <c r="AZ11" s="70">
        <v>1.4</v>
      </c>
      <c r="BA11" s="70">
        <v>0</v>
      </c>
      <c r="BB11" s="70">
        <v>1</v>
      </c>
      <c r="BC11" s="11">
        <f ca="1">INDEX('RC6SV'!$A$1:$G$20,MATCH(H11,'RC6SV'!$A$1:$A$20,FALSE),MATCH(G11,'RC6SV'!$A$1:$G$1,FALSE))</f>
        <v>9000</v>
      </c>
      <c r="BD11" s="49">
        <f t="shared" ca="1" si="11"/>
        <v>9000</v>
      </c>
      <c r="BE11" s="11">
        <f t="shared" ca="1" si="4"/>
        <v>7000</v>
      </c>
      <c r="BF11" s="11">
        <f t="shared" ca="1" si="5"/>
        <v>1</v>
      </c>
      <c r="BG11" s="16">
        <f ca="1">IF($BE11&lt;=0,ROUND(BK11*0.5,0), ROUND($BE11*S11*AA11*J11*AY11*0.8*[1]ステータス!$B$2,0))</f>
        <v>2520</v>
      </c>
      <c r="BH11" s="16">
        <f ca="1">IF($BE11&lt;=0,ROUND(BL11*0.5,0), ROUND($BE11*T11*AB11*K11*AZ11*0.8*[1]ステータス!$C$2,0))</f>
        <v>2074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1285</v>
      </c>
      <c r="BK11" s="11">
        <f ca="1">ROUND(BD11*S11*AA11*J11*AY11*[1]ステータス!$B$2,0)</f>
        <v>4050</v>
      </c>
      <c r="BL11" s="11">
        <f ca="1">ROUND(BD11*T11*AB11*K11*AZ11*[1]ステータス!$C$2,0)</f>
        <v>3334</v>
      </c>
      <c r="BM11" s="11">
        <f ca="1">ROUND(BD11*U11*AC11*L11*BA11*[1]ステータス!$D$2,0)</f>
        <v>0</v>
      </c>
      <c r="BN11" s="11">
        <f ca="1">ROUND(BD11*V11*AD11*M11*BB11*[1]ステータス!$E$2,0)</f>
        <v>2066</v>
      </c>
      <c r="BO11" s="10">
        <v>0</v>
      </c>
      <c r="BP11" s="10">
        <v>1</v>
      </c>
      <c r="BQ11" s="10" t="s">
        <v>73</v>
      </c>
      <c r="BR11" s="10">
        <f ca="1">VLOOKUP(H11,ghosts_label!$A$2:$B$19,2,FALSE)</f>
        <v>1</v>
      </c>
    </row>
    <row r="12" spans="1:70" ht="21" customHeight="1" x14ac:dyDescent="0.15">
      <c r="A12" s="12">
        <v>583</v>
      </c>
      <c r="B12" s="59" t="str">
        <f ca="1">VLOOKUP($A12,OFFSET([1]characters!$A$1,0,0,COUNTA([1]characters!$A:$A),MATCH(B$1,[1]characters!$1:$1,0)-MATCH($A$1,[1]characters!$1:$1,0)+1),MATCH(B$1,[1]characters!$1:$1,0)-MATCH($A$1,[1]characters!$1:$1,0)+1,FALSE)</f>
        <v>ミョルニル</v>
      </c>
      <c r="C12" s="59" t="str">
        <f ca="1">VLOOKUP($A12,OFFSET([1]characters!$A$1,0,0,COUNTA([1]characters!$A:$A),MATCH(C$1,[1]characters!$1:$1,0)-MATCH($A$1,[1]characters!$1:$1,0)+1),MATCH(C$1,[1]characters!$1:$1,0)-MATCH($A$1,[1]characters!$1:$1,0)+1,FALSE)</f>
        <v>イベント:北欧01</v>
      </c>
      <c r="D12" s="59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9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9" t="str">
        <f ca="1">VLOOKUP($A12,OFFSET([1]characters!$A$1,0,0,COUNTA([1]characters!$A:$A),MATCH(F$1,[1]characters!$1:$1,0)-MATCH($A$1,[1]characters!$1:$1,0)+1),MATCH(F$1,[1]characters!$1:$1,0)-MATCH($A$1,[1]characters!$1:$1,0)+1,FALSE)</f>
        <v>不明</v>
      </c>
      <c r="G12" s="59">
        <f ca="1">VLOOKUP($A12,OFFSET([1]characters!$A$1,0,0,COUNTA([1]characters!$A:$A),MATCH(G$1,[1]characters!$1:$1,0)-MATCH($A$1,[1]characters!$1:$1,0)+1),MATCH(G$1,[1]characters!$1:$1,0)-MATCH($A$1,[1]characters!$1:$1,0)+1,FALSE)</f>
        <v>4</v>
      </c>
      <c r="H12" s="59" t="str">
        <f ca="1">VLOOKUP($A12,OFFSET([1]characters!$A$1,0,0,COUNTA([1]characters!$A:$A),MATCH(H$1,[1]characters!$1:$1,0)-MATCH($A$1,[1]characters!$1:$1,0)+1),MATCH(H$1,[1]characters!$1:$1,0)-MATCH($A$1,[1]characters!$1:$1,0)+1,FALSE)</f>
        <v>Drop2N</v>
      </c>
      <c r="I12" s="59" t="str">
        <f ca="1">VLOOKUP($A12,OFFSET([1]characters!$A$1,0,0,COUNTA([1]characters!$A:$A),MATCH(I$1,[1]characters!$1:$1,0)-MATCH($A$1,[1]characters!$1:$1,0)+1),MATCH(I$1,[1]characters!$1:$1,0)-MATCH($A$1,[1]characters!$1:$1,0)+1,FALSE)</f>
        <v>yellow</v>
      </c>
      <c r="J12" s="11">
        <f ca="1">VLOOKUP(I12,[1]属性!$A:$E,2,FALSE)</f>
        <v>0.98</v>
      </c>
      <c r="K12" s="11">
        <f ca="1">VLOOKUP(I12,[1]属性!$A:$E,3,FALSE)</f>
        <v>1.01</v>
      </c>
      <c r="L12" s="11">
        <f ca="1">VLOOKUP(I12,[1]属性!$A:$E,4,FALSE)</f>
        <v>1</v>
      </c>
      <c r="M12" s="11">
        <f ca="1">VLOOKUP(I12,[1]属性!$A:$E,5,FALSE)</f>
        <v>1.01</v>
      </c>
      <c r="N12" s="11">
        <f ca="1">INDEX(コスト!$A$1:$I$20,MATCH(H12,コスト!$A$1:$A$20,FALSE),MATCH(G12,コスト!$A$1:$I$1,FALSE))</f>
        <v>17</v>
      </c>
      <c r="O12" s="11">
        <f ca="1">INDEX(レベル!$A$1:$I$21,MATCH(H12,レベル!$A$1:$A$21,FALSE),MATCH(G12,レベル!$A$1:$I$1,FALSE))</f>
        <v>60</v>
      </c>
      <c r="P12" s="49">
        <f t="shared" ca="1" si="9"/>
        <v>60</v>
      </c>
      <c r="Q12" s="59" t="str">
        <f ca="1">VLOOKUP($A12,OFFSET([1]characters!$A$1,0,0,COUNTA([1]characters!$A:$A),MATCH(Q$1,[1]characters!$1:$1,0)-MATCH($A$1,[1]characters!$1:$1,0)+1),MATCH(Q$1,[1]characters!$1:$1,0)-MATCH($A$1,[1]characters!$1:$1,0)+1,FALSE)</f>
        <v>attack</v>
      </c>
      <c r="R12" s="5" t="str">
        <f ca="1">VLOOKUP(Q12,[1]character_type_i18n!$A:$H,3,FALSE)</f>
        <v>攻撃タイプ</v>
      </c>
      <c r="S12" s="11">
        <f ca="1">VLOOKUP(Q12,[1]character_type_i18n!$A:$H,4,FALSE)</f>
        <v>1</v>
      </c>
      <c r="T12" s="11">
        <f ca="1">VLOOKUP(Q12,[1]character_type_i18n!$A:$H,5,FALSE)</f>
        <v>1.33</v>
      </c>
      <c r="U12" s="11">
        <f ca="1">VLOOKUP(Q12,[1]character_type_i18n!$A:$H,6,FALSE)</f>
        <v>1</v>
      </c>
      <c r="V12" s="11">
        <f ca="1">VLOOKUP(Q12,[1]character_type_i18n!$A:$H,7,FALSE)</f>
        <v>0.67</v>
      </c>
      <c r="W12" s="59" t="str">
        <f ca="1">VLOOKUP($A12,OFFSET([1]characters!$A$1,0,0,COUNTA([1]characters!$A:$A),MATCH(W$1,[1]characters!$1:$1,0)-MATCH($A$1,[1]characters!$1:$1,0)+1),MATCH(W$1,[1]characters!$1:$1,0)-MATCH($A$1,[1]characters!$1:$1,0)+1,FALSE)</f>
        <v>machine</v>
      </c>
      <c r="X12" s="5" t="str">
        <f ca="1">VLOOKUP(W12,[1]character_tribe_i18n!$A:$H,3,FALSE)</f>
        <v>マシン</v>
      </c>
      <c r="Y12" s="59" t="str">
        <f ca="1">VLOOKUP($A12,OFFSET([1]characters!$A$1,0,0,COUNTA([1]characters!$A:$A),MATCH(Y$1,[1]characters!$1:$1,0)-MATCH($A$1,[1]characters!$1:$1,0)+1),MATCH(Y$1,[1]characters!$1:$1,0)-MATCH($A$1,[1]characters!$1:$1,0)+1,FALSE)</f>
        <v>none</v>
      </c>
      <c r="Z12" s="5" t="str">
        <f ca="1">VLOOKUP(Y12,[1]character_tribe_i18n!$A:$H,3,FALSE)</f>
        <v>種族なし</v>
      </c>
      <c r="AA12" s="11">
        <f ca="1">VLOOKUP(W12,[1]character_tribe_i18n!$A:$H,4,FALSE)</f>
        <v>1</v>
      </c>
      <c r="AB12" s="11">
        <f ca="1">VLOOKUP(W12,[1]character_tribe_i18n!$A:$H,5,FALSE)</f>
        <v>1</v>
      </c>
      <c r="AC12" s="11">
        <f ca="1">VLOOKUP(W12,[1]character_tribe_i18n!$A:$H,6,FALSE)</f>
        <v>1</v>
      </c>
      <c r="AD12" s="11">
        <f ca="1">VLOOKUP(W12,[1]character_tribe_i18n!$A:$H,7,FALSE)</f>
        <v>1</v>
      </c>
      <c r="AE12" s="9">
        <v>584</v>
      </c>
      <c r="AF12" s="64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>自律する召雷鎚 ミョルニル</v>
      </c>
      <c r="AG12" s="5">
        <f t="shared" ca="1" si="1"/>
        <v>583</v>
      </c>
      <c r="AH12" s="64" t="str">
        <f ca="1">VLOOKUP($AG12,OFFSET([1]characters!$A$1,0,0,COUNTA([1]characters!$A:$A),MATCH(AH$1,[1]characters!$1:$1,0)-MATCH($A$1,[1]characters!$1:$1,0)+1),MATCH(AH$1,[1]characters!$1:$1,0)-MATCH($A$1,[1]characters!$1:$1,0)+1,FALSE)</f>
        <v>ミョルニル</v>
      </c>
      <c r="AI12" s="11">
        <f ca="1">IF(AE12="NULL","NULL",VLOOKUP(G12,ビット!$A$2:$B$7,2))</f>
        <v>50000</v>
      </c>
      <c r="AJ12" s="6">
        <v>2</v>
      </c>
      <c r="AK12" s="7" t="str">
        <f t="shared" si="10"/>
        <v>普通</v>
      </c>
      <c r="AL12" s="11" t="str">
        <f ca="1">INDEX(経験値!$A$1:$I$20,MATCH(H12,経験値!$A$1:$A$20,FALSE),MATCH(G12,経験値!$A$1:$I$1,FALSE))</f>
        <v>required_exp_200</v>
      </c>
      <c r="AM12" s="8">
        <f ca="1">VLOOKUP(G12,経験値!$A$27:$B$31,2)</f>
        <v>3400</v>
      </c>
      <c r="AN12" s="17">
        <f ca="1">VLOOKUP(G12,ビット!$G$2:$H$7,2)</f>
        <v>600</v>
      </c>
      <c r="AO12" s="46"/>
      <c r="AP12" s="69">
        <v>583</v>
      </c>
      <c r="AQ12" s="59" t="str">
        <f ca="1">VLOOKUP($AP12,OFFSET(unit_skills!$A$1,0,0,COUNTA(unit_skills!$A:$A),MATCH(AQ$1,unit_skills!$1:$1,0)-MATCH($AP$1,unit_skills!$1:$1,0)+1),MATCH(AQ$1,unit_skills!$1:$1,0)-MATCH($AP$1,unit_skills!$1:$1,0)+1,FALSE)</f>
        <v>迅雷の神鎚</v>
      </c>
      <c r="AR12" s="59" t="str">
        <f ca="1">VLOOKUP($AP12,OFFSET(unit_skills!$A$1,0,0,COUNTA(unit_skills!$A:$A),MATCH(AR$1,unit_skills!$1:$1,0)-MATCH($AP$1,unit_skills!$1:$1,0)+1),MATCH(AR$1,unit_skills!$1:$1,0)-MATCH($AP$1,unit_skills!$1:$1,0)+1,FALSE)</f>
        <v>3ターン黄属性のタップ回数を1増やし、攻撃力を特大UP</v>
      </c>
      <c r="AS12" s="59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42">
        <v>583</v>
      </c>
      <c r="AU12" s="59" t="str">
        <f ca="1">VLOOKUP($AT12,OFFSET(crash_skills!$A$1,0,0,COUNTA(crash_skills!$A:$A),MATCH(AU$1,crash_skills!$1:$1,0)-MATCH($AT$1,crash_skills!$1:$1,0)+1),MATCH(AU$1,crash_skills!$1:$1,0)-MATCH($AT$1,crash_skills!$1:$1,0)+1,FALSE)</f>
        <v>粉砕せし雷鎚</v>
      </c>
      <c r="AV12" s="59" t="str">
        <f ca="1">VLOOKUP($AT12,OFFSET(crash_skills!$A$1,0,0,COUNTA(crash_skills!$A:$A),MATCH(AV$1,crash_skills!$1:$1,0)-MATCH($AT$1,crash_skills!$1:$1,0)+1),MATCH(AV$1,crash_skills!$1:$1,0)-MATCH($AT$1,crash_skills!$1:$1,0)+1,FALSE)</f>
        <v>1体に大ダメージ</v>
      </c>
      <c r="AW12" s="59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60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70">
        <v>1</v>
      </c>
      <c r="AZ12" s="70">
        <v>1.1200000000000001</v>
      </c>
      <c r="BA12" s="70">
        <v>0</v>
      </c>
      <c r="BB12" s="70">
        <v>1</v>
      </c>
      <c r="BC12" s="11">
        <f ca="1">INDEX('RC6SV'!$A$1:$G$20,MATCH(H12,'RC6SV'!$A$1:$A$20,FALSE),MATCH(G12,'RC6SV'!$A$1:$G$1,FALSE))</f>
        <v>5800</v>
      </c>
      <c r="BD12" s="49">
        <f t="shared" ca="1" si="11"/>
        <v>5800</v>
      </c>
      <c r="BE12" s="11">
        <f t="shared" ca="1" si="4"/>
        <v>0</v>
      </c>
      <c r="BF12" s="11">
        <f t="shared" ca="1" si="5"/>
        <v>1</v>
      </c>
      <c r="BG12" s="16">
        <f ca="1">IF($BE12&lt;=0,ROUND(BK12*0.5,0), ROUND($BE12*S12*AA12*J12*AY12*0.8*[1]ステータス!$B$2,0))</f>
        <v>1421</v>
      </c>
      <c r="BH12" s="16">
        <f ca="1">IF($BE12&lt;=0,ROUND(BL12*0.5,0), ROUND($BE12*T12*AB12*K12*AZ12*0.8*[1]ステータス!$C$2,0))</f>
        <v>1309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491</v>
      </c>
      <c r="BK12" s="11">
        <f ca="1">ROUND(BD12*S12*AA12*J12*AY12*[1]ステータス!$B$2,0)</f>
        <v>2842</v>
      </c>
      <c r="BL12" s="11">
        <f ca="1">ROUND(BD12*T12*AB12*K12*AZ12*[1]ステータス!$C$2,0)</f>
        <v>2618</v>
      </c>
      <c r="BM12" s="11">
        <f ca="1">ROUND(BD12*U12*AC12*L12*BA12*[1]ステータス!$D$2,0)</f>
        <v>0</v>
      </c>
      <c r="BN12" s="11">
        <f ca="1">ROUND(BD12*V12*AD12*M12*BB12*[1]ステータス!$E$2,0)</f>
        <v>981</v>
      </c>
      <c r="BO12" s="10">
        <v>0</v>
      </c>
      <c r="BP12" s="10">
        <v>1</v>
      </c>
      <c r="BQ12" s="10" t="s">
        <v>73</v>
      </c>
      <c r="BR12" s="10">
        <f ca="1">VLOOKUP(H12,ghosts_label!$A$2:$B$19,2,FALSE)</f>
        <v>1</v>
      </c>
    </row>
    <row r="13" spans="1:70" ht="21" customHeight="1" x14ac:dyDescent="0.15">
      <c r="A13" s="12">
        <v>584</v>
      </c>
      <c r="B13" s="59" t="str">
        <f ca="1">VLOOKUP($A13,OFFSET([1]characters!$A$1,0,0,COUNTA([1]characters!$A:$A),MATCH(B$1,[1]characters!$1:$1,0)-MATCH($A$1,[1]characters!$1:$1,0)+1),MATCH(B$1,[1]characters!$1:$1,0)-MATCH($A$1,[1]characters!$1:$1,0)+1,FALSE)</f>
        <v>自律する召雷鎚 ミョルニル</v>
      </c>
      <c r="C13" s="59" t="str">
        <f ca="1">VLOOKUP($A13,OFFSET([1]characters!$A$1,0,0,COUNTA([1]characters!$A:$A),MATCH(C$1,[1]characters!$1:$1,0)-MATCH($A$1,[1]characters!$1:$1,0)+1),MATCH(C$1,[1]characters!$1:$1,0)-MATCH($A$1,[1]characters!$1:$1,0)+1,FALSE)</f>
        <v>イベント:北欧01</v>
      </c>
      <c r="D13" s="59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9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9" t="str">
        <f ca="1">VLOOKUP($A13,OFFSET([1]characters!$A$1,0,0,COUNTA([1]characters!$A:$A),MATCH(F$1,[1]characters!$1:$1,0)-MATCH($A$1,[1]characters!$1:$1,0)+1),MATCH(F$1,[1]characters!$1:$1,0)-MATCH($A$1,[1]characters!$1:$1,0)+1,FALSE)</f>
        <v>不明</v>
      </c>
      <c r="G13" s="59">
        <f ca="1">VLOOKUP($A13,OFFSET([1]characters!$A$1,0,0,COUNTA([1]characters!$A:$A),MATCH(G$1,[1]characters!$1:$1,0)-MATCH($A$1,[1]characters!$1:$1,0)+1),MATCH(G$1,[1]characters!$1:$1,0)-MATCH($A$1,[1]characters!$1:$1,0)+1,FALSE)</f>
        <v>5</v>
      </c>
      <c r="H13" s="59" t="str">
        <f ca="1">VLOOKUP($A13,OFFSET([1]characters!$A$1,0,0,COUNTA([1]characters!$A:$A),MATCH(H$1,[1]characters!$1:$1,0)-MATCH($A$1,[1]characters!$1:$1,0)+1),MATCH(H$1,[1]characters!$1:$1,0)-MATCH($A$1,[1]characters!$1:$1,0)+1,FALSE)</f>
        <v>Drop2N</v>
      </c>
      <c r="I13" s="59" t="str">
        <f ca="1">VLOOKUP($A13,OFFSET([1]characters!$A$1,0,0,COUNTA([1]characters!$A:$A),MATCH(I$1,[1]characters!$1:$1,0)-MATCH($A$1,[1]characters!$1:$1,0)+1),MATCH(I$1,[1]characters!$1:$1,0)-MATCH($A$1,[1]characters!$1:$1,0)+1,FALSE)</f>
        <v>yellow</v>
      </c>
      <c r="J13" s="11">
        <f ca="1">VLOOKUP(I13,[1]属性!$A:$E,2,FALSE)</f>
        <v>0.98</v>
      </c>
      <c r="K13" s="11">
        <f ca="1">VLOOKUP(I13,[1]属性!$A:$E,3,FALSE)</f>
        <v>1.01</v>
      </c>
      <c r="L13" s="11">
        <f ca="1">VLOOKUP(I13,[1]属性!$A:$E,4,FALSE)</f>
        <v>1</v>
      </c>
      <c r="M13" s="11">
        <f ca="1">VLOOKUP(I13,[1]属性!$A:$E,5,FALSE)</f>
        <v>1.01</v>
      </c>
      <c r="N13" s="11">
        <f ca="1">INDEX(コスト!$A$1:$I$20,MATCH(H13,コスト!$A$1:$A$20,FALSE),MATCH(G13,コスト!$A$1:$I$1,FALSE))</f>
        <v>26</v>
      </c>
      <c r="O13" s="11">
        <f ca="1">INDEX(レベル!$A$1:$I$21,MATCH(H13,レベル!$A$1:$A$21,FALSE),MATCH(G13,レベル!$A$1:$I$1,FALSE))</f>
        <v>80</v>
      </c>
      <c r="P13" s="49">
        <f t="shared" ca="1" si="9"/>
        <v>75</v>
      </c>
      <c r="Q13" s="59" t="str">
        <f ca="1">VLOOKUP($A13,OFFSET([1]characters!$A$1,0,0,COUNTA([1]characters!$A:$A),MATCH(Q$1,[1]characters!$1:$1,0)-MATCH($A$1,[1]characters!$1:$1,0)+1),MATCH(Q$1,[1]characters!$1:$1,0)-MATCH($A$1,[1]characters!$1:$1,0)+1,FALSE)</f>
        <v>attack</v>
      </c>
      <c r="R13" s="5" t="str">
        <f ca="1">VLOOKUP(Q13,[1]character_type_i18n!$A:$H,3,FALSE)</f>
        <v>攻撃タイプ</v>
      </c>
      <c r="S13" s="11">
        <f ca="1">VLOOKUP(Q13,[1]character_type_i18n!$A:$H,4,FALSE)</f>
        <v>1</v>
      </c>
      <c r="T13" s="11">
        <f ca="1">VLOOKUP(Q13,[1]character_type_i18n!$A:$H,5,FALSE)</f>
        <v>1.33</v>
      </c>
      <c r="U13" s="11">
        <f ca="1">VLOOKUP(Q13,[1]character_type_i18n!$A:$H,6,FALSE)</f>
        <v>1</v>
      </c>
      <c r="V13" s="11">
        <f ca="1">VLOOKUP(Q13,[1]character_type_i18n!$A:$H,7,FALSE)</f>
        <v>0.67</v>
      </c>
      <c r="W13" s="59" t="str">
        <f ca="1">VLOOKUP($A13,OFFSET([1]characters!$A$1,0,0,COUNTA([1]characters!$A:$A),MATCH(W$1,[1]characters!$1:$1,0)-MATCH($A$1,[1]characters!$1:$1,0)+1),MATCH(W$1,[1]characters!$1:$1,0)-MATCH($A$1,[1]characters!$1:$1,0)+1,FALSE)</f>
        <v>machine</v>
      </c>
      <c r="X13" s="5" t="str">
        <f ca="1">VLOOKUP(W13,[1]character_tribe_i18n!$A:$H,3,FALSE)</f>
        <v>マシン</v>
      </c>
      <c r="Y13" s="59" t="str">
        <f ca="1">VLOOKUP($A13,OFFSET([1]characters!$A$1,0,0,COUNTA([1]characters!$A:$A),MATCH(Y$1,[1]characters!$1:$1,0)-MATCH($A$1,[1]characters!$1:$1,0)+1),MATCH(Y$1,[1]characters!$1:$1,0)-MATCH($A$1,[1]characters!$1:$1,0)+1,FALSE)</f>
        <v>none</v>
      </c>
      <c r="Z13" s="5" t="str">
        <f ca="1">VLOOKUP(Y13,[1]character_tribe_i18n!$A:$H,3,FALSE)</f>
        <v>種族なし</v>
      </c>
      <c r="AA13" s="11">
        <f ca="1">VLOOKUP(W13,[1]character_tribe_i18n!$A:$H,4,FALSE)</f>
        <v>1</v>
      </c>
      <c r="AB13" s="11">
        <f ca="1">VLOOKUP(W13,[1]character_tribe_i18n!$A:$H,5,FALSE)</f>
        <v>1</v>
      </c>
      <c r="AC13" s="11">
        <f ca="1">VLOOKUP(W13,[1]character_tribe_i18n!$A:$H,6,FALSE)</f>
        <v>1</v>
      </c>
      <c r="AD13" s="11">
        <f ca="1">VLOOKUP(W13,[1]character_tribe_i18n!$A:$H,7,FALSE)</f>
        <v>1</v>
      </c>
      <c r="AE13" s="9" t="s">
        <v>216</v>
      </c>
      <c r="AF13" s="64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5">
        <f t="shared" ca="1" si="1"/>
        <v>583</v>
      </c>
      <c r="AH13" s="64" t="str">
        <f ca="1">VLOOKUP($AG13,OFFSET([1]characters!$A$1,0,0,COUNTA([1]characters!$A:$A),MATCH(AH$1,[1]characters!$1:$1,0)-MATCH($A$1,[1]characters!$1:$1,0)+1),MATCH(AH$1,[1]characters!$1:$1,0)-MATCH($A$1,[1]characters!$1:$1,0)+1,FALSE)</f>
        <v>ミョルニル</v>
      </c>
      <c r="AI13" s="11" t="str">
        <f>IF(AE13="NULL","NULL",VLOOKUP(G13,ビット!$A$2:$B$7,2))</f>
        <v>NULL</v>
      </c>
      <c r="AJ13" s="6">
        <v>2</v>
      </c>
      <c r="AK13" s="7" t="str">
        <f t="shared" si="10"/>
        <v>普通</v>
      </c>
      <c r="AL13" s="11" t="str">
        <f ca="1">INDEX(経験値!$A$1:$I$20,MATCH(H13,経験値!$A$1:$A$20,FALSE),MATCH(G13,経験値!$A$1:$I$1,FALSE))</f>
        <v>required_exp_200</v>
      </c>
      <c r="AM13" s="8">
        <f ca="1">VLOOKUP(G13,経験値!$A$27:$B$31,2)</f>
        <v>6400</v>
      </c>
      <c r="AN13" s="17">
        <f ca="1">VLOOKUP(G13,ビット!$G$2:$H$7,2)</f>
        <v>900</v>
      </c>
      <c r="AO13" s="46"/>
      <c r="AP13" s="69">
        <v>584</v>
      </c>
      <c r="AQ13" s="59" t="str">
        <f ca="1">VLOOKUP($AP13,OFFSET(unit_skills!$A$1,0,0,COUNTA(unit_skills!$A:$A),MATCH(AQ$1,unit_skills!$1:$1,0)-MATCH($AP$1,unit_skills!$1:$1,0)+1),MATCH(AQ$1,unit_skills!$1:$1,0)-MATCH($AP$1,unit_skills!$1:$1,0)+1,FALSE)</f>
        <v>迅雷の神鎚</v>
      </c>
      <c r="AR13" s="59" t="str">
        <f ca="1">VLOOKUP($AP13,OFFSET(unit_skills!$A$1,0,0,COUNTA(unit_skills!$A:$A),MATCH(AR$1,unit_skills!$1:$1,0)-MATCH($AP$1,unit_skills!$1:$1,0)+1),MATCH(AR$1,unit_skills!$1:$1,0)-MATCH($AP$1,unit_skills!$1:$1,0)+1,FALSE)</f>
        <v>3ターン黄属性のタップ回数を1増やし、攻撃力を特大UP</v>
      </c>
      <c r="AS13" s="59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42">
        <v>584</v>
      </c>
      <c r="AU13" s="59" t="str">
        <f ca="1">VLOOKUP($AT13,OFFSET(crash_skills!$A$1,0,0,COUNTA(crash_skills!$A:$A),MATCH(AU$1,crash_skills!$1:$1,0)-MATCH($AT$1,crash_skills!$1:$1,0)+1),MATCH(AU$1,crash_skills!$1:$1,0)-MATCH($AT$1,crash_skills!$1:$1,0)+1,FALSE)</f>
        <v>粉砕せし雷鎚</v>
      </c>
      <c r="AV13" s="59" t="str">
        <f ca="1">VLOOKUP($AT13,OFFSET(crash_skills!$A$1,0,0,COUNTA(crash_skills!$A:$A),MATCH(AV$1,crash_skills!$1:$1,0)-MATCH($AT$1,crash_skills!$1:$1,0)+1),MATCH(AV$1,crash_skills!$1:$1,0)-MATCH($AT$1,crash_skills!$1:$1,0)+1,FALSE)</f>
        <v>1体に大ダメージ</v>
      </c>
      <c r="AW13" s="59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60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70">
        <v>1</v>
      </c>
      <c r="AZ13" s="70">
        <v>1.1200000000000001</v>
      </c>
      <c r="BA13" s="70">
        <v>0</v>
      </c>
      <c r="BB13" s="70">
        <v>1</v>
      </c>
      <c r="BC13" s="11">
        <f ca="1">INDEX('RC6SV'!$A$1:$G$20,MATCH(H13,'RC6SV'!$A$1:$A$20,FALSE),MATCH(G13,'RC6SV'!$A$1:$G$1,FALSE))</f>
        <v>7600</v>
      </c>
      <c r="BD13" s="49">
        <f t="shared" ca="1" si="11"/>
        <v>7600</v>
      </c>
      <c r="BE13" s="11">
        <f t="shared" ca="1" si="4"/>
        <v>5800</v>
      </c>
      <c r="BF13" s="11">
        <f t="shared" ca="1" si="5"/>
        <v>1</v>
      </c>
      <c r="BG13" s="16">
        <f ca="1">IF($BE13&lt;=0,ROUND(BK13*0.5,0), ROUND($BE13*S13*AA13*J13*AY13*0.8*[1]ステータス!$B$2,0))</f>
        <v>2274</v>
      </c>
      <c r="BH13" s="16">
        <f ca="1">IF($BE13&lt;=0,ROUND(BL13*0.5,0), ROUND($BE13*T13*AB13*K13*AZ13*0.8*[1]ステータス!$C$2,0))</f>
        <v>2094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785</v>
      </c>
      <c r="BK13" s="11">
        <f ca="1">ROUND(BD13*S13*AA13*J13*AY13*[1]ステータス!$B$2,0)</f>
        <v>3724</v>
      </c>
      <c r="BL13" s="11">
        <f ca="1">ROUND(BD13*T13*AB13*K13*AZ13*[1]ステータス!$C$2,0)</f>
        <v>3430</v>
      </c>
      <c r="BM13" s="11">
        <f ca="1">ROUND(BD13*U13*AC13*L13*BA13*[1]ステータス!$D$2,0)</f>
        <v>0</v>
      </c>
      <c r="BN13" s="11">
        <f ca="1">ROUND(BD13*V13*AD13*M13*BB13*[1]ステータス!$E$2,0)</f>
        <v>1286</v>
      </c>
      <c r="BO13" s="10">
        <v>0</v>
      </c>
      <c r="BP13" s="10">
        <v>1</v>
      </c>
      <c r="BQ13" s="10" t="s">
        <v>73</v>
      </c>
      <c r="BR13" s="10">
        <f ca="1">VLOOKUP(H13,ghosts_label!$A$2:$B$19,2,FALSE)</f>
        <v>1</v>
      </c>
    </row>
  </sheetData>
  <autoFilter ref="A1:BQ1"/>
  <phoneticPr fontId="10"/>
  <conditionalFormatting sqref="BO1">
    <cfRule type="cellIs" dxfId="29" priority="120" stopIfTrue="1" operator="equal">
      <formula>1</formula>
    </cfRule>
  </conditionalFormatting>
  <conditionalFormatting sqref="BQ1">
    <cfRule type="cellIs" dxfId="28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23"/>
  <sheetViews>
    <sheetView showGridLines="0" workbookViewId="0">
      <pane ySplit="1" topLeftCell="A4" activePane="bottomLeft" state="frozen"/>
      <selection pane="bottomLeft" activeCell="D25" sqref="D25"/>
    </sheetView>
  </sheetViews>
  <sheetFormatPr baseColWidth="12" defaultColWidth="13" defaultRowHeight="15" x14ac:dyDescent="0.15"/>
  <cols>
    <col min="1" max="1" width="11.5" style="67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7" t="s">
        <v>125</v>
      </c>
      <c r="B1" s="43" t="s">
        <v>60</v>
      </c>
      <c r="C1" s="20" t="s">
        <v>66</v>
      </c>
      <c r="D1" s="20" t="s">
        <v>68</v>
      </c>
      <c r="E1" s="20" t="s">
        <v>69</v>
      </c>
      <c r="F1" s="44" t="s">
        <v>58</v>
      </c>
      <c r="G1" s="20" t="s">
        <v>67</v>
      </c>
      <c r="H1" s="19" t="s">
        <v>59</v>
      </c>
      <c r="I1" s="120" t="s">
        <v>160</v>
      </c>
    </row>
    <row r="2" spans="1:9" x14ac:dyDescent="0.15">
      <c r="A2" s="67" t="str">
        <f t="shared" ref="A2:A15" si="0">B2&amp;"_"&amp;F2</f>
        <v>583_116</v>
      </c>
      <c r="B2" s="157">
        <v>583</v>
      </c>
      <c r="C2" s="21" t="e">
        <f ca="1">VLOOKUP($B2,OFFSET([2]units!$A$1,0,0,COUNTA([2]units!$A:$A),MATCH(C$1,[2]units!$1:$1,0)-COLUMN(INDIRECT("character_id"))+1),MATCH(C$1,[2]units!$1:$1,0)-COLUMN(INDIRECT("character_id"))+1,FALSE)</f>
        <v>#VALUE!</v>
      </c>
      <c r="D2" s="21" t="e">
        <f ca="1">VLOOKUP($B2,OFFSET([2]units!$A$1,0,0,COUNTA([2]units!$A:$A),MATCH(D$1,[2]units!$1:$1,0)-COLUMN(INDIRECT("character_id"))+1),MATCH(D$1,[2]units!$1:$1,0)-COLUMN(INDIRECT("character_id"))+1,FALSE)</f>
        <v>#VALUE!</v>
      </c>
      <c r="E2" s="21" t="e">
        <f ca="1">VLOOKUP($B2,OFFSET([2]units!$A$1,0,0,COUNTA([2]units!$A:$A),MATCH(E$1,[2]units!$1:$1,0)-COLUMN(INDIRECT("character_id"))+1),MATCH(E$1,[2]units!$1:$1,0)-COLUMN(INDIRECT("character_id"))+1,FALSE)</f>
        <v>#VALUE!</v>
      </c>
      <c r="F2" s="45">
        <v>116</v>
      </c>
      <c r="G2" s="21" t="e">
        <f ca="1">VLOOKUP($F2,OFFSET([2]units!$A$1,0,0,COUNTA([2]units!$A:$A),MATCH(G$1,[2]units!$1:$1,0)-COLUMN(INDIRECT("character_id"))+1),MATCH(G$1,[2]units!$1:$1,0)-COLUMN(INDIRECT("character_id"))+1,FALSE)</f>
        <v>#VALUE!</v>
      </c>
      <c r="H2" s="18">
        <v>1</v>
      </c>
      <c r="I2" s="121">
        <v>1</v>
      </c>
    </row>
    <row r="3" spans="1:9" x14ac:dyDescent="0.15">
      <c r="A3" s="67" t="str">
        <f t="shared" si="0"/>
        <v>583_115</v>
      </c>
      <c r="B3" s="157">
        <v>583</v>
      </c>
      <c r="C3" s="21" t="e">
        <f ca="1">VLOOKUP($B3,OFFSET([2]units!$A$1,0,0,COUNTA([2]units!$A:$A),MATCH(C$1,[2]units!$1:$1,0)-COLUMN(INDIRECT("character_id"))+1),MATCH(C$1,[2]units!$1:$1,0)-COLUMN(INDIRECT("character_id"))+1,FALSE)</f>
        <v>#VALUE!</v>
      </c>
      <c r="D3" s="21" t="e">
        <f ca="1">VLOOKUP($B3,OFFSET([2]units!$A$1,0,0,COUNTA([2]units!$A:$A),MATCH(D$1,[2]units!$1:$1,0)-COLUMN(INDIRECT("character_id"))+1),MATCH(D$1,[2]units!$1:$1,0)-COLUMN(INDIRECT("character_id"))+1,FALSE)</f>
        <v>#VALUE!</v>
      </c>
      <c r="E3" s="21" t="e">
        <f ca="1">VLOOKUP($B3,OFFSET([2]units!$A$1,0,0,COUNTA([2]units!$A:$A),MATCH(E$1,[2]units!$1:$1,0)-COLUMN(INDIRECT("character_id"))+1),MATCH(E$1,[2]units!$1:$1,0)-COLUMN(INDIRECT("character_id"))+1,FALSE)</f>
        <v>#VALUE!</v>
      </c>
      <c r="F3" s="45">
        <f>F2-1</f>
        <v>115</v>
      </c>
      <c r="G3" s="21" t="e">
        <f ca="1">VLOOKUP($F3,OFFSET([2]units!$A$1,0,0,COUNTA([2]units!$A:$A),MATCH(G$1,[2]units!$1:$1,0)-COLUMN(INDIRECT("character_id"))+1),MATCH(G$1,[2]units!$1:$1,0)-COLUMN(INDIRECT("character_id"))+1,FALSE)</f>
        <v>#VALUE!</v>
      </c>
      <c r="H3" s="18">
        <v>1</v>
      </c>
      <c r="I3" s="121">
        <v>1</v>
      </c>
    </row>
    <row r="4" spans="1:9" x14ac:dyDescent="0.15">
      <c r="A4" s="67" t="str">
        <f t="shared" si="0"/>
        <v>583_114</v>
      </c>
      <c r="B4" s="157">
        <v>583</v>
      </c>
      <c r="C4" s="21" t="e">
        <f ca="1">VLOOKUP($B4,OFFSET([2]units!$A$1,0,0,COUNTA([2]units!$A:$A),MATCH(C$1,[2]units!$1:$1,0)-COLUMN(INDIRECT("character_id"))+1),MATCH(C$1,[2]units!$1:$1,0)-COLUMN(INDIRECT("character_id"))+1,FALSE)</f>
        <v>#VALUE!</v>
      </c>
      <c r="D4" s="21" t="e">
        <f ca="1">VLOOKUP($B4,OFFSET([2]units!$A$1,0,0,COUNTA([2]units!$A:$A),MATCH(D$1,[2]units!$1:$1,0)-COLUMN(INDIRECT("character_id"))+1),MATCH(D$1,[2]units!$1:$1,0)-COLUMN(INDIRECT("character_id"))+1,FALSE)</f>
        <v>#VALUE!</v>
      </c>
      <c r="E4" s="21" t="e">
        <f ca="1">VLOOKUP($B4,OFFSET([2]units!$A$1,0,0,COUNTA([2]units!$A:$A),MATCH(E$1,[2]units!$1:$1,0)-COLUMN(INDIRECT("character_id"))+1),MATCH(E$1,[2]units!$1:$1,0)-COLUMN(INDIRECT("character_id"))+1,FALSE)</f>
        <v>#VALUE!</v>
      </c>
      <c r="F4" s="45">
        <f t="shared" ref="F4:F5" si="1">F3-1</f>
        <v>114</v>
      </c>
      <c r="G4" s="21" t="e">
        <f ca="1">VLOOKUP($F4,OFFSET([2]units!$A$1,0,0,COUNTA([2]units!$A:$A),MATCH(G$1,[2]units!$1:$1,0)-COLUMN(INDIRECT("character_id"))+1),MATCH(G$1,[2]units!$1:$1,0)-COLUMN(INDIRECT("character_id"))+1,FALSE)</f>
        <v>#VALUE!</v>
      </c>
      <c r="H4" s="18">
        <v>2</v>
      </c>
      <c r="I4" s="121">
        <v>1</v>
      </c>
    </row>
    <row r="5" spans="1:9" x14ac:dyDescent="0.15">
      <c r="A5" s="67" t="str">
        <f t="shared" si="0"/>
        <v>583_113</v>
      </c>
      <c r="B5" s="157">
        <v>583</v>
      </c>
      <c r="C5" s="21" t="e">
        <f ca="1">VLOOKUP($B5,OFFSET([2]units!$A$1,0,0,COUNTA([2]units!$A:$A),MATCH(C$1,[2]units!$1:$1,0)-COLUMN(INDIRECT("character_id"))+1),MATCH(C$1,[2]units!$1:$1,0)-COLUMN(INDIRECT("character_id"))+1,FALSE)</f>
        <v>#VALUE!</v>
      </c>
      <c r="D5" s="21" t="e">
        <f ca="1">VLOOKUP($B5,OFFSET([2]units!$A$1,0,0,COUNTA([2]units!$A:$A),MATCH(D$1,[2]units!$1:$1,0)-COLUMN(INDIRECT("character_id"))+1),MATCH(D$1,[2]units!$1:$1,0)-COLUMN(INDIRECT("character_id"))+1,FALSE)</f>
        <v>#VALUE!</v>
      </c>
      <c r="E5" s="21" t="e">
        <f ca="1">VLOOKUP($B5,OFFSET([2]units!$A$1,0,0,COUNTA([2]units!$A:$A),MATCH(E$1,[2]units!$1:$1,0)-COLUMN(INDIRECT("character_id"))+1),MATCH(E$1,[2]units!$1:$1,0)-COLUMN(INDIRECT("character_id"))+1,FALSE)</f>
        <v>#VALUE!</v>
      </c>
      <c r="F5" s="45">
        <f t="shared" si="1"/>
        <v>113</v>
      </c>
      <c r="G5" s="21" t="e">
        <f ca="1">VLOOKUP($F5,OFFSET([2]units!$A$1,0,0,COUNTA([2]units!$A:$A),MATCH(G$1,[2]units!$1:$1,0)-COLUMN(INDIRECT("character_id"))+1),MATCH(G$1,[2]units!$1:$1,0)-COLUMN(INDIRECT("character_id"))+1,FALSE)</f>
        <v>#VALUE!</v>
      </c>
      <c r="H5" s="18">
        <v>1</v>
      </c>
      <c r="I5" s="121">
        <v>1</v>
      </c>
    </row>
    <row r="6" spans="1:9" x14ac:dyDescent="0.15">
      <c r="A6" s="67" t="str">
        <f t="shared" si="0"/>
        <v>581_112</v>
      </c>
      <c r="B6" s="157">
        <v>581</v>
      </c>
      <c r="C6" s="21" t="e">
        <v>#N/A</v>
      </c>
      <c r="D6" s="21" t="e">
        <v>#N/A</v>
      </c>
      <c r="E6" s="21" t="e">
        <v>#N/A</v>
      </c>
      <c r="F6" s="45">
        <v>112</v>
      </c>
      <c r="G6" s="21" t="str">
        <f>VLOOKUP(F6,[1]characters!$A:$C,3,FALSE)</f>
        <v>水のマッドハッター</v>
      </c>
      <c r="H6" s="18">
        <v>1</v>
      </c>
      <c r="I6" s="121">
        <v>1</v>
      </c>
    </row>
    <row r="7" spans="1:9" x14ac:dyDescent="0.15">
      <c r="A7" s="67" t="str">
        <f t="shared" si="0"/>
        <v>581_282</v>
      </c>
      <c r="B7" s="157">
        <v>581</v>
      </c>
      <c r="C7" s="21" t="e">
        <v>#N/A</v>
      </c>
      <c r="D7" s="21" t="e">
        <v>#N/A</v>
      </c>
      <c r="E7" s="21" t="e">
        <v>#N/A</v>
      </c>
      <c r="F7" s="165">
        <v>282</v>
      </c>
      <c r="G7" s="21" t="str">
        <f>VLOOKUP(F7,[1]characters!$A:$C,3,FALSE)</f>
        <v>ラーフ</v>
      </c>
      <c r="H7" s="18">
        <v>1</v>
      </c>
      <c r="I7" s="121">
        <v>3</v>
      </c>
    </row>
    <row r="8" spans="1:9" x14ac:dyDescent="0.15">
      <c r="A8" s="67" t="str">
        <f t="shared" si="0"/>
        <v>581_310</v>
      </c>
      <c r="B8" s="157">
        <v>581</v>
      </c>
      <c r="C8" s="21" t="e">
        <v>#N/A</v>
      </c>
      <c r="D8" s="21" t="e">
        <v>#N/A</v>
      </c>
      <c r="E8" s="21" t="e">
        <v>#N/A</v>
      </c>
      <c r="F8" s="45">
        <v>310</v>
      </c>
      <c r="G8" s="21" t="str">
        <f>VLOOKUP(F8,[1]characters!$A:$C,3,FALSE)</f>
        <v>リードシクティス</v>
      </c>
      <c r="H8" s="18">
        <v>1</v>
      </c>
      <c r="I8" s="121">
        <v>2</v>
      </c>
    </row>
    <row r="9" spans="1:9" x14ac:dyDescent="0.15">
      <c r="A9" s="67" t="str">
        <f t="shared" si="0"/>
        <v>579_108</v>
      </c>
      <c r="B9" s="157">
        <v>579</v>
      </c>
      <c r="C9" s="21" t="e">
        <v>#N/A</v>
      </c>
      <c r="D9" s="21" t="e">
        <v>#N/A</v>
      </c>
      <c r="E9" s="21" t="e">
        <v>#N/A</v>
      </c>
      <c r="F9" s="45">
        <v>108</v>
      </c>
      <c r="G9" s="21" t="str">
        <f>VLOOKUP(F9,[1]characters!$A:$C,3,FALSE)</f>
        <v>森のマッドハッター</v>
      </c>
      <c r="H9" s="18">
        <v>1</v>
      </c>
      <c r="I9" s="121">
        <v>1</v>
      </c>
    </row>
    <row r="10" spans="1:9" x14ac:dyDescent="0.15">
      <c r="A10" s="67" t="str">
        <f t="shared" si="0"/>
        <v>579_107</v>
      </c>
      <c r="B10" s="157">
        <v>579</v>
      </c>
      <c r="C10" s="21" t="e">
        <v>#N/A</v>
      </c>
      <c r="D10" s="21" t="e">
        <v>#N/A</v>
      </c>
      <c r="E10" s="21" t="e">
        <v>#N/A</v>
      </c>
      <c r="F10" s="45">
        <f>F9-1</f>
        <v>107</v>
      </c>
      <c r="G10" s="21" t="str">
        <f>VLOOKUP(F10,[1]characters!$A:$C,3,FALSE)</f>
        <v>グリーンキャタップ</v>
      </c>
      <c r="H10" s="18">
        <v>1</v>
      </c>
      <c r="I10" s="121">
        <v>1</v>
      </c>
    </row>
    <row r="11" spans="1:9" x14ac:dyDescent="0.15">
      <c r="A11" s="67" t="str">
        <f t="shared" si="0"/>
        <v>579_106</v>
      </c>
      <c r="B11" s="157">
        <v>579</v>
      </c>
      <c r="C11" s="21" t="e">
        <v>#N/A</v>
      </c>
      <c r="D11" s="21" t="e">
        <v>#N/A</v>
      </c>
      <c r="E11" s="21" t="e">
        <v>#N/A</v>
      </c>
      <c r="F11" s="45">
        <f t="shared" ref="F11:F12" si="2">F10-1</f>
        <v>106</v>
      </c>
      <c r="G11" s="21" t="str">
        <f>VLOOKUP(F11,[1]characters!$A:$C,3,FALSE)</f>
        <v>グリーンラビット</v>
      </c>
      <c r="H11" s="18">
        <v>2</v>
      </c>
      <c r="I11" s="121">
        <v>1</v>
      </c>
    </row>
    <row r="12" spans="1:9" x14ac:dyDescent="0.15">
      <c r="A12" s="67" t="str">
        <f t="shared" si="0"/>
        <v>579_105</v>
      </c>
      <c r="B12" s="157">
        <v>579</v>
      </c>
      <c r="C12" s="21" t="e">
        <v>#N/A</v>
      </c>
      <c r="D12" s="21" t="e">
        <v>#N/A</v>
      </c>
      <c r="E12" s="21" t="e">
        <v>#N/A</v>
      </c>
      <c r="F12" s="45">
        <f t="shared" si="2"/>
        <v>105</v>
      </c>
      <c r="G12" s="21" t="str">
        <f>VLOOKUP(F12,[1]characters!$A:$C,3,FALSE)</f>
        <v>グリーンチェシャ</v>
      </c>
      <c r="H12" s="18">
        <v>1</v>
      </c>
      <c r="I12" s="121">
        <v>1</v>
      </c>
    </row>
    <row r="13" spans="1:9" x14ac:dyDescent="0.15">
      <c r="A13" s="67" t="str">
        <f t="shared" si="0"/>
        <v>573_581</v>
      </c>
      <c r="B13" s="166">
        <v>573</v>
      </c>
      <c r="C13" s="21" t="e">
        <v>#N/A</v>
      </c>
      <c r="D13" s="21" t="e">
        <v>#N/A</v>
      </c>
      <c r="E13" s="21" t="e">
        <v>#N/A</v>
      </c>
      <c r="F13" s="45">
        <v>581</v>
      </c>
      <c r="G13" s="21" t="str">
        <f>VLOOKUP(F13,[1]characters!$A:$C,3,FALSE)</f>
        <v>フギンとムニン</v>
      </c>
      <c r="H13" s="18">
        <v>1</v>
      </c>
      <c r="I13" s="121">
        <v>1</v>
      </c>
    </row>
    <row r="14" spans="1:9" x14ac:dyDescent="0.15">
      <c r="A14" s="67" t="str">
        <f t="shared" si="0"/>
        <v>573_508</v>
      </c>
      <c r="B14" s="166">
        <v>573</v>
      </c>
      <c r="C14" s="21" t="e">
        <v>#N/A</v>
      </c>
      <c r="D14" s="21" t="e">
        <v>#N/A</v>
      </c>
      <c r="E14" s="21" t="e">
        <v>#N/A</v>
      </c>
      <c r="F14" s="45">
        <v>508</v>
      </c>
      <c r="G14" s="21" t="str">
        <f>VLOOKUP(F14,[1]characters!$A:$C,3,FALSE)</f>
        <v>Gスター・チルドレン</v>
      </c>
      <c r="H14" s="18">
        <v>1</v>
      </c>
      <c r="I14" s="121">
        <v>1</v>
      </c>
    </row>
    <row r="15" spans="1:9" x14ac:dyDescent="0.15">
      <c r="A15" s="67" t="str">
        <f t="shared" si="0"/>
        <v>573_460</v>
      </c>
      <c r="B15" s="166">
        <v>573</v>
      </c>
      <c r="C15" s="21" t="e">
        <v>#N/A</v>
      </c>
      <c r="D15" s="21" t="e">
        <v>#N/A</v>
      </c>
      <c r="E15" s="21" t="e">
        <v>#N/A</v>
      </c>
      <c r="F15" s="45">
        <v>460</v>
      </c>
      <c r="G15" s="21" t="str">
        <f>VLOOKUP(F15,[1]characters!$A:$C,3,FALSE)</f>
        <v>オズ</v>
      </c>
      <c r="H15" s="18">
        <v>1</v>
      </c>
      <c r="I15" s="121">
        <v>1</v>
      </c>
    </row>
    <row r="16" spans="1:9" x14ac:dyDescent="0.15">
      <c r="A16" s="67" t="str">
        <f t="shared" ref="A16:A20" si="3">B16&amp;"_"&amp;F16</f>
        <v>573_472</v>
      </c>
      <c r="B16" s="166">
        <v>573</v>
      </c>
      <c r="C16" s="21" t="e">
        <v>#N/A</v>
      </c>
      <c r="D16" s="21" t="e">
        <v>#N/A</v>
      </c>
      <c r="E16" s="21" t="e">
        <v>#N/A</v>
      </c>
      <c r="F16" s="45">
        <v>472</v>
      </c>
      <c r="G16" s="21" t="str">
        <f>VLOOKUP(F16,[1]characters!$A:$C,3,FALSE)</f>
        <v>アーサー</v>
      </c>
      <c r="H16" s="18">
        <v>1</v>
      </c>
      <c r="I16" s="121">
        <v>1</v>
      </c>
    </row>
    <row r="17" spans="1:9" x14ac:dyDescent="0.15">
      <c r="A17" s="67" t="str">
        <f t="shared" si="3"/>
        <v>577_104</v>
      </c>
      <c r="B17" s="157">
        <v>577</v>
      </c>
      <c r="C17" s="21" t="e">
        <v>#N/A</v>
      </c>
      <c r="D17" s="21" t="e">
        <v>#N/A</v>
      </c>
      <c r="E17" s="21" t="e">
        <v>#N/A</v>
      </c>
      <c r="F17" s="45">
        <v>104</v>
      </c>
      <c r="G17" s="21" t="str">
        <f>VLOOKUP(F17,[1]characters!$A:$C,3,FALSE)</f>
        <v>炎のマッドハッター</v>
      </c>
      <c r="H17" s="18">
        <v>1</v>
      </c>
      <c r="I17" s="121">
        <v>1</v>
      </c>
    </row>
    <row r="18" spans="1:9" x14ac:dyDescent="0.15">
      <c r="A18" s="67" t="str">
        <f t="shared" si="3"/>
        <v>577_103</v>
      </c>
      <c r="B18" s="157">
        <v>577</v>
      </c>
      <c r="C18" s="21" t="e">
        <v>#N/A</v>
      </c>
      <c r="D18" s="21" t="e">
        <v>#N/A</v>
      </c>
      <c r="E18" s="21" t="e">
        <v>#N/A</v>
      </c>
      <c r="F18" s="45">
        <f>F17-1</f>
        <v>103</v>
      </c>
      <c r="G18" s="21" t="str">
        <f>VLOOKUP(F18,[1]characters!$A:$C,3,FALSE)</f>
        <v>レッドキャタップ</v>
      </c>
      <c r="H18" s="18">
        <v>1</v>
      </c>
      <c r="I18" s="121">
        <v>1</v>
      </c>
    </row>
    <row r="19" spans="1:9" x14ac:dyDescent="0.15">
      <c r="A19" s="67" t="str">
        <f t="shared" si="3"/>
        <v>577_102</v>
      </c>
      <c r="B19" s="157">
        <v>577</v>
      </c>
      <c r="C19" s="21" t="e">
        <v>#N/A</v>
      </c>
      <c r="D19" s="21" t="e">
        <v>#N/A</v>
      </c>
      <c r="E19" s="21" t="e">
        <v>#N/A</v>
      </c>
      <c r="F19" s="45">
        <f t="shared" ref="F19:F20" si="4">F18-1</f>
        <v>102</v>
      </c>
      <c r="G19" s="21" t="str">
        <f>VLOOKUP(F19,[1]characters!$A:$C,3,FALSE)</f>
        <v>レッドラビット</v>
      </c>
      <c r="H19" s="18">
        <v>2</v>
      </c>
      <c r="I19" s="121">
        <v>1</v>
      </c>
    </row>
    <row r="20" spans="1:9" x14ac:dyDescent="0.15">
      <c r="A20" s="67" t="str">
        <f t="shared" si="3"/>
        <v>577_101</v>
      </c>
      <c r="B20" s="157">
        <v>577</v>
      </c>
      <c r="C20" s="21" t="e">
        <v>#N/A</v>
      </c>
      <c r="D20" s="21" t="e">
        <v>#N/A</v>
      </c>
      <c r="E20" s="21" t="e">
        <v>#N/A</v>
      </c>
      <c r="F20" s="45">
        <f t="shared" si="4"/>
        <v>101</v>
      </c>
      <c r="G20" s="21" t="str">
        <f>VLOOKUP(F20,[1]characters!$A:$C,3,FALSE)</f>
        <v>レッドチェシャ</v>
      </c>
      <c r="H20" s="18">
        <v>1</v>
      </c>
      <c r="I20" s="121">
        <v>1</v>
      </c>
    </row>
    <row r="21" spans="1:9" x14ac:dyDescent="0.15">
      <c r="A21" s="67" t="str">
        <f t="shared" ref="A21:A23" si="5">B21&amp;"_"&amp;F21</f>
        <v>575_104</v>
      </c>
      <c r="B21" s="157">
        <v>575</v>
      </c>
      <c r="C21" s="21" t="e">
        <v>#N/A</v>
      </c>
      <c r="D21" s="21" t="e">
        <v>#N/A</v>
      </c>
      <c r="E21" s="21" t="e">
        <v>#N/A</v>
      </c>
      <c r="F21" s="45">
        <v>104</v>
      </c>
      <c r="G21" s="21" t="str">
        <f>VLOOKUP(F21,[1]characters!$A:$C,3,FALSE)</f>
        <v>炎のマッドハッター</v>
      </c>
      <c r="H21" s="18">
        <v>1</v>
      </c>
      <c r="I21" s="121">
        <v>1</v>
      </c>
    </row>
    <row r="22" spans="1:9" x14ac:dyDescent="0.15">
      <c r="A22" s="67" t="str">
        <f t="shared" si="5"/>
        <v>575_577</v>
      </c>
      <c r="B22" s="157">
        <v>575</v>
      </c>
      <c r="C22" s="21" t="e">
        <v>#N/A</v>
      </c>
      <c r="D22" s="21" t="e">
        <v>#N/A</v>
      </c>
      <c r="E22" s="21" t="e">
        <v>#N/A</v>
      </c>
      <c r="F22" s="45">
        <v>577</v>
      </c>
      <c r="G22" s="21" t="str">
        <f>VLOOKUP(F22,[1]characters!$A:$C,3,FALSE)</f>
        <v>ビュグヴィルとベイラ</v>
      </c>
      <c r="H22" s="18">
        <v>1</v>
      </c>
      <c r="I22" s="121">
        <v>2</v>
      </c>
    </row>
    <row r="23" spans="1:9" x14ac:dyDescent="0.15">
      <c r="A23" s="67" t="str">
        <f t="shared" si="5"/>
        <v>575_306</v>
      </c>
      <c r="B23" s="157">
        <v>575</v>
      </c>
      <c r="C23" s="21" t="e">
        <v>#N/A</v>
      </c>
      <c r="D23" s="21" t="e">
        <v>#N/A</v>
      </c>
      <c r="E23" s="21" t="e">
        <v>#N/A</v>
      </c>
      <c r="F23" s="45">
        <v>306</v>
      </c>
      <c r="G23" s="21" t="str">
        <f>VLOOKUP(F23,[1]characters!$A:$C,3,FALSE)</f>
        <v>メガロドン</v>
      </c>
      <c r="H23" s="18">
        <v>1</v>
      </c>
      <c r="I23" s="121">
        <v>2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3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18" sqref="D18"/>
    </sheetView>
  </sheetViews>
  <sheetFormatPr baseColWidth="12" defaultColWidth="13" defaultRowHeight="21" customHeight="1" outlineLevelCol="1" x14ac:dyDescent="0.15"/>
  <cols>
    <col min="1" max="1" width="16.1640625" style="138" bestFit="1" customWidth="1"/>
    <col min="2" max="2" width="13" style="138" bestFit="1" customWidth="1"/>
    <col min="3" max="3" width="21.83203125" style="138" customWidth="1"/>
    <col min="4" max="4" width="41.83203125" style="138" customWidth="1"/>
    <col min="5" max="5" width="9" style="138" customWidth="1"/>
    <col min="6" max="6" width="7.83203125" style="138" bestFit="1" customWidth="1"/>
    <col min="7" max="7" width="8.1640625" style="138" bestFit="1" customWidth="1"/>
    <col min="8" max="8" width="13.6640625" style="138" bestFit="1" customWidth="1"/>
    <col min="9" max="10" width="51.6640625" style="138" customWidth="1"/>
    <col min="11" max="11" width="10.83203125" style="138" customWidth="1" outlineLevel="1"/>
    <col min="12" max="17" width="9.5" style="137" customWidth="1" outlineLevel="1"/>
    <col min="18" max="18" width="20.33203125" style="138" customWidth="1" outlineLevel="1"/>
    <col min="19" max="19" width="10.33203125" style="138" bestFit="1" customWidth="1"/>
    <col min="20" max="16384" width="13" style="138"/>
  </cols>
  <sheetData>
    <row r="1" spans="1:19" s="137" customFormat="1" ht="21" customHeight="1" x14ac:dyDescent="0.15">
      <c r="A1" s="126" t="s">
        <v>21</v>
      </c>
      <c r="B1" s="127" t="s">
        <v>167</v>
      </c>
      <c r="C1" s="128" t="s">
        <v>66</v>
      </c>
      <c r="D1" s="129" t="s">
        <v>196</v>
      </c>
      <c r="E1" s="129" t="s">
        <v>197</v>
      </c>
      <c r="F1" s="126" t="s">
        <v>179</v>
      </c>
      <c r="G1" s="130" t="s">
        <v>2</v>
      </c>
      <c r="H1" s="130" t="s">
        <v>198</v>
      </c>
      <c r="I1" s="130" t="s">
        <v>199</v>
      </c>
      <c r="J1" s="131" t="s">
        <v>217</v>
      </c>
      <c r="K1" s="130" t="s">
        <v>4</v>
      </c>
      <c r="L1" s="132" t="s">
        <v>200</v>
      </c>
      <c r="M1" s="133" t="s">
        <v>201</v>
      </c>
      <c r="N1" s="133" t="s">
        <v>202</v>
      </c>
      <c r="O1" s="133" t="s">
        <v>203</v>
      </c>
      <c r="P1" s="133" t="s">
        <v>204</v>
      </c>
      <c r="Q1" s="134" t="s">
        <v>205</v>
      </c>
      <c r="R1" s="135" t="s">
        <v>206</v>
      </c>
      <c r="S1" s="136" t="s">
        <v>207</v>
      </c>
    </row>
    <row r="2" spans="1:19" ht="21" customHeight="1" x14ac:dyDescent="0.15">
      <c r="A2" s="12">
        <v>573</v>
      </c>
      <c r="B2" s="140" t="s">
        <v>218</v>
      </c>
      <c r="C2" s="141" t="s">
        <v>298</v>
      </c>
      <c r="D2" s="141" t="s">
        <v>307</v>
      </c>
      <c r="E2" s="142">
        <f t="shared" ref="E2" si="0">LEN(D2)</f>
        <v>41</v>
      </c>
      <c r="F2" s="125">
        <v>16</v>
      </c>
      <c r="G2" s="125">
        <v>11</v>
      </c>
      <c r="H2" s="143">
        <f>2001</f>
        <v>2001</v>
      </c>
      <c r="I2" s="151" t="s">
        <v>362</v>
      </c>
      <c r="J2" s="59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オーディン</v>
      </c>
      <c r="K2" s="144">
        <v>3</v>
      </c>
      <c r="L2" s="145"/>
      <c r="M2" s="146"/>
      <c r="N2" s="146"/>
      <c r="O2" s="146"/>
      <c r="P2" s="146"/>
      <c r="Q2" s="146"/>
      <c r="R2" s="141"/>
      <c r="S2" s="147"/>
    </row>
    <row r="3" spans="1:19" ht="21" customHeight="1" x14ac:dyDescent="0.15">
      <c r="A3" s="12">
        <v>574</v>
      </c>
      <c r="B3" s="140" t="s">
        <v>218</v>
      </c>
      <c r="C3" s="141" t="s">
        <v>299</v>
      </c>
      <c r="D3" s="141" t="s">
        <v>307</v>
      </c>
      <c r="E3" s="142">
        <f t="shared" ref="E3:E4" si="1">LEN(D3)</f>
        <v>41</v>
      </c>
      <c r="F3" s="125">
        <v>16</v>
      </c>
      <c r="G3" s="125">
        <v>11</v>
      </c>
      <c r="H3" s="143">
        <f>2001</f>
        <v>2001</v>
      </c>
      <c r="I3" s="151" t="s">
        <v>280</v>
      </c>
      <c r="J3" s="59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世慧の守神 オーディン</v>
      </c>
      <c r="K3" s="144">
        <v>3</v>
      </c>
      <c r="L3" s="145"/>
      <c r="M3" s="146"/>
      <c r="N3" s="146"/>
      <c r="O3" s="146"/>
      <c r="P3" s="146"/>
      <c r="Q3" s="146"/>
      <c r="R3" s="141"/>
      <c r="S3" s="147"/>
    </row>
    <row r="4" spans="1:19" ht="21" customHeight="1" x14ac:dyDescent="0.15">
      <c r="A4" s="12">
        <v>575</v>
      </c>
      <c r="B4" s="140" t="s">
        <v>218</v>
      </c>
      <c r="C4" s="141" t="s">
        <v>352</v>
      </c>
      <c r="D4" s="141" t="s">
        <v>360</v>
      </c>
      <c r="E4" s="142">
        <f t="shared" si="1"/>
        <v>52</v>
      </c>
      <c r="F4" s="125">
        <v>14</v>
      </c>
      <c r="G4" s="125">
        <v>5</v>
      </c>
      <c r="H4" s="143">
        <f>2001</f>
        <v>2001</v>
      </c>
      <c r="I4" s="143" t="s">
        <v>350</v>
      </c>
      <c r="J4" s="59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フレイ</v>
      </c>
      <c r="K4" s="144">
        <v>3</v>
      </c>
      <c r="L4" s="145"/>
      <c r="M4" s="146"/>
      <c r="N4" s="146"/>
      <c r="O4" s="146"/>
      <c r="P4" s="146"/>
      <c r="Q4" s="146"/>
      <c r="R4" s="141"/>
      <c r="S4" s="147"/>
    </row>
    <row r="5" spans="1:19" ht="21" customHeight="1" x14ac:dyDescent="0.15">
      <c r="A5" s="12">
        <v>576</v>
      </c>
      <c r="B5" s="140" t="s">
        <v>218</v>
      </c>
      <c r="C5" s="141" t="s">
        <v>351</v>
      </c>
      <c r="D5" s="141" t="str">
        <f>D4</f>
        <v>2ターン赤属性のタップ回数を1増やし、攻撃力UP(黄パネルを吸収して効果UP)+黄パネルが出現しなくなる</v>
      </c>
      <c r="E5" s="142">
        <f t="shared" ref="E5:E13" si="2">LEN(D5)</f>
        <v>52</v>
      </c>
      <c r="F5" s="125">
        <v>14</v>
      </c>
      <c r="G5" s="125">
        <v>5</v>
      </c>
      <c r="H5" s="143">
        <f>2001</f>
        <v>2001</v>
      </c>
      <c r="I5" s="143" t="str">
        <f>I4</f>
        <v>[effect:enhance_unit, target:unit_red, turn:2, status:action, val:1.0, calc:mul, animation:enhance_unit_one_action01],[effect:change_panel_ratio, turn:2, block_type:yellow, val:0],[effect:break_enchance_unit, val:0.005, lowest_val:0.2, count :-1, status:attack, turn:2, block:block_yellow, target:unit_red, calc:mul, animation:enhance_unit_all_attack02]</v>
      </c>
      <c r="J5" s="59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統勝の豊穣王神 フレイ</v>
      </c>
      <c r="K5" s="144">
        <v>3</v>
      </c>
      <c r="L5" s="145"/>
      <c r="M5" s="146"/>
      <c r="N5" s="146"/>
      <c r="O5" s="146"/>
      <c r="P5" s="146"/>
      <c r="Q5" s="146"/>
      <c r="R5" s="141"/>
      <c r="S5" s="147"/>
    </row>
    <row r="6" spans="1:19" ht="21" customHeight="1" x14ac:dyDescent="0.15">
      <c r="A6" s="12">
        <v>577</v>
      </c>
      <c r="B6" s="140" t="s">
        <v>218</v>
      </c>
      <c r="C6" s="168" t="s">
        <v>315</v>
      </c>
      <c r="D6" s="141" t="s">
        <v>314</v>
      </c>
      <c r="E6" s="142">
        <f t="shared" si="2"/>
        <v>37</v>
      </c>
      <c r="F6" s="125">
        <v>12</v>
      </c>
      <c r="G6" s="125">
        <v>5</v>
      </c>
      <c r="H6" s="143">
        <f>2001</f>
        <v>2001</v>
      </c>
      <c r="I6" s="143" t="s">
        <v>327</v>
      </c>
      <c r="J6" s="59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ビュグヴィルとベイラ</v>
      </c>
      <c r="K6" s="144">
        <v>3</v>
      </c>
      <c r="L6" s="145"/>
      <c r="M6" s="146"/>
      <c r="N6" s="146"/>
      <c r="O6" s="146"/>
      <c r="P6" s="146"/>
      <c r="Q6" s="146"/>
      <c r="R6" s="141"/>
      <c r="S6" s="147"/>
    </row>
    <row r="7" spans="1:19" ht="21" customHeight="1" x14ac:dyDescent="0.15">
      <c r="A7" s="12">
        <v>578</v>
      </c>
      <c r="B7" s="140" t="s">
        <v>218</v>
      </c>
      <c r="C7" s="168" t="s">
        <v>316</v>
      </c>
      <c r="D7" s="141" t="s">
        <v>326</v>
      </c>
      <c r="E7" s="142">
        <f t="shared" si="2"/>
        <v>38</v>
      </c>
      <c r="F7" s="125">
        <v>12</v>
      </c>
      <c r="G7" s="125">
        <v>5</v>
      </c>
      <c r="H7" s="143">
        <f>2001</f>
        <v>2001</v>
      </c>
      <c r="I7" s="143" t="s">
        <v>328</v>
      </c>
      <c r="J7" s="59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穣神従事 ビュグヴィルとベイラ</v>
      </c>
      <c r="K7" s="144">
        <v>3</v>
      </c>
      <c r="L7" s="145"/>
      <c r="M7" s="146"/>
      <c r="N7" s="146"/>
      <c r="O7" s="146"/>
      <c r="P7" s="146"/>
      <c r="Q7" s="146"/>
      <c r="R7" s="141"/>
      <c r="S7" s="147"/>
    </row>
    <row r="8" spans="1:19" ht="21" customHeight="1" x14ac:dyDescent="0.15">
      <c r="A8" s="12">
        <v>579</v>
      </c>
      <c r="B8" s="140" t="s">
        <v>218</v>
      </c>
      <c r="C8" s="141" t="s">
        <v>286</v>
      </c>
      <c r="D8" s="141" t="s">
        <v>287</v>
      </c>
      <c r="E8" s="142">
        <f>LEN(D8)</f>
        <v>40</v>
      </c>
      <c r="F8" s="125">
        <v>13</v>
      </c>
      <c r="G8" s="125">
        <v>5</v>
      </c>
      <c r="H8" s="143">
        <f>2001</f>
        <v>2001</v>
      </c>
      <c r="I8" s="143" t="s">
        <v>288</v>
      </c>
      <c r="J8" s="59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オーズ</v>
      </c>
      <c r="K8" s="144">
        <v>3</v>
      </c>
      <c r="L8" s="145"/>
      <c r="M8" s="146"/>
      <c r="N8" s="146"/>
      <c r="O8" s="146"/>
      <c r="P8" s="146"/>
      <c r="Q8" s="146"/>
      <c r="R8" s="141"/>
      <c r="S8" s="147"/>
    </row>
    <row r="9" spans="1:19" ht="21" customHeight="1" x14ac:dyDescent="0.15">
      <c r="A9" s="12">
        <v>580</v>
      </c>
      <c r="B9" s="140" t="s">
        <v>218</v>
      </c>
      <c r="C9" s="141" t="s">
        <v>286</v>
      </c>
      <c r="D9" s="141" t="s">
        <v>287</v>
      </c>
      <c r="E9" s="142">
        <f>LEN(D9)</f>
        <v>40</v>
      </c>
      <c r="F9" s="125">
        <v>13</v>
      </c>
      <c r="G9" s="125">
        <v>5</v>
      </c>
      <c r="H9" s="143">
        <f>2001</f>
        <v>2001</v>
      </c>
      <c r="I9" s="143" t="s">
        <v>288</v>
      </c>
      <c r="J9" s="59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愛憐の旅神 オーズ</v>
      </c>
      <c r="K9" s="144">
        <v>3</v>
      </c>
      <c r="L9" s="145"/>
      <c r="M9" s="146"/>
      <c r="N9" s="146"/>
      <c r="O9" s="146"/>
      <c r="P9" s="146"/>
      <c r="Q9" s="146"/>
      <c r="R9" s="141"/>
      <c r="S9" s="147"/>
    </row>
    <row r="10" spans="1:19" ht="21" customHeight="1" x14ac:dyDescent="0.15">
      <c r="A10" s="12">
        <v>581</v>
      </c>
      <c r="B10" s="140" t="s">
        <v>218</v>
      </c>
      <c r="C10" s="141" t="s">
        <v>274</v>
      </c>
      <c r="D10" s="141" t="s">
        <v>267</v>
      </c>
      <c r="E10" s="142">
        <f t="shared" si="2"/>
        <v>39</v>
      </c>
      <c r="F10" s="125">
        <v>10</v>
      </c>
      <c r="G10" s="125">
        <v>5</v>
      </c>
      <c r="H10" s="143">
        <f>2001</f>
        <v>2001</v>
      </c>
      <c r="I10" s="143" t="s">
        <v>266</v>
      </c>
      <c r="J10" s="59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フギンとムニン</v>
      </c>
      <c r="K10" s="144">
        <v>3</v>
      </c>
      <c r="L10" s="145"/>
      <c r="M10" s="146"/>
      <c r="N10" s="146"/>
      <c r="O10" s="146"/>
      <c r="P10" s="146"/>
      <c r="Q10" s="146"/>
      <c r="R10" s="141"/>
      <c r="S10" s="147"/>
    </row>
    <row r="11" spans="1:19" ht="21" customHeight="1" x14ac:dyDescent="0.15">
      <c r="A11" s="12">
        <v>582</v>
      </c>
      <c r="B11" s="140" t="s">
        <v>218</v>
      </c>
      <c r="C11" s="141" t="s">
        <v>274</v>
      </c>
      <c r="D11" s="141" t="s">
        <v>267</v>
      </c>
      <c r="E11" s="142">
        <f t="shared" si="2"/>
        <v>39</v>
      </c>
      <c r="F11" s="125">
        <v>10</v>
      </c>
      <c r="G11" s="125">
        <v>5</v>
      </c>
      <c r="H11" s="143">
        <f>2001</f>
        <v>2001</v>
      </c>
      <c r="I11" s="143" t="s">
        <v>266</v>
      </c>
      <c r="J11" s="59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空を駆る双鴉 フギンとムニン</v>
      </c>
      <c r="K11" s="144">
        <v>3</v>
      </c>
      <c r="L11" s="145"/>
      <c r="M11" s="146"/>
      <c r="N11" s="146"/>
      <c r="O11" s="146"/>
      <c r="P11" s="146"/>
      <c r="Q11" s="146"/>
      <c r="R11" s="141"/>
      <c r="S11" s="147"/>
    </row>
    <row r="12" spans="1:19" ht="21" customHeight="1" x14ac:dyDescent="0.15">
      <c r="A12" s="12">
        <v>583</v>
      </c>
      <c r="B12" s="140" t="s">
        <v>218</v>
      </c>
      <c r="C12" s="141" t="s">
        <v>231</v>
      </c>
      <c r="D12" s="141" t="s">
        <v>229</v>
      </c>
      <c r="E12" s="142">
        <f t="shared" si="2"/>
        <v>27</v>
      </c>
      <c r="F12" s="125">
        <v>13</v>
      </c>
      <c r="G12" s="125">
        <v>5</v>
      </c>
      <c r="H12" s="143">
        <f>2001</f>
        <v>2001</v>
      </c>
      <c r="I12" s="143" t="s">
        <v>349</v>
      </c>
      <c r="J12" s="59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ミョルニル</v>
      </c>
      <c r="K12" s="144">
        <v>3</v>
      </c>
      <c r="L12" s="145"/>
      <c r="M12" s="146"/>
      <c r="N12" s="146"/>
      <c r="O12" s="146"/>
      <c r="P12" s="146"/>
      <c r="Q12" s="146"/>
      <c r="R12" s="141"/>
      <c r="S12" s="147"/>
    </row>
    <row r="13" spans="1:19" ht="21" customHeight="1" x14ac:dyDescent="0.15">
      <c r="A13" s="12">
        <v>584</v>
      </c>
      <c r="B13" s="140" t="s">
        <v>218</v>
      </c>
      <c r="C13" s="141" t="s">
        <v>231</v>
      </c>
      <c r="D13" s="141" t="s">
        <v>229</v>
      </c>
      <c r="E13" s="142">
        <f t="shared" si="2"/>
        <v>27</v>
      </c>
      <c r="F13" s="125">
        <v>13</v>
      </c>
      <c r="G13" s="125">
        <v>5</v>
      </c>
      <c r="H13" s="143">
        <f>2001</f>
        <v>2001</v>
      </c>
      <c r="I13" s="143" t="s">
        <v>348</v>
      </c>
      <c r="J13" s="59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自律する召雷鎚 ミョルニル</v>
      </c>
      <c r="K13" s="144">
        <v>3</v>
      </c>
      <c r="L13" s="145"/>
      <c r="M13" s="146"/>
      <c r="N13" s="146"/>
      <c r="O13" s="146"/>
      <c r="P13" s="146"/>
      <c r="Q13" s="146"/>
      <c r="R13" s="141"/>
      <c r="S13" s="147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4:E1048576">
    <cfRule type="cellIs" dxfId="27" priority="8" operator="greaterThan">
      <formula>41</formula>
    </cfRule>
  </conditionalFormatting>
  <conditionalFormatting sqref="E2 E4 E6 E8 E10 E12">
    <cfRule type="cellIs" dxfId="26" priority="2" operator="greaterThan">
      <formula>41</formula>
    </cfRule>
  </conditionalFormatting>
  <conditionalFormatting sqref="E3 E5 E7 E9 E11 E13">
    <cfRule type="cellIs" dxfId="25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U1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D7" sqref="D7"/>
    </sheetView>
  </sheetViews>
  <sheetFormatPr baseColWidth="12" defaultColWidth="13" defaultRowHeight="21" customHeight="1" x14ac:dyDescent="0.15"/>
  <cols>
    <col min="1" max="2" width="12.1640625" style="138" customWidth="1"/>
    <col min="3" max="3" width="48.83203125" style="139" customWidth="1"/>
    <col min="4" max="4" width="32" style="139" customWidth="1"/>
    <col min="5" max="5" width="10.5" style="139" customWidth="1"/>
    <col min="6" max="6" width="37.5" style="139" customWidth="1"/>
    <col min="7" max="7" width="11" style="139" customWidth="1"/>
    <col min="8" max="8" width="15.5" style="139" customWidth="1"/>
    <col min="9" max="9" width="59.1640625" style="139" customWidth="1"/>
    <col min="10" max="10" width="6.83203125" style="138" bestFit="1" customWidth="1"/>
    <col min="11" max="11" width="20.33203125" style="138" customWidth="1"/>
    <col min="12" max="12" width="5" style="138" bestFit="1" customWidth="1"/>
    <col min="13" max="16384" width="13" style="138"/>
  </cols>
  <sheetData>
    <row r="1" spans="1:21" ht="21" customHeight="1" x14ac:dyDescent="0.15">
      <c r="A1" s="126" t="s">
        <v>215</v>
      </c>
      <c r="B1" s="127" t="s">
        <v>214</v>
      </c>
      <c r="C1" s="128" t="s">
        <v>213</v>
      </c>
      <c r="D1" s="129" t="s">
        <v>212</v>
      </c>
      <c r="E1" s="129" t="s">
        <v>211</v>
      </c>
      <c r="F1" s="130" t="s">
        <v>210</v>
      </c>
      <c r="G1" s="131" t="s">
        <v>226</v>
      </c>
      <c r="H1" s="156" t="s">
        <v>227</v>
      </c>
      <c r="I1" s="153" t="s">
        <v>217</v>
      </c>
      <c r="J1" s="130" t="s">
        <v>209</v>
      </c>
      <c r="K1" s="131" t="s">
        <v>208</v>
      </c>
      <c r="L1" s="135" t="s">
        <v>207</v>
      </c>
    </row>
    <row r="2" spans="1:21" ht="21" customHeight="1" x14ac:dyDescent="0.15">
      <c r="A2" s="12">
        <v>573</v>
      </c>
      <c r="B2" s="140" t="s">
        <v>219</v>
      </c>
      <c r="C2" s="141" t="s">
        <v>282</v>
      </c>
      <c r="D2" s="141" t="s">
        <v>283</v>
      </c>
      <c r="E2" s="142">
        <f t="shared" ref="E2" si="0">LEN(D2)</f>
        <v>21</v>
      </c>
      <c r="F2" s="152" t="s">
        <v>313</v>
      </c>
      <c r="G2" s="152">
        <v>1.5</v>
      </c>
      <c r="H2" s="155">
        <f ca="1">VLOOKUP(A2,units!A:BN,64)*G2*1.1*1.3</f>
        <v>4341.4800000000005</v>
      </c>
      <c r="I2" s="154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オーディン</v>
      </c>
      <c r="J2" s="143">
        <v>3</v>
      </c>
      <c r="K2" s="143"/>
      <c r="L2" s="148"/>
      <c r="M2" s="144">
        <v>1</v>
      </c>
      <c r="N2" s="145"/>
      <c r="O2" s="146"/>
      <c r="P2" s="146"/>
      <c r="Q2" s="146"/>
      <c r="R2" s="146"/>
      <c r="S2" s="146"/>
      <c r="T2" s="141"/>
      <c r="U2" s="147"/>
    </row>
    <row r="3" spans="1:21" ht="21" customHeight="1" x14ac:dyDescent="0.15">
      <c r="A3" s="12">
        <v>574</v>
      </c>
      <c r="B3" s="140" t="s">
        <v>219</v>
      </c>
      <c r="C3" s="141" t="s">
        <v>282</v>
      </c>
      <c r="D3" s="141" t="s">
        <v>281</v>
      </c>
      <c r="E3" s="142">
        <f t="shared" ref="E3:E4" si="1">LEN(D3)</f>
        <v>21</v>
      </c>
      <c r="F3" s="152" t="s">
        <v>312</v>
      </c>
      <c r="G3" s="152">
        <v>1.5</v>
      </c>
      <c r="H3" s="155">
        <f ca="1">VLOOKUP(A3,units!A:BN,64)*G3*1.1*1.3</f>
        <v>5499.7800000000007</v>
      </c>
      <c r="I3" s="154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世慧の守神 オーディン</v>
      </c>
      <c r="J3" s="143">
        <v>3</v>
      </c>
      <c r="K3" s="143"/>
      <c r="L3" s="148"/>
      <c r="M3" s="144">
        <v>1</v>
      </c>
      <c r="N3" s="145"/>
      <c r="O3" s="146"/>
      <c r="P3" s="146"/>
      <c r="Q3" s="146"/>
      <c r="R3" s="146"/>
      <c r="S3" s="146"/>
      <c r="T3" s="141"/>
      <c r="U3" s="147"/>
    </row>
    <row r="4" spans="1:21" ht="21" customHeight="1" x14ac:dyDescent="0.15">
      <c r="A4" s="12">
        <v>575</v>
      </c>
      <c r="B4" s="140" t="s">
        <v>219</v>
      </c>
      <c r="C4" s="141" t="s">
        <v>353</v>
      </c>
      <c r="D4" s="141" t="s">
        <v>361</v>
      </c>
      <c r="E4" s="142">
        <f t="shared" si="1"/>
        <v>15</v>
      </c>
      <c r="F4" s="152" t="s">
        <v>363</v>
      </c>
      <c r="G4" s="125">
        <v>7.4999999999999997E-2</v>
      </c>
      <c r="H4" s="155">
        <f ca="1">VLOOKUP(A4,units!A:BN,64)*G4</f>
        <v>223.27500000000001</v>
      </c>
      <c r="I4" s="154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フレイ</v>
      </c>
      <c r="J4" s="143">
        <v>3</v>
      </c>
      <c r="K4" s="143"/>
      <c r="L4" s="148"/>
      <c r="M4" s="144">
        <v>1</v>
      </c>
      <c r="N4" s="145"/>
      <c r="O4" s="146"/>
      <c r="P4" s="146"/>
      <c r="Q4" s="146"/>
      <c r="R4" s="146"/>
      <c r="S4" s="146"/>
      <c r="T4" s="141"/>
      <c r="U4" s="147"/>
    </row>
    <row r="5" spans="1:21" ht="21" customHeight="1" x14ac:dyDescent="0.15">
      <c r="A5" s="12">
        <v>576</v>
      </c>
      <c r="B5" s="140" t="s">
        <v>219</v>
      </c>
      <c r="C5" s="141" t="s">
        <v>353</v>
      </c>
      <c r="D5" s="141" t="s">
        <v>361</v>
      </c>
      <c r="E5" s="142">
        <f t="shared" ref="E5:E13" si="2">LEN(D5)</f>
        <v>15</v>
      </c>
      <c r="F5" s="152" t="s">
        <v>364</v>
      </c>
      <c r="G5" s="125">
        <v>7.4999999999999997E-2</v>
      </c>
      <c r="H5" s="155">
        <f ca="1">VLOOKUP(A5,units!A:BN,64)*G5</f>
        <v>287.09999999999997</v>
      </c>
      <c r="I5" s="154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統勝の豊穣王神 フレイ</v>
      </c>
      <c r="J5" s="143">
        <v>3</v>
      </c>
      <c r="K5" s="143"/>
      <c r="L5" s="148"/>
      <c r="M5" s="144">
        <v>1</v>
      </c>
      <c r="N5" s="145"/>
      <c r="O5" s="146"/>
      <c r="P5" s="146"/>
      <c r="Q5" s="146"/>
      <c r="R5" s="146"/>
      <c r="S5" s="146"/>
      <c r="T5" s="141"/>
      <c r="U5" s="147"/>
    </row>
    <row r="6" spans="1:21" ht="21" customHeight="1" x14ac:dyDescent="0.15">
      <c r="A6" s="12">
        <v>577</v>
      </c>
      <c r="B6" s="140" t="s">
        <v>219</v>
      </c>
      <c r="C6" s="115" t="s">
        <v>317</v>
      </c>
      <c r="D6" s="141" t="s">
        <v>310</v>
      </c>
      <c r="E6" s="142">
        <f t="shared" si="2"/>
        <v>15</v>
      </c>
      <c r="F6" s="125" t="s">
        <v>308</v>
      </c>
      <c r="G6" s="125">
        <v>0.45</v>
      </c>
      <c r="H6" s="155">
        <f ca="1">VLOOKUP(A6,units!A:BN,64)*G6*1.1*1.3</f>
        <v>890.60400000000027</v>
      </c>
      <c r="I6" s="154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ビュグヴィルとベイラ</v>
      </c>
      <c r="J6" s="143">
        <v>3</v>
      </c>
      <c r="K6" s="143"/>
      <c r="L6" s="148"/>
      <c r="M6" s="144">
        <v>1</v>
      </c>
      <c r="N6" s="145"/>
      <c r="O6" s="146"/>
      <c r="P6" s="146"/>
      <c r="Q6" s="146"/>
      <c r="R6" s="146"/>
      <c r="S6" s="146"/>
      <c r="T6" s="141"/>
      <c r="U6" s="147"/>
    </row>
    <row r="7" spans="1:21" ht="21" customHeight="1" x14ac:dyDescent="0.15">
      <c r="A7" s="12">
        <v>578</v>
      </c>
      <c r="B7" s="140" t="s">
        <v>219</v>
      </c>
      <c r="C7" s="115" t="s">
        <v>318</v>
      </c>
      <c r="D7" s="141" t="s">
        <v>311</v>
      </c>
      <c r="E7" s="142">
        <f t="shared" si="2"/>
        <v>15</v>
      </c>
      <c r="F7" s="125" t="s">
        <v>309</v>
      </c>
      <c r="G7" s="125">
        <v>0.6</v>
      </c>
      <c r="H7" s="155">
        <f ca="1">VLOOKUP(A7,units!A:BN,64)*G7*1.1*1.3</f>
        <v>1556.412</v>
      </c>
      <c r="I7" s="154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穣神従事 ビュグヴィルとベイラ</v>
      </c>
      <c r="J7" s="143">
        <v>3</v>
      </c>
      <c r="K7" s="143"/>
      <c r="L7" s="148"/>
      <c r="M7" s="144">
        <v>1</v>
      </c>
      <c r="N7" s="145"/>
      <c r="O7" s="146"/>
      <c r="P7" s="146"/>
      <c r="Q7" s="146"/>
      <c r="R7" s="146"/>
      <c r="S7" s="146"/>
      <c r="T7" s="141"/>
      <c r="U7" s="147"/>
    </row>
    <row r="8" spans="1:21" ht="21" customHeight="1" x14ac:dyDescent="0.15">
      <c r="A8" s="12">
        <v>579</v>
      </c>
      <c r="B8" s="140" t="s">
        <v>219</v>
      </c>
      <c r="C8" s="141" t="s">
        <v>289</v>
      </c>
      <c r="D8" s="141" t="s">
        <v>284</v>
      </c>
      <c r="E8" s="142">
        <f t="shared" si="2"/>
        <v>20</v>
      </c>
      <c r="F8" s="125" t="s">
        <v>278</v>
      </c>
      <c r="G8" s="125">
        <v>1.75</v>
      </c>
      <c r="H8" s="155">
        <f ca="1">VLOOKUP(A8,units!A:BN,64)*G8*1.1*1.3</f>
        <v>4309.3050000000003</v>
      </c>
      <c r="I8" s="154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オーズ</v>
      </c>
      <c r="J8" s="143">
        <v>3</v>
      </c>
      <c r="K8" s="143"/>
      <c r="L8" s="148"/>
      <c r="M8" s="144">
        <v>1</v>
      </c>
      <c r="N8" s="145"/>
      <c r="O8" s="146"/>
      <c r="P8" s="146"/>
      <c r="Q8" s="146"/>
      <c r="R8" s="146"/>
      <c r="S8" s="146"/>
      <c r="T8" s="141"/>
      <c r="U8" s="147"/>
    </row>
    <row r="9" spans="1:21" ht="21" customHeight="1" x14ac:dyDescent="0.15">
      <c r="A9" s="12">
        <v>580</v>
      </c>
      <c r="B9" s="140" t="s">
        <v>219</v>
      </c>
      <c r="C9" s="141" t="s">
        <v>290</v>
      </c>
      <c r="D9" s="141" t="s">
        <v>285</v>
      </c>
      <c r="E9" s="142">
        <f t="shared" si="2"/>
        <v>20</v>
      </c>
      <c r="F9" s="125" t="s">
        <v>279</v>
      </c>
      <c r="G9" s="125">
        <v>2</v>
      </c>
      <c r="H9" s="155">
        <f ca="1">VLOOKUP(A9,units!A:BN,64)*G9*1.1*1.3</f>
        <v>6452.1600000000008</v>
      </c>
      <c r="I9" s="154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愛憐の旅神 オーズ</v>
      </c>
      <c r="J9" s="143">
        <v>3</v>
      </c>
      <c r="K9" s="143"/>
      <c r="L9" s="148"/>
      <c r="M9" s="144">
        <v>1</v>
      </c>
      <c r="N9" s="145"/>
      <c r="O9" s="146"/>
      <c r="P9" s="146"/>
      <c r="Q9" s="146"/>
      <c r="R9" s="146"/>
      <c r="S9" s="146"/>
      <c r="T9" s="141"/>
      <c r="U9" s="147"/>
    </row>
    <row r="10" spans="1:21" ht="21" customHeight="1" x14ac:dyDescent="0.15">
      <c r="A10" s="12">
        <v>581</v>
      </c>
      <c r="B10" s="140" t="s">
        <v>219</v>
      </c>
      <c r="C10" s="143" t="s">
        <v>272</v>
      </c>
      <c r="D10" s="141" t="str">
        <f>D11</f>
        <v>マシンに効果大の単体ダメージ_x000D_+アニマルに効果大の単体ダメージ</v>
      </c>
      <c r="E10" s="142">
        <f t="shared" si="2"/>
        <v>31</v>
      </c>
      <c r="F10" s="164" t="str">
        <f>F11</f>
        <v>[effect:damage_anti_tribe, target:enemy_one, tribe:animal, val1:1.578, val2:0.786, animation:damage_one_blue04],[effect:damage_anti_tribe, target:enemy_one, tribe:machine, val1:1.578, val2:0.786, animation:damage_one_blue04]</v>
      </c>
      <c r="G10" s="125">
        <v>1.5780000000000001</v>
      </c>
      <c r="H10" s="155">
        <f ca="1">(VLOOKUP(A10,units!A:BN,64)*G10*1.1*1.3) *2</f>
        <v>8358.2241600000016</v>
      </c>
      <c r="I10" s="154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フギンとムニン</v>
      </c>
      <c r="J10" s="143">
        <v>3</v>
      </c>
      <c r="K10" s="143"/>
      <c r="L10" s="148"/>
      <c r="M10" s="144">
        <v>1</v>
      </c>
      <c r="N10" s="145"/>
      <c r="O10" s="146"/>
      <c r="P10" s="146"/>
      <c r="Q10" s="146"/>
      <c r="R10" s="146"/>
      <c r="S10" s="146"/>
      <c r="T10" s="141"/>
      <c r="U10" s="147"/>
    </row>
    <row r="11" spans="1:21" ht="21" customHeight="1" x14ac:dyDescent="0.15">
      <c r="A11" s="12">
        <v>582</v>
      </c>
      <c r="B11" s="140" t="s">
        <v>219</v>
      </c>
      <c r="C11" s="143" t="s">
        <v>273</v>
      </c>
      <c r="D11" s="141" t="s">
        <v>264</v>
      </c>
      <c r="E11" s="142">
        <f t="shared" si="2"/>
        <v>31</v>
      </c>
      <c r="F11" s="164" t="s">
        <v>265</v>
      </c>
      <c r="G11" s="125">
        <v>1.5780000000000001</v>
      </c>
      <c r="H11" s="155">
        <f ca="1">(VLOOKUP(A11,units!A:BN,64)*G11*1.1*1.3) *2</f>
        <v>15046.608720000004</v>
      </c>
      <c r="I11" s="154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空を駆る双鴉 フギンとムニン</v>
      </c>
      <c r="J11" s="143">
        <v>3</v>
      </c>
      <c r="K11" s="143"/>
      <c r="L11" s="148"/>
      <c r="M11" s="144">
        <v>1</v>
      </c>
      <c r="N11" s="145"/>
      <c r="O11" s="146"/>
      <c r="P11" s="146"/>
      <c r="Q11" s="146"/>
      <c r="R11" s="146"/>
      <c r="S11" s="146"/>
      <c r="T11" s="141"/>
      <c r="U11" s="147"/>
    </row>
    <row r="12" spans="1:21" ht="21" customHeight="1" x14ac:dyDescent="0.15">
      <c r="A12" s="12">
        <v>583</v>
      </c>
      <c r="B12" s="140" t="s">
        <v>219</v>
      </c>
      <c r="C12" s="143" t="s">
        <v>230</v>
      </c>
      <c r="D12" s="141" t="s">
        <v>225</v>
      </c>
      <c r="E12" s="142">
        <f t="shared" si="2"/>
        <v>8</v>
      </c>
      <c r="F12" s="152" t="s">
        <v>228</v>
      </c>
      <c r="G12" s="125">
        <v>2</v>
      </c>
      <c r="H12" s="155">
        <f ca="1">VLOOKUP(A12,units!A:BN,64)*G12*1.1*1.3</f>
        <v>7487.4800000000005</v>
      </c>
      <c r="I12" s="154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ミョルニル</v>
      </c>
      <c r="J12" s="143">
        <v>3</v>
      </c>
      <c r="K12" s="143"/>
      <c r="L12" s="148"/>
      <c r="M12" s="144">
        <v>1</v>
      </c>
      <c r="N12" s="145"/>
      <c r="O12" s="146"/>
      <c r="P12" s="146"/>
      <c r="Q12" s="146"/>
      <c r="R12" s="146"/>
      <c r="S12" s="146"/>
      <c r="T12" s="141"/>
      <c r="U12" s="147"/>
    </row>
    <row r="13" spans="1:21" ht="21" customHeight="1" x14ac:dyDescent="0.15">
      <c r="A13" s="12">
        <v>584</v>
      </c>
      <c r="B13" s="140" t="s">
        <v>219</v>
      </c>
      <c r="C13" s="143" t="s">
        <v>230</v>
      </c>
      <c r="D13" s="141" t="s">
        <v>225</v>
      </c>
      <c r="E13" s="142">
        <f t="shared" si="2"/>
        <v>8</v>
      </c>
      <c r="F13" s="152" t="s">
        <v>228</v>
      </c>
      <c r="G13" s="125">
        <v>2</v>
      </c>
      <c r="H13" s="155">
        <f ca="1">VLOOKUP(A13,units!A:BN,64)*G13*1.1*1.3</f>
        <v>9809.8000000000011</v>
      </c>
      <c r="I13" s="154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自律する召雷鎚 ミョルニル</v>
      </c>
      <c r="J13" s="143">
        <v>3</v>
      </c>
      <c r="K13" s="143"/>
      <c r="L13" s="148"/>
      <c r="M13" s="144">
        <v>1</v>
      </c>
      <c r="N13" s="145"/>
      <c r="O13" s="146"/>
      <c r="P13" s="146"/>
      <c r="Q13" s="146"/>
      <c r="R13" s="146"/>
      <c r="S13" s="146"/>
      <c r="T13" s="141"/>
      <c r="U13" s="147"/>
    </row>
  </sheetData>
  <sheetProtection selectLockedCells="1" selectUnlockedCells="1"/>
  <autoFilter ref="A1:L1"/>
  <phoneticPr fontId="22"/>
  <conditionalFormatting sqref="E2 E4 E6 E8 E10 E12">
    <cfRule type="cellIs" dxfId="24" priority="2" operator="greaterThan">
      <formula>41</formula>
    </cfRule>
  </conditionalFormatting>
  <conditionalFormatting sqref="E3 E5 E7 E9 E11 E13">
    <cfRule type="cellIs" dxfId="2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43"/>
  <sheetViews>
    <sheetView topLeftCell="B27" workbookViewId="0">
      <selection activeCell="G46" sqref="G46"/>
    </sheetView>
  </sheetViews>
  <sheetFormatPr baseColWidth="12" defaultRowHeight="15" outlineLevelCol="1" x14ac:dyDescent="0.15"/>
  <cols>
    <col min="1" max="1" width="11.6640625" bestFit="1" customWidth="1"/>
    <col min="2" max="2" width="21.5" style="150" customWidth="1"/>
    <col min="4" max="4" width="12.83203125" style="150" customWidth="1" outlineLevel="1"/>
    <col min="5" max="5" width="12.83203125" style="150"/>
    <col min="8" max="8" width="31" bestFit="1" customWidth="1"/>
  </cols>
  <sheetData>
    <row r="1" spans="1:8" x14ac:dyDescent="0.15">
      <c r="A1" s="122" t="s">
        <v>171</v>
      </c>
      <c r="B1" s="149" t="s">
        <v>232</v>
      </c>
      <c r="C1" s="122" t="s">
        <v>233</v>
      </c>
      <c r="D1" s="149" t="s">
        <v>234</v>
      </c>
      <c r="E1" s="149" t="s">
        <v>235</v>
      </c>
      <c r="F1" s="119" t="s">
        <v>167</v>
      </c>
      <c r="G1" s="122" t="s">
        <v>220</v>
      </c>
      <c r="H1" s="119" t="s">
        <v>221</v>
      </c>
    </row>
    <row r="2" spans="1:8" x14ac:dyDescent="0.15">
      <c r="A2" s="15">
        <v>583</v>
      </c>
      <c r="B2" s="118" t="str">
        <f ca="1">VLOOKUP(A2,units!A:B,2)</f>
        <v>ミョルニル</v>
      </c>
      <c r="C2" s="159" t="s">
        <v>237</v>
      </c>
      <c r="D2" s="160"/>
      <c r="E2" s="160" t="str">
        <f>A2&amp;+(COUNTIF(A$2:A2,A2)-1)</f>
        <v>5830</v>
      </c>
      <c r="F2" s="143" t="s">
        <v>218</v>
      </c>
      <c r="G2" s="143" t="str">
        <f>VLOOKUP(E2,unit_serifs_i18n!C:F,3,FALSE)</f>
        <v>giza</v>
      </c>
      <c r="H2" s="161" t="str">
        <f>VLOOKUP(E2,unit_serifs_i18n!C:F,4,FALSE)</f>
        <v>エネルギー全開です</v>
      </c>
    </row>
    <row r="3" spans="1:8" x14ac:dyDescent="0.15">
      <c r="A3" s="15">
        <v>583</v>
      </c>
      <c r="B3" s="118" t="str">
        <f ca="1">VLOOKUP(A3,units!A:B,2)</f>
        <v>ミョルニル</v>
      </c>
      <c r="C3" s="159" t="s">
        <v>238</v>
      </c>
      <c r="D3" s="160"/>
      <c r="E3" s="162" t="str">
        <f>A3&amp;+(COUNTIF(A$2:A3,A3)-1)</f>
        <v>5831</v>
      </c>
      <c r="F3" s="143" t="s">
        <v>218</v>
      </c>
      <c r="G3" s="143" t="str">
        <f>VLOOKUP(E3,unit_serifs_i18n!C:F,3,FALSE)</f>
        <v>maru</v>
      </c>
      <c r="H3" s="161" t="str">
        <f>VLOOKUP(E3,unit_serifs_i18n!C:F,4,FALSE)</f>
        <v>あなたの力を見せてください</v>
      </c>
    </row>
    <row r="4" spans="1:8" x14ac:dyDescent="0.15">
      <c r="A4" s="15">
        <v>583</v>
      </c>
      <c r="B4" s="118" t="str">
        <f ca="1">VLOOKUP(A4,units!A:B,2)</f>
        <v>ミョルニル</v>
      </c>
      <c r="C4" s="159" t="s">
        <v>239</v>
      </c>
      <c r="D4" s="160"/>
      <c r="E4" s="162" t="str">
        <f>A4&amp;+(COUNTIF(A$2:A4,A4)-1)</f>
        <v>5832</v>
      </c>
      <c r="F4" s="143" t="s">
        <v>218</v>
      </c>
      <c r="G4" s="143" t="str">
        <f>VLOOKUP(E4,unit_serifs_i18n!C:F,3,FALSE)</f>
        <v>maru</v>
      </c>
      <c r="H4" s="161" t="str">
        <f>VLOOKUP(E4,unit_serifs_i18n!C:F,4,FALSE)</f>
        <v>その程度ですか</v>
      </c>
    </row>
    <row r="5" spans="1:8" x14ac:dyDescent="0.15">
      <c r="A5" s="158">
        <v>584</v>
      </c>
      <c r="B5" s="118" t="str">
        <f ca="1">VLOOKUP(A5,units!A:B,2)</f>
        <v>自律する召雷鎚 ミョルニル</v>
      </c>
      <c r="C5" s="159" t="s">
        <v>236</v>
      </c>
      <c r="D5" s="160"/>
      <c r="E5" s="162" t="str">
        <f>A5&amp;+(COUNTIF(A$2:A5,A5)-1)</f>
        <v>5840</v>
      </c>
      <c r="F5" s="143" t="s">
        <v>218</v>
      </c>
      <c r="G5" s="143" t="str">
        <f>VLOOKUP(E5,unit_serifs_i18n!C:F,3,FALSE)</f>
        <v>maru</v>
      </c>
      <c r="H5" s="161" t="str">
        <f>VLOOKUP(E5,unit_serifs_i18n!C:F,4,FALSE)</f>
        <v>出力レベルを最大にします</v>
      </c>
    </row>
    <row r="6" spans="1:8" x14ac:dyDescent="0.15">
      <c r="A6" s="15">
        <v>584</v>
      </c>
      <c r="B6" s="118" t="str">
        <f ca="1">VLOOKUP(A6,units!A:B,2)</f>
        <v>自律する召雷鎚 ミョルニル</v>
      </c>
      <c r="C6" s="159" t="s">
        <v>240</v>
      </c>
      <c r="D6" s="160"/>
      <c r="E6" s="162" t="str">
        <f>A6&amp;+(COUNTIF(A$2:A6,A6)-1)</f>
        <v>5841</v>
      </c>
      <c r="F6" s="143" t="s">
        <v>218</v>
      </c>
      <c r="G6" s="143" t="str">
        <f>VLOOKUP(E6,unit_serifs_i18n!C:F,3,FALSE)</f>
        <v>giza</v>
      </c>
      <c r="H6" s="161" t="str">
        <f>VLOOKUP(E6,unit_serifs_i18n!C:F,4,FALSE)</f>
        <v>モードチェンジ・・・！</v>
      </c>
    </row>
    <row r="7" spans="1:8" x14ac:dyDescent="0.15">
      <c r="A7" s="158">
        <v>584</v>
      </c>
      <c r="B7" s="118" t="str">
        <f ca="1">VLOOKUP(A7,units!A:B,2)</f>
        <v>自律する召雷鎚 ミョルニル</v>
      </c>
      <c r="C7" s="159" t="s">
        <v>240</v>
      </c>
      <c r="D7" s="160"/>
      <c r="E7" s="162" t="str">
        <f>E2</f>
        <v>5830</v>
      </c>
      <c r="F7" s="143" t="s">
        <v>241</v>
      </c>
      <c r="G7" s="143" t="str">
        <f>VLOOKUP(E7,unit_serifs_i18n!C:F,3,FALSE)</f>
        <v>giza</v>
      </c>
      <c r="H7" s="161" t="str">
        <f>VLOOKUP(E7,unit_serifs_i18n!C:F,4,FALSE)</f>
        <v>エネルギー全開です</v>
      </c>
    </row>
    <row r="8" spans="1:8" x14ac:dyDescent="0.15">
      <c r="A8" s="15">
        <v>584</v>
      </c>
      <c r="B8" s="118" t="str">
        <f ca="1">VLOOKUP(A8,units!A:B,2)</f>
        <v>自律する召雷鎚 ミョルニル</v>
      </c>
      <c r="C8" s="159" t="s">
        <v>242</v>
      </c>
      <c r="D8" s="160"/>
      <c r="E8" s="162" t="str">
        <f>E3</f>
        <v>5831</v>
      </c>
      <c r="F8" s="143" t="s">
        <v>218</v>
      </c>
      <c r="G8" s="143" t="str">
        <f>VLOOKUP(E8,unit_serifs_i18n!C:F,3,FALSE)</f>
        <v>maru</v>
      </c>
      <c r="H8" s="161" t="str">
        <f>VLOOKUP(E8,unit_serifs_i18n!C:F,4,FALSE)</f>
        <v>あなたの力を見せてください</v>
      </c>
    </row>
    <row r="9" spans="1:8" x14ac:dyDescent="0.15">
      <c r="A9" s="158">
        <v>581</v>
      </c>
      <c r="B9" s="118" t="str">
        <f ca="1">VLOOKUP(A9,units!A:B,2)</f>
        <v>フギンとムニン</v>
      </c>
      <c r="C9" s="159" t="s">
        <v>269</v>
      </c>
      <c r="D9" s="160"/>
      <c r="E9" s="162" t="str">
        <f>A9&amp;+(COUNTIF(A$2:A9,A9)-1)</f>
        <v>5810</v>
      </c>
      <c r="F9" s="143" t="s">
        <v>218</v>
      </c>
      <c r="G9" s="143" t="str">
        <f>VLOOKUP(E9,unit_serifs_i18n!C:F,3,FALSE)</f>
        <v>maru</v>
      </c>
      <c r="H9" s="161" t="str">
        <f>VLOOKUP(E9,unit_serifs_i18n!C:F,4,FALSE)</f>
        <v>私たちの力を見よ！</v>
      </c>
    </row>
    <row r="10" spans="1:8" x14ac:dyDescent="0.15">
      <c r="A10" s="158">
        <v>581</v>
      </c>
      <c r="B10" s="118" t="str">
        <f ca="1">VLOOKUP(A10,units!A:B,2)</f>
        <v>フギンとムニン</v>
      </c>
      <c r="C10" s="159" t="s">
        <v>238</v>
      </c>
      <c r="D10" s="160"/>
      <c r="E10" s="162" t="str">
        <f>A10&amp;+(COUNTIF(A$2:A10,A10)-1)</f>
        <v>5811</v>
      </c>
      <c r="F10" s="143" t="s">
        <v>218</v>
      </c>
      <c r="G10" s="143" t="str">
        <f>VLOOKUP(E10,unit_serifs_i18n!C:F,3,FALSE)</f>
        <v>giza</v>
      </c>
      <c r="H10" s="161" t="str">
        <f>VLOOKUP(E10,unit_serifs_i18n!C:F,4,FALSE)</f>
        <v>見つけたである。キミの弱点。</v>
      </c>
    </row>
    <row r="11" spans="1:8" x14ac:dyDescent="0.15">
      <c r="A11" s="158">
        <v>581</v>
      </c>
      <c r="B11" s="118" t="str">
        <f ca="1">VLOOKUP(A11,units!A:B,2)</f>
        <v>フギンとムニン</v>
      </c>
      <c r="C11" s="159" t="s">
        <v>238</v>
      </c>
      <c r="D11" s="160"/>
      <c r="E11" s="162" t="str">
        <f>A11&amp;+(COUNTIF(A$2:A11,A11)-1)</f>
        <v>5812</v>
      </c>
      <c r="F11" s="143" t="s">
        <v>218</v>
      </c>
      <c r="G11" s="143" t="str">
        <f>VLOOKUP(E11,unit_serifs_i18n!C:F,3,FALSE)</f>
        <v>giza</v>
      </c>
      <c r="H11" s="161" t="str">
        <f>VLOOKUP(E11,unit_serifs_i18n!C:F,4,FALSE)</f>
        <v>オマエもここまでだ！</v>
      </c>
    </row>
    <row r="12" spans="1:8" x14ac:dyDescent="0.15">
      <c r="A12" s="158">
        <v>582</v>
      </c>
      <c r="B12" s="118" t="str">
        <f ca="1">VLOOKUP(A12,units!A:B,2)</f>
        <v>空を駆る双鴉 フギンとムニン</v>
      </c>
      <c r="C12" s="159" t="s">
        <v>269</v>
      </c>
      <c r="D12" s="160"/>
      <c r="E12" s="162" t="str">
        <f>A12&amp;+(COUNTIF(A$2:A12,A12)-1)</f>
        <v>5820</v>
      </c>
      <c r="F12" s="143" t="s">
        <v>218</v>
      </c>
      <c r="G12" s="143" t="str">
        <f>VLOOKUP(E12,unit_serifs_i18n!C:F,3,FALSE)</f>
        <v>giza</v>
      </c>
      <c r="H12" s="161" t="str">
        <f>VLOOKUP(E12,unit_serifs_i18n!C:F,4,FALSE)</f>
        <v>私たちに解けないものはない！</v>
      </c>
    </row>
    <row r="13" spans="1:8" x14ac:dyDescent="0.15">
      <c r="A13" s="158">
        <v>582</v>
      </c>
      <c r="B13" s="118" t="str">
        <f ca="1">VLOOKUP(A13,units!A:B,2)</f>
        <v>空を駆る双鴉 フギンとムニン</v>
      </c>
      <c r="C13" s="159" t="s">
        <v>238</v>
      </c>
      <c r="D13" s="160"/>
      <c r="E13" s="162" t="str">
        <f>A13&amp;+(COUNTIF(A$2:A13,A13)-1)</f>
        <v>5821</v>
      </c>
      <c r="F13" s="143" t="s">
        <v>218</v>
      </c>
      <c r="G13" s="143" t="str">
        <f>VLOOKUP(E13,unit_serifs_i18n!C:F,3,FALSE)</f>
        <v>giza</v>
      </c>
      <c r="H13" s="161" t="str">
        <f>VLOOKUP(E13,unit_serifs_i18n!C:F,4,FALSE)</f>
        <v>私たちに死角はない！</v>
      </c>
    </row>
    <row r="14" spans="1:8" x14ac:dyDescent="0.15">
      <c r="A14" s="158">
        <v>582</v>
      </c>
      <c r="B14" s="118" t="str">
        <f ca="1">VLOOKUP(A14,units!A:B,2)</f>
        <v>空を駆る双鴉 フギンとムニン</v>
      </c>
      <c r="C14" s="159" t="s">
        <v>238</v>
      </c>
      <c r="D14" s="160"/>
      <c r="E14" s="162" t="str">
        <f>E10</f>
        <v>5811</v>
      </c>
      <c r="F14" s="143" t="s">
        <v>218</v>
      </c>
      <c r="G14" s="143" t="s">
        <v>270</v>
      </c>
      <c r="H14" s="161" t="str">
        <f>VLOOKUP(E14,unit_serifs_i18n!C:F,4,FALSE)</f>
        <v>見つけたである。キミの弱点。</v>
      </c>
    </row>
    <row r="15" spans="1:8" x14ac:dyDescent="0.15">
      <c r="A15" s="158">
        <v>582</v>
      </c>
      <c r="B15" s="118" t="str">
        <f ca="1">VLOOKUP(A15,units!A:B,2)</f>
        <v>空を駆る双鴉 フギンとムニン</v>
      </c>
      <c r="C15" s="159" t="s">
        <v>238</v>
      </c>
      <c r="D15" s="160"/>
      <c r="E15" s="162" t="str">
        <f>E11</f>
        <v>5812</v>
      </c>
      <c r="F15" s="143" t="s">
        <v>218</v>
      </c>
      <c r="G15" s="143" t="str">
        <f>VLOOKUP(E15,unit_serifs_i18n!C:F,3,FALSE)</f>
        <v>giza</v>
      </c>
      <c r="H15" s="161" t="str">
        <f>VLOOKUP(E15,unit_serifs_i18n!C:F,4,FALSE)</f>
        <v>オマエもここまでだ！</v>
      </c>
    </row>
    <row r="16" spans="1:8" x14ac:dyDescent="0.15">
      <c r="A16" s="158">
        <v>573</v>
      </c>
      <c r="B16" s="118" t="str">
        <f ca="1">VLOOKUP(A16,units!A:B,2)</f>
        <v>オーディン</v>
      </c>
      <c r="C16" s="159" t="s">
        <v>306</v>
      </c>
      <c r="D16" s="160"/>
      <c r="E16" s="162" t="str">
        <f>A16&amp;+(COUNTIF(A$2:A16,A16)-1)</f>
        <v>5730</v>
      </c>
      <c r="F16" s="143" t="s">
        <v>218</v>
      </c>
      <c r="G16" s="143" t="str">
        <f>VLOOKUP(E16,unit_serifs_i18n!C:F,3,FALSE)</f>
        <v>maru</v>
      </c>
      <c r="H16" s="161" t="str">
        <f>VLOOKUP(E16,unit_serifs_i18n!C:F,4,FALSE)</f>
        <v>俺に挑むか…面白い</v>
      </c>
    </row>
    <row r="17" spans="1:8" x14ac:dyDescent="0.15">
      <c r="A17" s="158">
        <v>573</v>
      </c>
      <c r="B17" s="118" t="str">
        <f ca="1">VLOOKUP(A17,units!A:B,2)</f>
        <v>オーディン</v>
      </c>
      <c r="C17" s="159" t="s">
        <v>238</v>
      </c>
      <c r="D17" s="160"/>
      <c r="E17" s="162" t="str">
        <f>A17&amp;+(COUNTIF(A$2:A17,A17)-1)</f>
        <v>5731</v>
      </c>
      <c r="F17" s="143" t="s">
        <v>218</v>
      </c>
      <c r="G17" s="143" t="str">
        <f>VLOOKUP(E17,unit_serifs_i18n!C:F,3,FALSE)</f>
        <v>giza</v>
      </c>
      <c r="H17" s="161" t="str">
        <f>VLOOKUP(E17,unit_serifs_i18n!C:F,4,FALSE)</f>
        <v>起動、貫け！</v>
      </c>
    </row>
    <row r="18" spans="1:8" x14ac:dyDescent="0.15">
      <c r="A18" s="158">
        <v>573</v>
      </c>
      <c r="B18" s="118" t="str">
        <f ca="1">VLOOKUP(A18,units!A:B,2)</f>
        <v>オーディン</v>
      </c>
      <c r="C18" s="159" t="s">
        <v>238</v>
      </c>
      <c r="D18" s="160"/>
      <c r="E18" s="162" t="str">
        <f>A18&amp;+(COUNTIF(A$2:A18,A18)-1)</f>
        <v>5732</v>
      </c>
      <c r="F18" s="143" t="s">
        <v>218</v>
      </c>
      <c r="G18" s="143" t="str">
        <f>VLOOKUP(E18,unit_serifs_i18n!C:F,3,FALSE)</f>
        <v>maru</v>
      </c>
      <c r="H18" s="161" t="str">
        <f>VLOOKUP(E18,unit_serifs_i18n!C:F,4,FALSE)</f>
        <v>まだ倒れるなよ？</v>
      </c>
    </row>
    <row r="19" spans="1:8" x14ac:dyDescent="0.15">
      <c r="A19" s="158">
        <v>574</v>
      </c>
      <c r="B19" s="118" t="str">
        <f ca="1">VLOOKUP(A19,units!A:B,2)</f>
        <v>世慧の守神 オーディン</v>
      </c>
      <c r="C19" s="159" t="s">
        <v>306</v>
      </c>
      <c r="D19" s="160"/>
      <c r="E19" s="162" t="str">
        <f>A19&amp;+(COUNTIF(A$2:A19,A19)-1)</f>
        <v>5740</v>
      </c>
      <c r="F19" s="143" t="s">
        <v>218</v>
      </c>
      <c r="G19" s="143" t="str">
        <f>VLOOKUP(E19,unit_serifs_i18n!C:F,3,FALSE)</f>
        <v>maru</v>
      </c>
      <c r="H19" s="161" t="str">
        <f>VLOOKUP(E19,unit_serifs_i18n!C:F,4,FALSE)</f>
        <v>始まりの力、見せてやろう！</v>
      </c>
    </row>
    <row r="20" spans="1:8" x14ac:dyDescent="0.15">
      <c r="A20" s="158">
        <v>574</v>
      </c>
      <c r="B20" s="118" t="str">
        <f ca="1">VLOOKUP(A20,units!A:B,2)</f>
        <v>世慧の守神 オーディン</v>
      </c>
      <c r="C20" s="159" t="s">
        <v>238</v>
      </c>
      <c r="D20" s="160"/>
      <c r="E20" s="162" t="str">
        <f>A20&amp;+(COUNTIF(A$2:A20,A20)-1)</f>
        <v>5741</v>
      </c>
      <c r="F20" s="143" t="s">
        <v>218</v>
      </c>
      <c r="G20" s="143" t="str">
        <f>VLOOKUP(E20,unit_serifs_i18n!C:F,3,FALSE)</f>
        <v>giza</v>
      </c>
      <c r="H20" s="161" t="str">
        <f>VLOOKUP(E20,unit_serifs_i18n!C:F,4,FALSE)</f>
        <v>俺に続け！</v>
      </c>
    </row>
    <row r="21" spans="1:8" x14ac:dyDescent="0.15">
      <c r="A21" s="158">
        <v>574</v>
      </c>
      <c r="B21" s="118" t="str">
        <f ca="1">VLOOKUP(A21,units!A:B,2)</f>
        <v>世慧の守神 オーディン</v>
      </c>
      <c r="C21" s="159" t="s">
        <v>238</v>
      </c>
      <c r="D21" s="160"/>
      <c r="E21" s="162" t="str">
        <f>E18</f>
        <v>5732</v>
      </c>
      <c r="F21" s="143" t="s">
        <v>218</v>
      </c>
      <c r="G21" s="143" t="str">
        <f>VLOOKUP(E21,unit_serifs_i18n!C:F,3,FALSE)</f>
        <v>maru</v>
      </c>
      <c r="H21" s="161" t="str">
        <f>VLOOKUP(E21,unit_serifs_i18n!C:F,4,FALSE)</f>
        <v>まだ倒れるなよ？</v>
      </c>
    </row>
    <row r="22" spans="1:8" x14ac:dyDescent="0.15">
      <c r="A22" s="158">
        <v>574</v>
      </c>
      <c r="B22" s="118" t="str">
        <f ca="1">VLOOKUP(A22,units!A:B,2)</f>
        <v>世慧の守神 オーディン</v>
      </c>
      <c r="C22" s="159" t="s">
        <v>238</v>
      </c>
      <c r="D22" s="160"/>
      <c r="E22" s="162" t="str">
        <f>E17</f>
        <v>5731</v>
      </c>
      <c r="F22" s="143" t="s">
        <v>218</v>
      </c>
      <c r="G22" s="143" t="str">
        <f>VLOOKUP(E22,unit_serifs_i18n!C:F,3,FALSE)</f>
        <v>giza</v>
      </c>
      <c r="H22" s="161" t="str">
        <f>VLOOKUP(E22,unit_serifs_i18n!C:F,4,FALSE)</f>
        <v>起動、貫け！</v>
      </c>
    </row>
    <row r="23" spans="1:8" x14ac:dyDescent="0.15">
      <c r="A23" s="158">
        <v>579</v>
      </c>
      <c r="B23" s="118" t="str">
        <f ca="1">VLOOKUP(A23,units!A:B,2)</f>
        <v>オーズ</v>
      </c>
      <c r="C23" s="159" t="s">
        <v>306</v>
      </c>
      <c r="D23" s="160"/>
      <c r="E23" s="162" t="str">
        <f>A23&amp;+(COUNTIF(A$2:A23,A23)-1)</f>
        <v>5790</v>
      </c>
      <c r="F23" s="143" t="s">
        <v>218</v>
      </c>
      <c r="G23" s="143" t="str">
        <f>VLOOKUP(E23,unit_serifs_i18n!C:F,3,FALSE)</f>
        <v>maru</v>
      </c>
      <c r="H23" s="161" t="str">
        <f>VLOOKUP(E23,unit_serifs_i18n!C:F,4,FALSE)</f>
        <v>手がかりは必ずあるはず…</v>
      </c>
    </row>
    <row r="24" spans="1:8" x14ac:dyDescent="0.15">
      <c r="A24" s="158">
        <v>579</v>
      </c>
      <c r="B24" s="118" t="str">
        <f ca="1">VLOOKUP(A24,units!A:B,2)</f>
        <v>オーズ</v>
      </c>
      <c r="C24" s="159" t="s">
        <v>238</v>
      </c>
      <c r="D24" s="160"/>
      <c r="E24" s="162" t="str">
        <f>A24&amp;+(COUNTIF(A$2:A24,A24)-1)</f>
        <v>5791</v>
      </c>
      <c r="F24" s="143" t="s">
        <v>218</v>
      </c>
      <c r="G24" s="143" t="str">
        <f>VLOOKUP(E24,unit_serifs_i18n!C:F,3,FALSE)</f>
        <v>maru</v>
      </c>
      <c r="H24" s="161" t="str">
        <f>VLOOKUP(E24,unit_serifs_i18n!C:F,4,FALSE)</f>
        <v>君は何を知ってる？</v>
      </c>
    </row>
    <row r="25" spans="1:8" x14ac:dyDescent="0.15">
      <c r="A25" s="158">
        <v>579</v>
      </c>
      <c r="B25" s="118" t="str">
        <f ca="1">VLOOKUP(A25,units!A:B,2)</f>
        <v>オーズ</v>
      </c>
      <c r="C25" s="159" t="s">
        <v>238</v>
      </c>
      <c r="D25" s="160"/>
      <c r="E25" s="162" t="str">
        <f>A25&amp;+(COUNTIF(A$2:A25,A25)-1)</f>
        <v>5792</v>
      </c>
      <c r="F25" s="143" t="s">
        <v>218</v>
      </c>
      <c r="G25" s="143" t="str">
        <f>VLOOKUP(E25,unit_serifs_i18n!C:F,3,FALSE)</f>
        <v>maru</v>
      </c>
      <c r="H25" s="161" t="str">
        <f>VLOOKUP(E25,unit_serifs_i18n!C:F,4,FALSE)</f>
        <v>嘘をついていないか？</v>
      </c>
    </row>
    <row r="26" spans="1:8" x14ac:dyDescent="0.15">
      <c r="A26" s="158">
        <v>580</v>
      </c>
      <c r="B26" s="118" t="str">
        <f ca="1">VLOOKUP(A26,units!A:B,2)</f>
        <v>愛憐の旅神 オーズ</v>
      </c>
      <c r="C26" s="159" t="s">
        <v>306</v>
      </c>
      <c r="D26" s="160"/>
      <c r="E26" s="162" t="str">
        <f>A26&amp;+(COUNTIF(A$2:A26,A26)-1)</f>
        <v>5800</v>
      </c>
      <c r="F26" s="143" t="s">
        <v>218</v>
      </c>
      <c r="G26" s="143" t="str">
        <f>VLOOKUP(E26,unit_serifs_i18n!C:F,3,FALSE)</f>
        <v>giza</v>
      </c>
      <c r="H26" s="161" t="str">
        <f>VLOOKUP(E26,unit_serifs_i18n!C:F,4,FALSE)</f>
        <v>全ての謎は解けた！</v>
      </c>
    </row>
    <row r="27" spans="1:8" x14ac:dyDescent="0.15">
      <c r="A27" s="158">
        <v>580</v>
      </c>
      <c r="B27" s="118" t="str">
        <f ca="1">VLOOKUP(A27,units!A:B,2)</f>
        <v>愛憐の旅神 オーズ</v>
      </c>
      <c r="C27" s="159" t="s">
        <v>238</v>
      </c>
      <c r="D27" s="160"/>
      <c r="E27" s="162" t="str">
        <f>A27&amp;+(COUNTIF(A$2:A27,A27)-1)</f>
        <v>5801</v>
      </c>
      <c r="F27" s="143" t="s">
        <v>218</v>
      </c>
      <c r="G27" s="143" t="str">
        <f>VLOOKUP(E27,unit_serifs_i18n!C:F,3,FALSE)</f>
        <v>maru</v>
      </c>
      <c r="H27" s="161" t="str">
        <f>VLOOKUP(E27,unit_serifs_i18n!C:F,4,FALSE)</f>
        <v>それが答えか。</v>
      </c>
    </row>
    <row r="28" spans="1:8" x14ac:dyDescent="0.15">
      <c r="A28" s="158">
        <v>580</v>
      </c>
      <c r="B28" s="118" t="str">
        <f ca="1">VLOOKUP(A28,units!A:B,2)</f>
        <v>愛憐の旅神 オーズ</v>
      </c>
      <c r="C28" s="159" t="s">
        <v>238</v>
      </c>
      <c r="D28" s="160"/>
      <c r="E28" s="162" t="str">
        <f>E25</f>
        <v>5792</v>
      </c>
      <c r="F28" s="143" t="s">
        <v>218</v>
      </c>
      <c r="G28" s="143" t="str">
        <f>VLOOKUP(E28,unit_serifs_i18n!C:F,3,FALSE)</f>
        <v>maru</v>
      </c>
      <c r="H28" s="161" t="str">
        <f>VLOOKUP(E28,unit_serifs_i18n!C:F,4,FALSE)</f>
        <v>嘘をついていないか？</v>
      </c>
    </row>
    <row r="29" spans="1:8" x14ac:dyDescent="0.15">
      <c r="A29" s="158">
        <v>580</v>
      </c>
      <c r="B29" s="118" t="str">
        <f ca="1">VLOOKUP(A29,units!A:B,2)</f>
        <v>愛憐の旅神 オーズ</v>
      </c>
      <c r="C29" s="159" t="s">
        <v>238</v>
      </c>
      <c r="D29" s="160"/>
      <c r="E29" s="162" t="str">
        <f>E24</f>
        <v>5791</v>
      </c>
      <c r="F29" s="143" t="s">
        <v>218</v>
      </c>
      <c r="G29" s="143" t="str">
        <f>VLOOKUP(E29,unit_serifs_i18n!C:F,3,FALSE)</f>
        <v>maru</v>
      </c>
      <c r="H29" s="161" t="str">
        <f>VLOOKUP(E29,unit_serifs_i18n!C:F,4,FALSE)</f>
        <v>君は何を知ってる？</v>
      </c>
    </row>
    <row r="30" spans="1:8" x14ac:dyDescent="0.15">
      <c r="A30" s="158">
        <v>577</v>
      </c>
      <c r="B30" s="118" t="str">
        <f ca="1">VLOOKUP(A30,units!A:B,2)</f>
        <v>ビュグヴィルとベイラ</v>
      </c>
      <c r="C30" s="159" t="s">
        <v>236</v>
      </c>
      <c r="D30" s="160"/>
      <c r="E30" s="162" t="str">
        <f>A30&amp;+(COUNTIF(A$2:A30,A30)-1)</f>
        <v>5770</v>
      </c>
      <c r="F30" s="143" t="s">
        <v>218</v>
      </c>
      <c r="G30" s="143" t="str">
        <f>VLOOKUP(E30,unit_serifs_i18n!C:F,3,FALSE)</f>
        <v>giza</v>
      </c>
      <c r="H30" s="161" t="str">
        <f>VLOOKUP(E30,unit_serifs_i18n!C:F,4,FALSE)</f>
        <v>力を合わせて頑張ります！</v>
      </c>
    </row>
    <row r="31" spans="1:8" x14ac:dyDescent="0.15">
      <c r="A31" s="158">
        <v>577</v>
      </c>
      <c r="B31" s="118" t="str">
        <f ca="1">VLOOKUP(A31,units!A:B,2)</f>
        <v>ビュグヴィルとベイラ</v>
      </c>
      <c r="C31" s="159" t="s">
        <v>238</v>
      </c>
      <c r="D31" s="160"/>
      <c r="E31" s="162" t="str">
        <f>A31&amp;+(COUNTIF(A$2:A31,A31)-1)</f>
        <v>5771</v>
      </c>
      <c r="F31" s="143" t="s">
        <v>218</v>
      </c>
      <c r="G31" s="143" t="str">
        <f>VLOOKUP(E31,unit_serifs_i18n!C:F,3,FALSE)</f>
        <v>kumo</v>
      </c>
      <c r="H31" s="161" t="str">
        <f>VLOOKUP(E31,unit_serifs_i18n!C:F,4,FALSE)</f>
        <v>うにゃあっ！？</v>
      </c>
    </row>
    <row r="32" spans="1:8" x14ac:dyDescent="0.15">
      <c r="A32" s="158">
        <v>577</v>
      </c>
      <c r="B32" s="118" t="str">
        <f ca="1">VLOOKUP(A32,units!A:B,2)</f>
        <v>ビュグヴィルとベイラ</v>
      </c>
      <c r="C32" s="159" t="s">
        <v>238</v>
      </c>
      <c r="D32" s="160"/>
      <c r="E32" s="162" t="str">
        <f>A32&amp;+(COUNTIF(A$2:A32,A32)-1)</f>
        <v>5772</v>
      </c>
      <c r="F32" s="143" t="s">
        <v>218</v>
      </c>
      <c r="G32" s="143" t="str">
        <f>VLOOKUP(E32,unit_serifs_i18n!C:F,3,FALSE)</f>
        <v>maru</v>
      </c>
      <c r="H32" s="161" t="str">
        <f>VLOOKUP(E32,unit_serifs_i18n!C:F,4,FALSE)</f>
        <v>これもお仕事です！</v>
      </c>
    </row>
    <row r="33" spans="1:8" x14ac:dyDescent="0.15">
      <c r="A33" s="158">
        <v>578</v>
      </c>
      <c r="B33" s="118" t="str">
        <f ca="1">VLOOKUP(A33,units!A:B,2)</f>
        <v>穣神従事 ビュグヴィルとベイラ</v>
      </c>
      <c r="C33" s="159" t="s">
        <v>236</v>
      </c>
      <c r="D33" s="160"/>
      <c r="E33" s="162" t="str">
        <f>A33&amp;+(COUNTIF(A$2:A33,A33)-1)</f>
        <v>5780</v>
      </c>
      <c r="F33" s="143" t="s">
        <v>218</v>
      </c>
      <c r="G33" s="143" t="str">
        <f>VLOOKUP(E33,unit_serifs_i18n!C:F,3,FALSE)</f>
        <v>giza</v>
      </c>
      <c r="H33" s="161" t="str">
        <f>VLOOKUP(E33,unit_serifs_i18n!C:F,4,FALSE)</f>
        <v>みんなを元気にしてみせます！</v>
      </c>
    </row>
    <row r="34" spans="1:8" x14ac:dyDescent="0.15">
      <c r="A34" s="158">
        <v>578</v>
      </c>
      <c r="B34" s="118" t="str">
        <f ca="1">VLOOKUP(A34,units!A:B,2)</f>
        <v>穣神従事 ビュグヴィルとベイラ</v>
      </c>
      <c r="C34" s="159" t="s">
        <v>238</v>
      </c>
      <c r="D34" s="160"/>
      <c r="E34" s="162" t="str">
        <f>A34&amp;+(COUNTIF(A$2:A34,A34)-1)</f>
        <v>5781</v>
      </c>
      <c r="F34" s="143" t="s">
        <v>218</v>
      </c>
      <c r="G34" s="143" t="str">
        <f>VLOOKUP(E34,unit_serifs_i18n!C:F,3,FALSE)</f>
        <v>giza</v>
      </c>
      <c r="H34" s="161" t="str">
        <f>VLOOKUP(E34,unit_serifs_i18n!C:F,4,FALSE)</f>
        <v>みんなのために！</v>
      </c>
    </row>
    <row r="35" spans="1:8" x14ac:dyDescent="0.15">
      <c r="A35" s="158">
        <v>578</v>
      </c>
      <c r="B35" s="118" t="str">
        <f ca="1">VLOOKUP(A35,units!A:B,2)</f>
        <v>穣神従事 ビュグヴィルとベイラ</v>
      </c>
      <c r="C35" s="159" t="s">
        <v>238</v>
      </c>
      <c r="D35" s="160"/>
      <c r="E35" s="162" t="str">
        <f>E32</f>
        <v>5772</v>
      </c>
      <c r="F35" s="143" t="s">
        <v>218</v>
      </c>
      <c r="G35" s="143" t="str">
        <f>VLOOKUP(E35,unit_serifs_i18n!C:F,3,FALSE)</f>
        <v>maru</v>
      </c>
      <c r="H35" s="161" t="str">
        <f>VLOOKUP(E35,unit_serifs_i18n!C:F,4,FALSE)</f>
        <v>これもお仕事です！</v>
      </c>
    </row>
    <row r="36" spans="1:8" x14ac:dyDescent="0.15">
      <c r="A36" s="158">
        <v>578</v>
      </c>
      <c r="B36" s="118" t="str">
        <f ca="1">VLOOKUP(A36,units!A:B,2)</f>
        <v>穣神従事 ビュグヴィルとベイラ</v>
      </c>
      <c r="C36" s="159" t="s">
        <v>238</v>
      </c>
      <c r="D36" s="160"/>
      <c r="E36" s="162" t="str">
        <f>E31</f>
        <v>5771</v>
      </c>
      <c r="F36" s="143" t="s">
        <v>218</v>
      </c>
      <c r="G36" s="143" t="str">
        <f>VLOOKUP(E36,unit_serifs_i18n!C:F,3,FALSE)</f>
        <v>kumo</v>
      </c>
      <c r="H36" s="161" t="str">
        <f>VLOOKUP(E36,unit_serifs_i18n!C:F,4,FALSE)</f>
        <v>うにゃあっ！？</v>
      </c>
    </row>
    <row r="37" spans="1:8" x14ac:dyDescent="0.15">
      <c r="A37" s="158">
        <v>575</v>
      </c>
      <c r="B37" s="118" t="str">
        <f ca="1">VLOOKUP(A37,units!A:B,2)</f>
        <v>フレイ</v>
      </c>
      <c r="C37" s="159" t="s">
        <v>236</v>
      </c>
      <c r="D37" s="160"/>
      <c r="E37" s="162" t="str">
        <f>A37&amp;+(COUNTIF(A$2:A37,A37)-1)</f>
        <v>5750</v>
      </c>
      <c r="F37" s="143" t="s">
        <v>218</v>
      </c>
      <c r="G37" s="143" t="str">
        <f>VLOOKUP(E37,unit_serifs_i18n!C:F,3,FALSE)</f>
        <v>maru</v>
      </c>
      <c r="H37" s="161" t="str">
        <f>VLOOKUP(E37,unit_serifs_i18n!C:F,4,FALSE)</f>
        <v>俺に勝てるとでも思ったのか？</v>
      </c>
    </row>
    <row r="38" spans="1:8" x14ac:dyDescent="0.15">
      <c r="A38" s="158">
        <v>575</v>
      </c>
      <c r="B38" s="118" t="str">
        <f ca="1">VLOOKUP(A38,units!A:B,2)</f>
        <v>フレイ</v>
      </c>
      <c r="C38" s="159" t="s">
        <v>238</v>
      </c>
      <c r="D38" s="160"/>
      <c r="E38" s="162" t="str">
        <f>A38&amp;+(COUNTIF(A$2:A38,A38)-1)</f>
        <v>5751</v>
      </c>
      <c r="F38" s="143" t="s">
        <v>218</v>
      </c>
      <c r="G38" s="143" t="str">
        <f>VLOOKUP(E38,unit_serifs_i18n!C:F,3,FALSE)</f>
        <v>maru</v>
      </c>
      <c r="H38" s="161" t="str">
        <f>VLOOKUP(E38,unit_serifs_i18n!C:F,4,FALSE)</f>
        <v>調子に乗るなよ…！</v>
      </c>
    </row>
    <row r="39" spans="1:8" x14ac:dyDescent="0.15">
      <c r="A39" s="158">
        <v>575</v>
      </c>
      <c r="B39" s="118" t="str">
        <f ca="1">VLOOKUP(A39,units!A:B,2)</f>
        <v>フレイ</v>
      </c>
      <c r="C39" s="159" t="s">
        <v>238</v>
      </c>
      <c r="D39" s="160"/>
      <c r="E39" s="162" t="str">
        <f>A39&amp;+(COUNTIF(A$2:A39,A39)-1)</f>
        <v>5752</v>
      </c>
      <c r="F39" s="143" t="s">
        <v>218</v>
      </c>
      <c r="G39" s="143" t="str">
        <f>VLOOKUP(E39,unit_serifs_i18n!C:F,3,FALSE)</f>
        <v>maru</v>
      </c>
      <c r="H39" s="161" t="str">
        <f>VLOOKUP(E39,unit_serifs_i18n!C:F,4,FALSE)</f>
        <v>俺が管理してやるよ</v>
      </c>
    </row>
    <row r="40" spans="1:8" x14ac:dyDescent="0.15">
      <c r="A40" s="158">
        <v>576</v>
      </c>
      <c r="B40" s="118" t="str">
        <f ca="1">VLOOKUP(A40,units!A:B,2)</f>
        <v>統勝の豊穣王神 フレイ</v>
      </c>
      <c r="C40" s="159" t="s">
        <v>236</v>
      </c>
      <c r="D40" s="160"/>
      <c r="E40" s="162" t="str">
        <f>A40&amp;+(COUNTIF(A$2:A40,A40)-1)</f>
        <v>5760</v>
      </c>
      <c r="F40" s="143" t="s">
        <v>218</v>
      </c>
      <c r="G40" s="143" t="str">
        <f>VLOOKUP(E40,unit_serifs_i18n!C:F,3,FALSE)</f>
        <v>maru</v>
      </c>
      <c r="H40" s="161" t="str">
        <f>VLOOKUP(E40,unit_serifs_i18n!C:F,4,FALSE)</f>
        <v>勝者は常に俺だ…！</v>
      </c>
    </row>
    <row r="41" spans="1:8" x14ac:dyDescent="0.15">
      <c r="A41" s="158">
        <v>576</v>
      </c>
      <c r="B41" s="118" t="str">
        <f ca="1">VLOOKUP(A41,units!A:B,2)</f>
        <v>統勝の豊穣王神 フレイ</v>
      </c>
      <c r="C41" s="159" t="s">
        <v>238</v>
      </c>
      <c r="D41" s="160"/>
      <c r="E41" s="162" t="str">
        <f>A41&amp;+(COUNTIF(A$2:A41,A41)-1)</f>
        <v>5761</v>
      </c>
      <c r="F41" s="143" t="s">
        <v>218</v>
      </c>
      <c r="G41" s="143" t="str">
        <f>VLOOKUP(E41,unit_serifs_i18n!C:F,3,FALSE)</f>
        <v>giza</v>
      </c>
      <c r="H41" s="161" t="str">
        <f>VLOOKUP(E41,unit_serifs_i18n!C:F,4,FALSE)</f>
        <v>邪魔をするな！</v>
      </c>
    </row>
    <row r="42" spans="1:8" x14ac:dyDescent="0.15">
      <c r="A42" s="158">
        <v>576</v>
      </c>
      <c r="B42" s="118" t="str">
        <f ca="1">VLOOKUP(A42,units!A:B,2)</f>
        <v>統勝の豊穣王神 フレイ</v>
      </c>
      <c r="C42" s="159" t="s">
        <v>238</v>
      </c>
      <c r="D42" s="160"/>
      <c r="E42" s="162" t="str">
        <f>E39</f>
        <v>5752</v>
      </c>
      <c r="F42" s="143" t="s">
        <v>218</v>
      </c>
      <c r="G42" s="143" t="str">
        <f>VLOOKUP(E42,unit_serifs_i18n!C:F,3,FALSE)</f>
        <v>maru</v>
      </c>
      <c r="H42" s="161" t="str">
        <f>VLOOKUP(E42,unit_serifs_i18n!C:F,4,FALSE)</f>
        <v>俺が管理してやるよ</v>
      </c>
    </row>
    <row r="43" spans="1:8" x14ac:dyDescent="0.15">
      <c r="A43" s="158">
        <v>576</v>
      </c>
      <c r="B43" s="118" t="str">
        <f ca="1">VLOOKUP(A43,units!A:B,2)</f>
        <v>統勝の豊穣王神 フレイ</v>
      </c>
      <c r="C43" s="159" t="s">
        <v>238</v>
      </c>
      <c r="D43" s="160"/>
      <c r="E43" s="162" t="str">
        <f>E38</f>
        <v>5751</v>
      </c>
      <c r="F43" s="143" t="s">
        <v>218</v>
      </c>
      <c r="G43" s="143" t="str">
        <f>VLOOKUP(E43,unit_serifs_i18n!C:F,3,FALSE)</f>
        <v>maru</v>
      </c>
      <c r="H43" s="161" t="str">
        <f>VLOOKUP(E43,unit_serifs_i18n!C:F,4,FALSE)</f>
        <v>調子に乗るなよ…！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</sheetPr>
  <dimension ref="A1:F31"/>
  <sheetViews>
    <sheetView workbookViewId="0">
      <selection activeCell="F31" sqref="F31"/>
    </sheetView>
  </sheetViews>
  <sheetFormatPr baseColWidth="12" defaultRowHeight="15" x14ac:dyDescent="0.15"/>
  <cols>
    <col min="6" max="6" width="31" bestFit="1" customWidth="1"/>
    <col min="27" max="27" width="31" bestFit="1" customWidth="1"/>
  </cols>
  <sheetData>
    <row r="1" spans="1:6" x14ac:dyDescent="0.15">
      <c r="A1" s="122" t="s">
        <v>171</v>
      </c>
      <c r="B1" s="149" t="s">
        <v>243</v>
      </c>
      <c r="C1" s="119" t="s">
        <v>172</v>
      </c>
      <c r="D1" s="119" t="s">
        <v>244</v>
      </c>
      <c r="E1" s="119" t="s">
        <v>245</v>
      </c>
      <c r="F1" s="119" t="s">
        <v>246</v>
      </c>
    </row>
    <row r="2" spans="1:6" x14ac:dyDescent="0.15">
      <c r="A2" s="167">
        <v>583</v>
      </c>
      <c r="B2" s="118" t="str">
        <f>VLOOKUP(A2,[3]characters!$A:$C,3,FALSE)</f>
        <v>ミョルニル</v>
      </c>
      <c r="C2" s="160" t="str">
        <f>A2&amp;+(COUNTIF(A$2:A2,A2)-1)</f>
        <v>5830</v>
      </c>
      <c r="D2" s="143" t="s">
        <v>218</v>
      </c>
      <c r="E2" s="143" t="s">
        <v>254</v>
      </c>
      <c r="F2" s="118" t="s">
        <v>249</v>
      </c>
    </row>
    <row r="3" spans="1:6" x14ac:dyDescent="0.15">
      <c r="A3" s="167">
        <v>583</v>
      </c>
      <c r="B3" s="118" t="str">
        <f>VLOOKUP(A3,[3]characters!$A:$C,3,FALSE)</f>
        <v>ミョルニル</v>
      </c>
      <c r="C3" s="160" t="str">
        <f>A3&amp;+(COUNTIF(A$2:A3,A3)-1)</f>
        <v>5831</v>
      </c>
      <c r="D3" s="143" t="s">
        <v>218</v>
      </c>
      <c r="E3" s="143" t="s">
        <v>247</v>
      </c>
      <c r="F3" s="118" t="s">
        <v>250</v>
      </c>
    </row>
    <row r="4" spans="1:6" x14ac:dyDescent="0.15">
      <c r="A4" s="167">
        <v>583</v>
      </c>
      <c r="B4" s="118" t="str">
        <f>VLOOKUP(A4,[3]characters!$A:$C,3,FALSE)</f>
        <v>ミョルニル</v>
      </c>
      <c r="C4" s="160" t="str">
        <f>A4&amp;+(COUNTIF(A$2:A4,A4)-1)</f>
        <v>5832</v>
      </c>
      <c r="D4" s="143" t="s">
        <v>218</v>
      </c>
      <c r="E4" s="143" t="s">
        <v>247</v>
      </c>
      <c r="F4" s="118" t="s">
        <v>251</v>
      </c>
    </row>
    <row r="5" spans="1:6" x14ac:dyDescent="0.15">
      <c r="A5" s="167">
        <v>584</v>
      </c>
      <c r="B5" s="118" t="str">
        <f>VLOOKUP(A5,[3]characters!$A:$C,3,FALSE)</f>
        <v>ミョルニル</v>
      </c>
      <c r="C5" s="160" t="str">
        <f>A5&amp;+(COUNTIF(A$2:A5,A5)-1)</f>
        <v>5840</v>
      </c>
      <c r="D5" s="143" t="s">
        <v>218</v>
      </c>
      <c r="E5" s="143" t="s">
        <v>247</v>
      </c>
      <c r="F5" s="118" t="s">
        <v>252</v>
      </c>
    </row>
    <row r="6" spans="1:6" x14ac:dyDescent="0.15">
      <c r="A6" s="167">
        <v>584</v>
      </c>
      <c r="B6" s="118" t="str">
        <f>VLOOKUP(A6,[3]characters!$A:$C,3,FALSE)</f>
        <v>ミョルニル</v>
      </c>
      <c r="C6" s="160" t="str">
        <f>A6&amp;+(COUNTIF(A$2:A6,A6)-1)</f>
        <v>5841</v>
      </c>
      <c r="D6" s="143" t="s">
        <v>218</v>
      </c>
      <c r="E6" s="143" t="s">
        <v>248</v>
      </c>
      <c r="F6" s="118" t="s">
        <v>253</v>
      </c>
    </row>
    <row r="7" spans="1:6" x14ac:dyDescent="0.15">
      <c r="A7" s="167">
        <v>581</v>
      </c>
      <c r="B7" s="118" t="str">
        <f>VLOOKUP(A7,[3]characters!$A:$C,3,FALSE)</f>
        <v>フギンとムニン</v>
      </c>
      <c r="C7" s="160" t="str">
        <f>A7&amp;+(COUNTIF(A$2:A7,A7)-1)</f>
        <v>5810</v>
      </c>
      <c r="D7" s="143" t="s">
        <v>218</v>
      </c>
      <c r="E7" s="143" t="s">
        <v>247</v>
      </c>
      <c r="F7" s="118" t="s">
        <v>277</v>
      </c>
    </row>
    <row r="8" spans="1:6" x14ac:dyDescent="0.15">
      <c r="A8" s="167">
        <v>581</v>
      </c>
      <c r="B8" s="118" t="str">
        <f>VLOOKUP(A8,[3]characters!$A:$C,3,FALSE)</f>
        <v>フギンとムニン</v>
      </c>
      <c r="C8" s="160" t="str">
        <f>A8&amp;+(COUNTIF(A$2:A8,A8)-1)</f>
        <v>5811</v>
      </c>
      <c r="D8" s="143" t="s">
        <v>218</v>
      </c>
      <c r="E8" s="143" t="s">
        <v>248</v>
      </c>
      <c r="F8" s="118" t="s">
        <v>275</v>
      </c>
    </row>
    <row r="9" spans="1:6" x14ac:dyDescent="0.15">
      <c r="A9" s="167">
        <v>581</v>
      </c>
      <c r="B9" s="118" t="str">
        <f>VLOOKUP(A9,[3]characters!$A:$C,3,FALSE)</f>
        <v>フギンとムニン</v>
      </c>
      <c r="C9" s="160" t="str">
        <f>A9&amp;+(COUNTIF(A$2:A9,A9)-1)</f>
        <v>5812</v>
      </c>
      <c r="D9" s="143" t="s">
        <v>218</v>
      </c>
      <c r="E9" s="143" t="s">
        <v>248</v>
      </c>
      <c r="F9" s="118" t="s">
        <v>276</v>
      </c>
    </row>
    <row r="10" spans="1:6" x14ac:dyDescent="0.15">
      <c r="A10" s="167">
        <v>582</v>
      </c>
      <c r="B10" s="118" t="str">
        <f>VLOOKUP(A10,[3]characters!$A:$C,3,FALSE)</f>
        <v>フギンとムニン</v>
      </c>
      <c r="C10" s="160" t="str">
        <f>A10&amp;+(COUNTIF(A$2:A10,A10)-1)</f>
        <v>5820</v>
      </c>
      <c r="D10" s="143" t="s">
        <v>218</v>
      </c>
      <c r="E10" s="143" t="s">
        <v>248</v>
      </c>
      <c r="F10" s="118" t="s">
        <v>268</v>
      </c>
    </row>
    <row r="11" spans="1:6" x14ac:dyDescent="0.15">
      <c r="A11" s="167">
        <v>582</v>
      </c>
      <c r="B11" s="118" t="str">
        <f>VLOOKUP(A11,[3]characters!$A:$C,3,FALSE)</f>
        <v>フギンとムニン</v>
      </c>
      <c r="C11" s="160" t="str">
        <f>A11&amp;+(COUNTIF(A$2:A11,A11)-1)</f>
        <v>5821</v>
      </c>
      <c r="D11" s="143" t="s">
        <v>218</v>
      </c>
      <c r="E11" s="143" t="s">
        <v>248</v>
      </c>
      <c r="F11" s="118" t="s">
        <v>271</v>
      </c>
    </row>
    <row r="12" spans="1:6" x14ac:dyDescent="0.15">
      <c r="A12" s="12">
        <v>579</v>
      </c>
      <c r="B12" s="118" t="str">
        <f>VLOOKUP(A12,[3]characters!$A:$C,3,FALSE)</f>
        <v>オーズ</v>
      </c>
      <c r="C12" s="160" t="str">
        <f>A12&amp;+(COUNTIF(A$2:A12,A12)-1)</f>
        <v>5790</v>
      </c>
      <c r="D12" s="143" t="s">
        <v>218</v>
      </c>
      <c r="E12" s="143" t="s">
        <v>296</v>
      </c>
      <c r="F12" s="118" t="s">
        <v>295</v>
      </c>
    </row>
    <row r="13" spans="1:6" x14ac:dyDescent="0.15">
      <c r="A13" s="12">
        <v>579</v>
      </c>
      <c r="B13" s="118" t="str">
        <f>VLOOKUP(A13,[3]characters!$A:$C,3,FALSE)</f>
        <v>オーズ</v>
      </c>
      <c r="C13" s="160" t="str">
        <f>A13&amp;+(COUNTIF(A$2:A13,A13)-1)</f>
        <v>5791</v>
      </c>
      <c r="D13" s="143" t="s">
        <v>218</v>
      </c>
      <c r="E13" s="143" t="s">
        <v>247</v>
      </c>
      <c r="F13" s="118" t="s">
        <v>292</v>
      </c>
    </row>
    <row r="14" spans="1:6" x14ac:dyDescent="0.15">
      <c r="A14" s="12">
        <v>579</v>
      </c>
      <c r="B14" s="118" t="str">
        <f>VLOOKUP(A14,[3]characters!$A:$C,3,FALSE)</f>
        <v>オーズ</v>
      </c>
      <c r="C14" s="160" t="str">
        <f>A14&amp;+(COUNTIF(A$2:A14,A14)-1)</f>
        <v>5792</v>
      </c>
      <c r="D14" s="143" t="s">
        <v>218</v>
      </c>
      <c r="E14" s="143" t="s">
        <v>247</v>
      </c>
      <c r="F14" s="118" t="s">
        <v>293</v>
      </c>
    </row>
    <row r="15" spans="1:6" x14ac:dyDescent="0.15">
      <c r="A15" s="12">
        <v>580</v>
      </c>
      <c r="B15" s="118" t="str">
        <f>VLOOKUP(A15,[3]characters!$A:$C,3,FALSE)</f>
        <v>オーズ</v>
      </c>
      <c r="C15" s="160" t="str">
        <f>A15&amp;+(COUNTIF(A$2:A15,A15)-1)</f>
        <v>5800</v>
      </c>
      <c r="D15" s="143" t="s">
        <v>218</v>
      </c>
      <c r="E15" s="143" t="s">
        <v>294</v>
      </c>
      <c r="F15" s="118" t="s">
        <v>291</v>
      </c>
    </row>
    <row r="16" spans="1:6" x14ac:dyDescent="0.15">
      <c r="A16" s="12">
        <v>580</v>
      </c>
      <c r="B16" s="118" t="str">
        <f>VLOOKUP(A16,[3]characters!$A:$C,3,FALSE)</f>
        <v>オーズ</v>
      </c>
      <c r="C16" s="160" t="str">
        <f>A16&amp;+(COUNTIF(A$2:A16,A16)-1)</f>
        <v>5801</v>
      </c>
      <c r="D16" s="143" t="s">
        <v>218</v>
      </c>
      <c r="E16" s="143" t="s">
        <v>247</v>
      </c>
      <c r="F16" s="118" t="s">
        <v>297</v>
      </c>
    </row>
    <row r="17" spans="1:6" x14ac:dyDescent="0.15">
      <c r="A17" s="12">
        <v>573</v>
      </c>
      <c r="B17" s="118" t="str">
        <f>VLOOKUP(A17,[3]characters!$A:$C,3,FALSE)</f>
        <v>オーディン</v>
      </c>
      <c r="C17" s="160" t="str">
        <f>A17&amp;+(COUNTIF(A$2:A17,A17)-1)</f>
        <v>5730</v>
      </c>
      <c r="D17" s="143" t="s">
        <v>218</v>
      </c>
      <c r="E17" s="143" t="s">
        <v>247</v>
      </c>
      <c r="F17" s="118" t="s">
        <v>300</v>
      </c>
    </row>
    <row r="18" spans="1:6" x14ac:dyDescent="0.15">
      <c r="A18" s="12">
        <v>573</v>
      </c>
      <c r="B18" s="118" t="str">
        <f>VLOOKUP(A18,[3]characters!$A:$C,3,FALSE)</f>
        <v>オーディン</v>
      </c>
      <c r="C18" s="160" t="str">
        <f>A18&amp;+(COUNTIF(A$2:A18,A18)-1)</f>
        <v>5731</v>
      </c>
      <c r="D18" s="143" t="s">
        <v>218</v>
      </c>
      <c r="E18" s="143" t="s">
        <v>305</v>
      </c>
      <c r="F18" s="118" t="s">
        <v>302</v>
      </c>
    </row>
    <row r="19" spans="1:6" x14ac:dyDescent="0.15">
      <c r="A19" s="12">
        <v>573</v>
      </c>
      <c r="B19" s="118" t="str">
        <f>VLOOKUP(A19,[3]characters!$A:$C,3,FALSE)</f>
        <v>オーディン</v>
      </c>
      <c r="C19" s="160" t="str">
        <f>A19&amp;+(COUNTIF(A$2:A19,A19)-1)</f>
        <v>5732</v>
      </c>
      <c r="D19" s="143" t="s">
        <v>218</v>
      </c>
      <c r="E19" s="143" t="s">
        <v>247</v>
      </c>
      <c r="F19" s="118" t="s">
        <v>303</v>
      </c>
    </row>
    <row r="20" spans="1:6" x14ac:dyDescent="0.15">
      <c r="A20" s="12">
        <v>574</v>
      </c>
      <c r="B20" s="118" t="str">
        <f>VLOOKUP(A20,[3]characters!$A:$C,3,FALSE)</f>
        <v>オーディン</v>
      </c>
      <c r="C20" s="160" t="str">
        <f>A20&amp;+(COUNTIF(A$2:A20,A20)-1)</f>
        <v>5740</v>
      </c>
      <c r="D20" s="143" t="s">
        <v>218</v>
      </c>
      <c r="E20" s="143" t="s">
        <v>247</v>
      </c>
      <c r="F20" s="118" t="s">
        <v>301</v>
      </c>
    </row>
    <row r="21" spans="1:6" x14ac:dyDescent="0.15">
      <c r="A21" s="12">
        <v>574</v>
      </c>
      <c r="B21" s="118" t="str">
        <f>VLOOKUP(A21,[3]characters!$A:$C,3,FALSE)</f>
        <v>オーディン</v>
      </c>
      <c r="C21" s="160" t="str">
        <f>A21&amp;+(COUNTIF(A$2:A21,A21)-1)</f>
        <v>5741</v>
      </c>
      <c r="D21" s="143" t="s">
        <v>218</v>
      </c>
      <c r="E21" s="143" t="s">
        <v>305</v>
      </c>
      <c r="F21" s="118" t="s">
        <v>304</v>
      </c>
    </row>
    <row r="22" spans="1:6" x14ac:dyDescent="0.15">
      <c r="A22" s="12">
        <v>577</v>
      </c>
      <c r="B22" s="118" t="str">
        <f>VLOOKUP(A22,[3]characters!$A:$C,3,FALSE)</f>
        <v>ピュグヴィルとベイラ</v>
      </c>
      <c r="C22" s="160" t="str">
        <f>A22&amp;+(COUNTIF(A$2:A22,A22)-1)</f>
        <v>5770</v>
      </c>
      <c r="D22" s="143" t="s">
        <v>218</v>
      </c>
      <c r="E22" s="143" t="s">
        <v>324</v>
      </c>
      <c r="F22" s="118" t="s">
        <v>321</v>
      </c>
    </row>
    <row r="23" spans="1:6" x14ac:dyDescent="0.15">
      <c r="A23" s="12">
        <v>577</v>
      </c>
      <c r="B23" s="118" t="str">
        <f>VLOOKUP(A23,[3]characters!$A:$C,3,FALSE)</f>
        <v>ピュグヴィルとベイラ</v>
      </c>
      <c r="C23" s="160" t="str">
        <f>A23&amp;+(COUNTIF(A$2:A23,A23)-1)</f>
        <v>5771</v>
      </c>
      <c r="D23" s="143" t="s">
        <v>218</v>
      </c>
      <c r="E23" s="143" t="s">
        <v>323</v>
      </c>
      <c r="F23" s="118" t="s">
        <v>319</v>
      </c>
    </row>
    <row r="24" spans="1:6" x14ac:dyDescent="0.15">
      <c r="A24" s="12">
        <v>577</v>
      </c>
      <c r="B24" s="118" t="str">
        <f>VLOOKUP(A24,[3]characters!$A:$C,3,FALSE)</f>
        <v>ピュグヴィルとベイラ</v>
      </c>
      <c r="C24" s="160" t="str">
        <f>A24&amp;+(COUNTIF(A$2:A24,A24)-1)</f>
        <v>5772</v>
      </c>
      <c r="D24" s="143" t="s">
        <v>218</v>
      </c>
      <c r="E24" s="143" t="s">
        <v>247</v>
      </c>
      <c r="F24" s="118" t="s">
        <v>320</v>
      </c>
    </row>
    <row r="25" spans="1:6" x14ac:dyDescent="0.15">
      <c r="A25" s="12">
        <v>578</v>
      </c>
      <c r="B25" s="118" t="str">
        <f>VLOOKUP(A25,[3]characters!$A:$C,3,FALSE)</f>
        <v>ピュグヴィルとベイラ</v>
      </c>
      <c r="C25" s="160" t="str">
        <f>A25&amp;+(COUNTIF(A$2:A25,A25)-1)</f>
        <v>5780</v>
      </c>
      <c r="D25" s="143" t="s">
        <v>218</v>
      </c>
      <c r="E25" s="143" t="s">
        <v>324</v>
      </c>
      <c r="F25" s="118" t="s">
        <v>325</v>
      </c>
    </row>
    <row r="26" spans="1:6" x14ac:dyDescent="0.15">
      <c r="A26" s="12">
        <v>578</v>
      </c>
      <c r="B26" s="118" t="str">
        <f>VLOOKUP(A26,[3]characters!$A:$C,3,FALSE)</f>
        <v>ピュグヴィルとベイラ</v>
      </c>
      <c r="C26" s="160" t="str">
        <f>A26&amp;+(COUNTIF(A$2:A26,A26)-1)</f>
        <v>5781</v>
      </c>
      <c r="D26" s="143" t="s">
        <v>218</v>
      </c>
      <c r="E26" s="143" t="s">
        <v>294</v>
      </c>
      <c r="F26" s="118" t="s">
        <v>322</v>
      </c>
    </row>
    <row r="27" spans="1:6" x14ac:dyDescent="0.15">
      <c r="A27" s="12">
        <v>575</v>
      </c>
      <c r="B27" s="118" t="str">
        <f>VLOOKUP(A27,[3]characters!$A:$C,3,FALSE)</f>
        <v>フレイ</v>
      </c>
      <c r="C27" s="160" t="str">
        <f>A27&amp;+(COUNTIF(A$2:A27,A27)-1)</f>
        <v>5750</v>
      </c>
      <c r="D27" s="143" t="s">
        <v>218</v>
      </c>
      <c r="E27" s="143" t="s">
        <v>358</v>
      </c>
      <c r="F27" s="118" t="s">
        <v>354</v>
      </c>
    </row>
    <row r="28" spans="1:6" x14ac:dyDescent="0.15">
      <c r="A28" s="12">
        <v>575</v>
      </c>
      <c r="B28" s="118" t="str">
        <f>VLOOKUP(A28,[3]characters!$A:$C,3,FALSE)</f>
        <v>フレイ</v>
      </c>
      <c r="C28" s="160" t="str">
        <f>A28&amp;+(COUNTIF(A$2:A28,A28)-1)</f>
        <v>5751</v>
      </c>
      <c r="D28" s="143" t="s">
        <v>218</v>
      </c>
      <c r="E28" s="143" t="s">
        <v>359</v>
      </c>
      <c r="F28" s="118" t="s">
        <v>355</v>
      </c>
    </row>
    <row r="29" spans="1:6" x14ac:dyDescent="0.15">
      <c r="A29" s="12">
        <v>575</v>
      </c>
      <c r="B29" s="118" t="str">
        <f>VLOOKUP(A29,[3]characters!$A:$C,3,FALSE)</f>
        <v>フレイ</v>
      </c>
      <c r="C29" s="160" t="str">
        <f>A29&amp;+(COUNTIF(A$2:A29,A29)-1)</f>
        <v>5752</v>
      </c>
      <c r="D29" s="143" t="s">
        <v>218</v>
      </c>
      <c r="E29" s="143" t="s">
        <v>247</v>
      </c>
      <c r="F29" s="118" t="s">
        <v>365</v>
      </c>
    </row>
    <row r="30" spans="1:6" x14ac:dyDescent="0.15">
      <c r="A30" s="12">
        <v>576</v>
      </c>
      <c r="B30" s="118" t="str">
        <f>VLOOKUP(A30,[3]characters!$A:$C,3,FALSE)</f>
        <v>フレイ</v>
      </c>
      <c r="C30" s="160" t="str">
        <f>A30&amp;+(COUNTIF(A$2:A30,A30)-1)</f>
        <v>5760</v>
      </c>
      <c r="D30" s="143" t="s">
        <v>218</v>
      </c>
      <c r="E30" s="143" t="s">
        <v>358</v>
      </c>
      <c r="F30" s="118" t="s">
        <v>356</v>
      </c>
    </row>
    <row r="31" spans="1:6" x14ac:dyDescent="0.15">
      <c r="A31" s="12">
        <v>576</v>
      </c>
      <c r="B31" s="118" t="str">
        <f>VLOOKUP(A31,[3]characters!$A:$C,3,FALSE)</f>
        <v>フレイ</v>
      </c>
      <c r="C31" s="160" t="str">
        <f>A31&amp;+(COUNTIF(A$2:A31,A31)-1)</f>
        <v>5761</v>
      </c>
      <c r="D31" s="143" t="s">
        <v>218</v>
      </c>
      <c r="E31" s="143" t="s">
        <v>254</v>
      </c>
      <c r="F31" s="118" t="s">
        <v>357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>
      <selection activeCell="G9" sqref="G9"/>
    </sheetView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19"/>
  <sheetViews>
    <sheetView workbookViewId="0">
      <selection activeCell="D6" sqref="D6"/>
    </sheetView>
  </sheetViews>
  <sheetFormatPr baseColWidth="12" defaultRowHeight="15" x14ac:dyDescent="0.15"/>
  <sheetData>
    <row r="1" spans="1:2" x14ac:dyDescent="0.15">
      <c r="A1" t="s">
        <v>368</v>
      </c>
      <c r="B1" t="s">
        <v>369</v>
      </c>
    </row>
    <row r="2" spans="1:2" x14ac:dyDescent="0.15">
      <c r="A2" t="s">
        <v>370</v>
      </c>
      <c r="B2">
        <v>1</v>
      </c>
    </row>
    <row r="3" spans="1:2" x14ac:dyDescent="0.15">
      <c r="A3" t="s">
        <v>371</v>
      </c>
      <c r="B3">
        <v>1</v>
      </c>
    </row>
    <row r="4" spans="1:2" x14ac:dyDescent="0.15">
      <c r="A4" t="s">
        <v>372</v>
      </c>
      <c r="B4">
        <v>1</v>
      </c>
    </row>
    <row r="5" spans="1:2" x14ac:dyDescent="0.15">
      <c r="A5" t="s">
        <v>373</v>
      </c>
      <c r="B5">
        <v>1</v>
      </c>
    </row>
    <row r="6" spans="1:2" x14ac:dyDescent="0.15">
      <c r="A6" t="s">
        <v>374</v>
      </c>
      <c r="B6">
        <v>1</v>
      </c>
    </row>
    <row r="7" spans="1:2" x14ac:dyDescent="0.15">
      <c r="A7" t="s">
        <v>375</v>
      </c>
      <c r="B7">
        <v>1</v>
      </c>
    </row>
    <row r="8" spans="1:2" x14ac:dyDescent="0.15">
      <c r="A8" t="s">
        <v>376</v>
      </c>
      <c r="B8">
        <v>1</v>
      </c>
    </row>
    <row r="9" spans="1:2" x14ac:dyDescent="0.15">
      <c r="A9" t="s">
        <v>377</v>
      </c>
      <c r="B9">
        <v>1</v>
      </c>
    </row>
    <row r="10" spans="1:2" x14ac:dyDescent="0.15">
      <c r="A10" t="s">
        <v>378</v>
      </c>
      <c r="B10">
        <v>1</v>
      </c>
    </row>
    <row r="11" spans="1:2" x14ac:dyDescent="0.15">
      <c r="A11" t="s">
        <v>379</v>
      </c>
      <c r="B11">
        <v>1</v>
      </c>
    </row>
    <row r="12" spans="1:2" x14ac:dyDescent="0.15">
      <c r="A12" t="s">
        <v>380</v>
      </c>
      <c r="B12">
        <v>1</v>
      </c>
    </row>
    <row r="13" spans="1:2" x14ac:dyDescent="0.15">
      <c r="A13" t="s">
        <v>381</v>
      </c>
      <c r="B13">
        <v>0</v>
      </c>
    </row>
    <row r="14" spans="1:2" x14ac:dyDescent="0.15">
      <c r="A14" t="s">
        <v>382</v>
      </c>
      <c r="B14">
        <v>500</v>
      </c>
    </row>
    <row r="15" spans="1:2" x14ac:dyDescent="0.15">
      <c r="A15" t="s">
        <v>383</v>
      </c>
      <c r="B15">
        <v>600</v>
      </c>
    </row>
    <row r="16" spans="1:2" x14ac:dyDescent="0.15">
      <c r="A16" t="s">
        <v>384</v>
      </c>
      <c r="B16">
        <v>700</v>
      </c>
    </row>
    <row r="17" spans="1:2" x14ac:dyDescent="0.15">
      <c r="A17" t="s">
        <v>385</v>
      </c>
      <c r="B17">
        <v>5500</v>
      </c>
    </row>
    <row r="18" spans="1:2" x14ac:dyDescent="0.15">
      <c r="A18" t="s">
        <v>386</v>
      </c>
      <c r="B18">
        <v>6000</v>
      </c>
    </row>
    <row r="19" spans="1:2" x14ac:dyDescent="0.15">
      <c r="A19" t="s">
        <v>387</v>
      </c>
      <c r="B19">
        <v>30000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62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69" t="s">
        <v>329</v>
      </c>
      <c r="B2" s="170"/>
      <c r="C2" s="171"/>
      <c r="D2" s="172" t="s">
        <v>136</v>
      </c>
      <c r="E2" s="172">
        <v>30</v>
      </c>
      <c r="F2" s="172">
        <v>40</v>
      </c>
      <c r="G2" s="172">
        <f>15+F2</f>
        <v>55</v>
      </c>
      <c r="H2" s="171"/>
      <c r="I2" s="171"/>
    </row>
    <row r="3" spans="1:9" s="4" customFormat="1" ht="21" customHeight="1" x14ac:dyDescent="0.15">
      <c r="A3" s="169" t="s">
        <v>330</v>
      </c>
      <c r="B3" s="173"/>
      <c r="C3" s="174"/>
      <c r="D3" s="175" t="s">
        <v>331</v>
      </c>
      <c r="E3" s="175">
        <v>25</v>
      </c>
      <c r="F3" s="175">
        <v>35</v>
      </c>
      <c r="G3" s="172">
        <f t="shared" ref="G3:G5" si="0">15+F3</f>
        <v>50</v>
      </c>
      <c r="H3" s="174"/>
      <c r="I3" s="174"/>
    </row>
    <row r="4" spans="1:9" s="4" customFormat="1" ht="21" customHeight="1" x14ac:dyDescent="0.15">
      <c r="A4" s="169" t="s">
        <v>332</v>
      </c>
      <c r="B4" s="176"/>
      <c r="C4" s="177"/>
      <c r="D4" s="178">
        <v>10</v>
      </c>
      <c r="E4" s="178">
        <v>20</v>
      </c>
      <c r="F4" s="178">
        <v>30</v>
      </c>
      <c r="G4" s="178">
        <f t="shared" si="0"/>
        <v>45</v>
      </c>
      <c r="H4" s="177"/>
      <c r="I4" s="177"/>
    </row>
    <row r="5" spans="1:9" s="4" customFormat="1" ht="21" customHeight="1" x14ac:dyDescent="0.15">
      <c r="A5" s="183" t="s">
        <v>342</v>
      </c>
      <c r="B5" s="184"/>
      <c r="C5" s="185"/>
      <c r="D5" s="29">
        <v>9</v>
      </c>
      <c r="E5" s="29">
        <v>18</v>
      </c>
      <c r="F5" s="29">
        <v>28</v>
      </c>
      <c r="G5" s="40">
        <f t="shared" si="0"/>
        <v>43</v>
      </c>
      <c r="H5" s="185"/>
      <c r="I5" s="185"/>
    </row>
    <row r="6" spans="1:9" s="4" customFormat="1" ht="21" customHeight="1" x14ac:dyDescent="0.15">
      <c r="A6" s="183" t="s">
        <v>343</v>
      </c>
      <c r="B6" s="184"/>
      <c r="C6" s="185"/>
      <c r="D6" s="29">
        <v>7</v>
      </c>
      <c r="E6" s="29">
        <v>16</v>
      </c>
      <c r="F6" s="71" t="s">
        <v>11</v>
      </c>
      <c r="G6" s="71" t="s">
        <v>11</v>
      </c>
      <c r="H6" s="185"/>
      <c r="I6" s="185"/>
    </row>
    <row r="7" spans="1:9" ht="21" customHeight="1" x14ac:dyDescent="0.15">
      <c r="A7" s="80" t="s">
        <v>33</v>
      </c>
      <c r="B7" s="39" t="s">
        <v>11</v>
      </c>
      <c r="C7" s="39" t="s">
        <v>11</v>
      </c>
      <c r="D7" s="40" t="s">
        <v>34</v>
      </c>
      <c r="E7" s="40" t="s">
        <v>34</v>
      </c>
      <c r="F7" s="40" t="s">
        <v>34</v>
      </c>
      <c r="G7" s="40" t="s">
        <v>34</v>
      </c>
      <c r="H7" s="40" t="s">
        <v>34</v>
      </c>
      <c r="I7" s="40" t="s">
        <v>34</v>
      </c>
    </row>
    <row r="8" spans="1:9" ht="21" customHeight="1" x14ac:dyDescent="0.15">
      <c r="A8" s="81" t="s">
        <v>32</v>
      </c>
      <c r="B8" s="39" t="s">
        <v>11</v>
      </c>
      <c r="C8" s="39" t="s">
        <v>11</v>
      </c>
      <c r="D8" s="40" t="s">
        <v>34</v>
      </c>
      <c r="E8" s="40">
        <v>30</v>
      </c>
      <c r="F8" s="40">
        <v>40</v>
      </c>
      <c r="G8" s="40" t="s">
        <v>34</v>
      </c>
      <c r="H8" s="40" t="s">
        <v>34</v>
      </c>
      <c r="I8" s="40" t="s">
        <v>34</v>
      </c>
    </row>
    <row r="9" spans="1:9" s="47" customFormat="1" ht="21" customHeight="1" x14ac:dyDescent="0.15">
      <c r="A9" s="82" t="s">
        <v>31</v>
      </c>
      <c r="B9" s="29" t="s">
        <v>11</v>
      </c>
      <c r="C9" s="29" t="s">
        <v>11</v>
      </c>
      <c r="D9" s="112" t="s">
        <v>146</v>
      </c>
      <c r="E9" s="112">
        <v>25</v>
      </c>
      <c r="F9" s="112">
        <v>35</v>
      </c>
      <c r="G9" s="112" t="s">
        <v>34</v>
      </c>
      <c r="H9" s="112" t="s">
        <v>34</v>
      </c>
      <c r="I9" s="112" t="s">
        <v>34</v>
      </c>
    </row>
    <row r="10" spans="1:9" ht="21" customHeight="1" x14ac:dyDescent="0.15">
      <c r="A10" s="82" t="s">
        <v>9</v>
      </c>
      <c r="B10" s="71" t="s">
        <v>11</v>
      </c>
      <c r="C10" s="71" t="s">
        <v>11</v>
      </c>
      <c r="D10" s="29">
        <v>10</v>
      </c>
      <c r="E10" s="29">
        <v>20</v>
      </c>
      <c r="F10" s="29">
        <v>30</v>
      </c>
      <c r="G10" s="71" t="s">
        <v>11</v>
      </c>
      <c r="H10" s="71" t="s">
        <v>11</v>
      </c>
      <c r="I10" s="71" t="s">
        <v>11</v>
      </c>
    </row>
    <row r="11" spans="1:9" ht="21" customHeight="1" x14ac:dyDescent="0.15">
      <c r="A11" s="82" t="s">
        <v>29</v>
      </c>
      <c r="B11" s="71" t="s">
        <v>11</v>
      </c>
      <c r="C11" s="71" t="s">
        <v>11</v>
      </c>
      <c r="D11" s="29">
        <v>9</v>
      </c>
      <c r="E11" s="29">
        <v>18</v>
      </c>
      <c r="F11" s="29">
        <v>28</v>
      </c>
      <c r="G11" s="71" t="s">
        <v>11</v>
      </c>
      <c r="H11" s="71" t="s">
        <v>11</v>
      </c>
      <c r="I11" s="71" t="s">
        <v>11</v>
      </c>
    </row>
    <row r="12" spans="1:9" ht="21" customHeight="1" x14ac:dyDescent="0.15">
      <c r="A12" s="82" t="s">
        <v>28</v>
      </c>
      <c r="B12" s="71" t="s">
        <v>11</v>
      </c>
      <c r="C12" s="71" t="s">
        <v>11</v>
      </c>
      <c r="D12" s="29">
        <v>7</v>
      </c>
      <c r="E12" s="29">
        <v>16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 x14ac:dyDescent="0.15">
      <c r="A13" s="111" t="s">
        <v>45</v>
      </c>
      <c r="B13" s="71" t="s">
        <v>11</v>
      </c>
      <c r="C13" s="71" t="s">
        <v>11</v>
      </c>
      <c r="D13" s="29">
        <v>8</v>
      </c>
      <c r="E13" s="29">
        <v>17</v>
      </c>
      <c r="F13" s="29">
        <v>26</v>
      </c>
      <c r="G13" s="71" t="s">
        <v>11</v>
      </c>
      <c r="H13" s="71" t="s">
        <v>11</v>
      </c>
      <c r="I13" s="71" t="s">
        <v>11</v>
      </c>
    </row>
    <row r="14" spans="1:9" ht="21" customHeight="1" x14ac:dyDescent="0.15">
      <c r="A14" s="82" t="s">
        <v>63</v>
      </c>
      <c r="B14" s="71" t="s">
        <v>11</v>
      </c>
      <c r="C14" s="71" t="s">
        <v>11</v>
      </c>
      <c r="D14" s="29">
        <v>8</v>
      </c>
      <c r="E14" s="29">
        <v>17</v>
      </c>
      <c r="F14" s="29">
        <v>26</v>
      </c>
      <c r="G14" s="71" t="s">
        <v>11</v>
      </c>
      <c r="H14" s="71" t="s">
        <v>11</v>
      </c>
      <c r="I14" s="71" t="s">
        <v>11</v>
      </c>
    </row>
    <row r="15" spans="1:9" ht="21" customHeight="1" x14ac:dyDescent="0.15">
      <c r="A15" s="82" t="s">
        <v>44</v>
      </c>
      <c r="B15" s="71" t="s">
        <v>11</v>
      </c>
      <c r="C15" s="71" t="s">
        <v>11</v>
      </c>
      <c r="D15" s="29">
        <v>6</v>
      </c>
      <c r="E15" s="29">
        <v>14</v>
      </c>
      <c r="F15" s="71" t="s">
        <v>11</v>
      </c>
      <c r="G15" s="71" t="s">
        <v>11</v>
      </c>
      <c r="H15" s="71" t="s">
        <v>11</v>
      </c>
      <c r="I15" s="71" t="s">
        <v>11</v>
      </c>
    </row>
    <row r="16" spans="1:9" ht="21" customHeight="1" x14ac:dyDescent="0.15">
      <c r="A16" s="82" t="s">
        <v>43</v>
      </c>
      <c r="B16" s="71" t="s">
        <v>11</v>
      </c>
      <c r="C16" s="29">
        <v>4</v>
      </c>
      <c r="D16" s="29">
        <v>6</v>
      </c>
      <c r="E16" s="29">
        <v>14</v>
      </c>
      <c r="F16" s="71" t="s">
        <v>11</v>
      </c>
      <c r="G16" s="71" t="s">
        <v>11</v>
      </c>
      <c r="H16" s="71" t="s">
        <v>11</v>
      </c>
      <c r="I16" s="71" t="s">
        <v>11</v>
      </c>
    </row>
    <row r="17" spans="1:9" ht="21" customHeight="1" x14ac:dyDescent="0.15">
      <c r="A17" s="82" t="s">
        <v>8</v>
      </c>
      <c r="B17" s="29">
        <v>2</v>
      </c>
      <c r="C17" s="29">
        <v>4</v>
      </c>
      <c r="D17" s="29">
        <v>6</v>
      </c>
      <c r="E17" s="71" t="s">
        <v>11</v>
      </c>
      <c r="F17" s="71" t="s">
        <v>11</v>
      </c>
      <c r="G17" s="71" t="s">
        <v>11</v>
      </c>
      <c r="H17" s="71" t="s">
        <v>11</v>
      </c>
      <c r="I17" s="71" t="s">
        <v>11</v>
      </c>
    </row>
    <row r="18" spans="1:9" ht="21" customHeight="1" x14ac:dyDescent="0.15">
      <c r="A18" s="83" t="s">
        <v>7</v>
      </c>
      <c r="B18" s="32">
        <v>1</v>
      </c>
      <c r="C18" s="32">
        <v>2</v>
      </c>
      <c r="D18" s="72" t="s">
        <v>11</v>
      </c>
      <c r="E18" s="72" t="s">
        <v>11</v>
      </c>
      <c r="F18" s="72" t="s">
        <v>11</v>
      </c>
      <c r="G18" s="72" t="s">
        <v>11</v>
      </c>
      <c r="H18" s="72" t="s">
        <v>11</v>
      </c>
      <c r="I18" s="72" t="s">
        <v>11</v>
      </c>
    </row>
    <row r="19" spans="1:9" ht="21" customHeight="1" x14ac:dyDescent="0.15">
      <c r="A19" s="84" t="s">
        <v>42</v>
      </c>
      <c r="B19" s="27">
        <v>1</v>
      </c>
      <c r="C19" s="27">
        <v>1</v>
      </c>
      <c r="D19" s="72" t="s">
        <v>11</v>
      </c>
      <c r="E19" s="72" t="s">
        <v>11</v>
      </c>
      <c r="F19" s="72" t="s">
        <v>11</v>
      </c>
      <c r="G19" s="72" t="s">
        <v>11</v>
      </c>
      <c r="H19" s="72" t="s">
        <v>11</v>
      </c>
      <c r="I19" s="72" t="s">
        <v>11</v>
      </c>
    </row>
    <row r="20" spans="1:9" ht="21" customHeight="1" x14ac:dyDescent="0.15">
      <c r="A20" s="38" t="s">
        <v>30</v>
      </c>
      <c r="B20" s="37">
        <v>99</v>
      </c>
      <c r="C20" s="37">
        <v>99</v>
      </c>
      <c r="D20" s="37">
        <v>99</v>
      </c>
      <c r="E20" s="37">
        <v>99</v>
      </c>
      <c r="F20" s="37">
        <v>99</v>
      </c>
      <c r="G20" s="37">
        <v>99</v>
      </c>
      <c r="H20" s="37">
        <v>99</v>
      </c>
      <c r="I20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E12" sqref="E12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 x14ac:dyDescent="0.15">
      <c r="A2" s="169" t="s">
        <v>333</v>
      </c>
      <c r="B2" s="170"/>
      <c r="C2" s="171"/>
      <c r="D2" s="179" t="s">
        <v>334</v>
      </c>
      <c r="E2" s="179">
        <v>60</v>
      </c>
      <c r="F2" s="179">
        <v>80</v>
      </c>
      <c r="G2" s="179">
        <v>99</v>
      </c>
      <c r="H2" s="171"/>
      <c r="I2" s="171"/>
    </row>
    <row r="3" spans="1:9" s="4" customFormat="1" ht="21" customHeight="1" x14ac:dyDescent="0.15">
      <c r="A3" s="169" t="s">
        <v>335</v>
      </c>
      <c r="B3" s="173"/>
      <c r="C3" s="174"/>
      <c r="D3" s="179" t="s">
        <v>136</v>
      </c>
      <c r="E3" s="179">
        <v>60</v>
      </c>
      <c r="F3" s="179">
        <v>80</v>
      </c>
      <c r="G3" s="179">
        <v>99</v>
      </c>
      <c r="H3" s="174"/>
      <c r="I3" s="174"/>
    </row>
    <row r="4" spans="1:9" s="4" customFormat="1" ht="21" customHeight="1" x14ac:dyDescent="0.15">
      <c r="A4" s="169" t="s">
        <v>336</v>
      </c>
      <c r="B4" s="176"/>
      <c r="C4" s="177"/>
      <c r="D4" s="179">
        <v>40</v>
      </c>
      <c r="E4" s="179">
        <v>60</v>
      </c>
      <c r="F4" s="179">
        <v>80</v>
      </c>
      <c r="G4" s="179">
        <v>99</v>
      </c>
      <c r="H4" s="177"/>
      <c r="I4" s="177"/>
    </row>
    <row r="5" spans="1:9" s="4" customFormat="1" ht="21" customHeight="1" x14ac:dyDescent="0.15">
      <c r="A5" s="183" t="s">
        <v>342</v>
      </c>
      <c r="B5" s="184"/>
      <c r="C5" s="185"/>
      <c r="D5" s="179">
        <v>40</v>
      </c>
      <c r="E5" s="179">
        <v>60</v>
      </c>
      <c r="F5" s="179">
        <v>80</v>
      </c>
      <c r="G5" s="179">
        <v>99</v>
      </c>
      <c r="H5" s="185"/>
      <c r="I5" s="185"/>
    </row>
    <row r="6" spans="1:9" s="4" customFormat="1" ht="21" customHeight="1" x14ac:dyDescent="0.15">
      <c r="A6" s="183" t="s">
        <v>343</v>
      </c>
      <c r="B6" s="184"/>
      <c r="C6" s="185"/>
      <c r="D6" s="179">
        <v>40</v>
      </c>
      <c r="E6" s="179">
        <v>60</v>
      </c>
      <c r="F6" s="179" t="s">
        <v>136</v>
      </c>
      <c r="G6" s="179" t="s">
        <v>136</v>
      </c>
      <c r="H6" s="185"/>
      <c r="I6" s="185"/>
    </row>
    <row r="7" spans="1:9" ht="21" customHeight="1" x14ac:dyDescent="0.15">
      <c r="A7" s="76" t="s">
        <v>33</v>
      </c>
      <c r="B7" s="41" t="s">
        <v>137</v>
      </c>
      <c r="C7" s="41" t="s">
        <v>137</v>
      </c>
      <c r="D7" s="41" t="s">
        <v>137</v>
      </c>
      <c r="E7" s="41" t="s">
        <v>137</v>
      </c>
      <c r="F7" s="41" t="s">
        <v>137</v>
      </c>
      <c r="G7" s="41" t="s">
        <v>137</v>
      </c>
      <c r="H7" s="41" t="s">
        <v>137</v>
      </c>
      <c r="I7" s="41" t="s">
        <v>137</v>
      </c>
    </row>
    <row r="8" spans="1:9" ht="21" customHeight="1" x14ac:dyDescent="0.15">
      <c r="A8" s="76" t="s">
        <v>32</v>
      </c>
      <c r="B8" s="41" t="s">
        <v>137</v>
      </c>
      <c r="C8" s="41" t="s">
        <v>137</v>
      </c>
      <c r="D8" s="41" t="s">
        <v>137</v>
      </c>
      <c r="E8" s="41">
        <v>60</v>
      </c>
      <c r="F8" s="41">
        <v>80</v>
      </c>
      <c r="G8" s="41" t="s">
        <v>137</v>
      </c>
      <c r="H8" s="41" t="s">
        <v>137</v>
      </c>
      <c r="I8" s="41" t="s">
        <v>137</v>
      </c>
    </row>
    <row r="9" spans="1:9" s="47" customFormat="1" ht="21" customHeight="1" x14ac:dyDescent="0.15">
      <c r="A9" s="77" t="s">
        <v>31</v>
      </c>
      <c r="B9" s="68" t="s">
        <v>137</v>
      </c>
      <c r="C9" s="68" t="s">
        <v>137</v>
      </c>
      <c r="D9" s="68" t="s">
        <v>137</v>
      </c>
      <c r="E9" s="68">
        <v>60</v>
      </c>
      <c r="F9" s="68">
        <v>80</v>
      </c>
      <c r="G9" s="68" t="s">
        <v>137</v>
      </c>
      <c r="H9" s="68" t="s">
        <v>137</v>
      </c>
      <c r="I9" s="68" t="s">
        <v>137</v>
      </c>
    </row>
    <row r="10" spans="1:9" ht="21" customHeight="1" x14ac:dyDescent="0.15">
      <c r="A10" s="77" t="s">
        <v>9</v>
      </c>
      <c r="B10" s="73" t="s">
        <v>136</v>
      </c>
      <c r="C10" s="73" t="s">
        <v>136</v>
      </c>
      <c r="D10" s="37">
        <v>40</v>
      </c>
      <c r="E10" s="37">
        <v>60</v>
      </c>
      <c r="F10" s="37">
        <v>80</v>
      </c>
      <c r="G10" s="73" t="s">
        <v>136</v>
      </c>
      <c r="H10" s="73" t="s">
        <v>136</v>
      </c>
      <c r="I10" s="73" t="s">
        <v>136</v>
      </c>
    </row>
    <row r="11" spans="1:9" ht="21" customHeight="1" x14ac:dyDescent="0.15">
      <c r="A11" s="77" t="s">
        <v>29</v>
      </c>
      <c r="B11" s="73" t="s">
        <v>136</v>
      </c>
      <c r="C11" s="73" t="s">
        <v>136</v>
      </c>
      <c r="D11" s="37">
        <v>40</v>
      </c>
      <c r="E11" s="37">
        <v>60</v>
      </c>
      <c r="F11" s="37">
        <v>80</v>
      </c>
      <c r="G11" s="73" t="s">
        <v>136</v>
      </c>
      <c r="H11" s="73" t="s">
        <v>136</v>
      </c>
      <c r="I11" s="73" t="s">
        <v>136</v>
      </c>
    </row>
    <row r="12" spans="1:9" ht="21" customHeight="1" x14ac:dyDescent="0.15">
      <c r="A12" s="77" t="s">
        <v>53</v>
      </c>
      <c r="B12" s="73" t="s">
        <v>136</v>
      </c>
      <c r="C12" s="73" t="s">
        <v>136</v>
      </c>
      <c r="D12" s="37">
        <v>40</v>
      </c>
      <c r="E12" s="37">
        <v>60</v>
      </c>
      <c r="F12" s="73" t="s">
        <v>136</v>
      </c>
      <c r="G12" s="73" t="s">
        <v>136</v>
      </c>
      <c r="H12" s="73" t="s">
        <v>136</v>
      </c>
      <c r="I12" s="73" t="s">
        <v>136</v>
      </c>
    </row>
    <row r="13" spans="1:9" ht="21" customHeight="1" x14ac:dyDescent="0.15">
      <c r="A13" s="78" t="s">
        <v>64</v>
      </c>
      <c r="B13" s="73" t="s">
        <v>136</v>
      </c>
      <c r="C13" s="73" t="s">
        <v>136</v>
      </c>
      <c r="D13" s="37">
        <v>40</v>
      </c>
      <c r="E13" s="37">
        <v>60</v>
      </c>
      <c r="F13" s="37">
        <v>80</v>
      </c>
      <c r="G13" s="73" t="s">
        <v>136</v>
      </c>
      <c r="H13" s="73" t="s">
        <v>136</v>
      </c>
      <c r="I13" s="73" t="s">
        <v>136</v>
      </c>
    </row>
    <row r="14" spans="1:9" ht="21" customHeight="1" x14ac:dyDescent="0.15">
      <c r="A14" s="57" t="s">
        <v>49</v>
      </c>
      <c r="B14" s="73" t="s">
        <v>136</v>
      </c>
      <c r="C14" s="73" t="s">
        <v>136</v>
      </c>
      <c r="D14" s="37">
        <v>40</v>
      </c>
      <c r="E14" s="37">
        <v>60</v>
      </c>
      <c r="F14" s="37">
        <v>80</v>
      </c>
      <c r="G14" s="73" t="s">
        <v>136</v>
      </c>
      <c r="H14" s="73" t="s">
        <v>136</v>
      </c>
      <c r="I14" s="73" t="s">
        <v>136</v>
      </c>
    </row>
    <row r="15" spans="1:9" ht="21" customHeight="1" x14ac:dyDescent="0.15">
      <c r="A15" s="57" t="s">
        <v>50</v>
      </c>
      <c r="B15" s="73" t="s">
        <v>136</v>
      </c>
      <c r="C15" s="37">
        <v>30</v>
      </c>
      <c r="D15" s="37">
        <v>40</v>
      </c>
      <c r="E15" s="37">
        <v>60</v>
      </c>
      <c r="F15" s="73" t="s">
        <v>136</v>
      </c>
      <c r="G15" s="73" t="s">
        <v>136</v>
      </c>
      <c r="H15" s="73" t="s">
        <v>136</v>
      </c>
      <c r="I15" s="73" t="s">
        <v>136</v>
      </c>
    </row>
    <row r="16" spans="1:9" ht="21" customHeight="1" x14ac:dyDescent="0.15">
      <c r="A16" s="57" t="s">
        <v>51</v>
      </c>
      <c r="B16" s="73" t="s">
        <v>136</v>
      </c>
      <c r="C16" s="37">
        <v>30</v>
      </c>
      <c r="D16" s="37">
        <v>40</v>
      </c>
      <c r="E16" s="37">
        <v>60</v>
      </c>
      <c r="F16" s="73" t="s">
        <v>136</v>
      </c>
      <c r="G16" s="73" t="s">
        <v>136</v>
      </c>
      <c r="H16" s="73" t="s">
        <v>136</v>
      </c>
      <c r="I16" s="73" t="s">
        <v>136</v>
      </c>
    </row>
    <row r="17" spans="1:9" ht="21" customHeight="1" x14ac:dyDescent="0.15">
      <c r="A17" s="58" t="s">
        <v>8</v>
      </c>
      <c r="B17" s="37">
        <v>15</v>
      </c>
      <c r="C17" s="37">
        <v>30</v>
      </c>
      <c r="D17" s="37">
        <v>40</v>
      </c>
      <c r="E17" s="73" t="s">
        <v>136</v>
      </c>
      <c r="F17" s="73" t="s">
        <v>136</v>
      </c>
      <c r="G17" s="73" t="s">
        <v>136</v>
      </c>
      <c r="H17" s="73" t="s">
        <v>136</v>
      </c>
      <c r="I17" s="73" t="s">
        <v>136</v>
      </c>
    </row>
    <row r="18" spans="1:9" ht="21" customHeight="1" x14ac:dyDescent="0.15">
      <c r="A18" s="53" t="s">
        <v>7</v>
      </c>
      <c r="B18" s="37">
        <v>15</v>
      </c>
      <c r="C18" s="37">
        <v>30</v>
      </c>
      <c r="D18" s="37">
        <v>40</v>
      </c>
      <c r="E18" s="73" t="s">
        <v>136</v>
      </c>
      <c r="F18" s="73" t="s">
        <v>136</v>
      </c>
      <c r="G18" s="73" t="s">
        <v>136</v>
      </c>
      <c r="H18" s="73" t="s">
        <v>136</v>
      </c>
      <c r="I18" s="73" t="s">
        <v>136</v>
      </c>
    </row>
    <row r="19" spans="1:9" ht="21" customHeight="1" x14ac:dyDescent="0.15">
      <c r="A19" s="55" t="s">
        <v>52</v>
      </c>
      <c r="B19" s="37">
        <v>10</v>
      </c>
      <c r="C19" s="37">
        <v>20</v>
      </c>
      <c r="D19" s="73" t="s">
        <v>136</v>
      </c>
      <c r="E19" s="73" t="s">
        <v>136</v>
      </c>
      <c r="F19" s="73" t="s">
        <v>136</v>
      </c>
      <c r="G19" s="73" t="s">
        <v>136</v>
      </c>
      <c r="H19" s="73" t="s">
        <v>136</v>
      </c>
      <c r="I19" s="73" t="s">
        <v>136</v>
      </c>
    </row>
    <row r="20" spans="1:9" ht="21" customHeight="1" x14ac:dyDescent="0.15">
      <c r="A20" s="79" t="s">
        <v>54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J14" sqref="J14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50" t="s">
        <v>10</v>
      </c>
      <c r="B1" s="51">
        <v>1</v>
      </c>
      <c r="C1" s="51">
        <v>2</v>
      </c>
      <c r="D1" s="51">
        <v>3</v>
      </c>
      <c r="E1" s="51">
        <v>4</v>
      </c>
      <c r="F1" s="51">
        <v>5</v>
      </c>
      <c r="G1" s="51">
        <v>6</v>
      </c>
      <c r="H1" s="51">
        <v>7</v>
      </c>
      <c r="I1" s="51">
        <v>8</v>
      </c>
    </row>
    <row r="2" spans="1:11" s="4" customFormat="1" ht="21" customHeight="1" x14ac:dyDescent="0.15">
      <c r="A2" s="169" t="s">
        <v>329</v>
      </c>
      <c r="B2" s="170"/>
      <c r="C2" s="171"/>
      <c r="D2" s="179" t="s">
        <v>136</v>
      </c>
      <c r="E2" s="180" t="s">
        <v>85</v>
      </c>
      <c r="F2" s="180" t="s">
        <v>85</v>
      </c>
      <c r="G2" s="180" t="s">
        <v>347</v>
      </c>
      <c r="H2" s="171"/>
      <c r="I2" s="171"/>
    </row>
    <row r="3" spans="1:11" s="4" customFormat="1" ht="21" customHeight="1" x14ac:dyDescent="0.15">
      <c r="A3" s="169" t="s">
        <v>337</v>
      </c>
      <c r="B3" s="173"/>
      <c r="C3" s="174"/>
      <c r="D3" s="180" t="s">
        <v>85</v>
      </c>
      <c r="E3" s="180" t="s">
        <v>85</v>
      </c>
      <c r="F3" s="180" t="s">
        <v>85</v>
      </c>
      <c r="G3" s="180" t="s">
        <v>338</v>
      </c>
      <c r="H3" s="174"/>
      <c r="I3" s="174"/>
    </row>
    <row r="4" spans="1:11" s="4" customFormat="1" ht="21" customHeight="1" x14ac:dyDescent="0.15">
      <c r="A4" s="169" t="s">
        <v>339</v>
      </c>
      <c r="B4" s="176"/>
      <c r="C4" s="177"/>
      <c r="D4" s="181" t="s">
        <v>85</v>
      </c>
      <c r="E4" s="181" t="s">
        <v>85</v>
      </c>
      <c r="F4" s="181" t="s">
        <v>85</v>
      </c>
      <c r="G4" s="180" t="s">
        <v>147</v>
      </c>
      <c r="H4" s="177"/>
      <c r="I4" s="177"/>
    </row>
    <row r="5" spans="1:11" s="4" customFormat="1" ht="21" customHeight="1" x14ac:dyDescent="0.15">
      <c r="A5" s="183" t="s">
        <v>342</v>
      </c>
      <c r="B5" s="184"/>
      <c r="C5" s="185"/>
      <c r="D5" s="181" t="s">
        <v>85</v>
      </c>
      <c r="E5" s="181" t="s">
        <v>85</v>
      </c>
      <c r="F5" s="181" t="s">
        <v>85</v>
      </c>
      <c r="G5" s="180" t="s">
        <v>147</v>
      </c>
      <c r="H5" s="185"/>
      <c r="I5" s="185"/>
    </row>
    <row r="6" spans="1:11" s="4" customFormat="1" ht="21" customHeight="1" x14ac:dyDescent="0.15">
      <c r="A6" s="183" t="s">
        <v>343</v>
      </c>
      <c r="B6" s="184"/>
      <c r="C6" s="185"/>
      <c r="D6" s="186" t="s">
        <v>86</v>
      </c>
      <c r="E6" s="186" t="s">
        <v>86</v>
      </c>
      <c r="F6" s="179" t="s">
        <v>136</v>
      </c>
      <c r="G6" s="179" t="s">
        <v>344</v>
      </c>
      <c r="H6" s="185"/>
      <c r="I6" s="185"/>
    </row>
    <row r="7" spans="1:11" ht="21" customHeight="1" x14ac:dyDescent="0.15">
      <c r="A7" s="52" t="s">
        <v>17</v>
      </c>
      <c r="B7" s="41" t="s">
        <v>137</v>
      </c>
      <c r="C7" s="41" t="s">
        <v>137</v>
      </c>
      <c r="D7" s="41" t="s">
        <v>137</v>
      </c>
      <c r="E7" s="41" t="s">
        <v>137</v>
      </c>
      <c r="F7" s="41" t="s">
        <v>137</v>
      </c>
      <c r="G7" s="41" t="s">
        <v>137</v>
      </c>
      <c r="H7" s="41" t="s">
        <v>137</v>
      </c>
      <c r="I7" s="41" t="s">
        <v>137</v>
      </c>
    </row>
    <row r="8" spans="1:11" ht="21" customHeight="1" x14ac:dyDescent="0.15">
      <c r="A8" s="52" t="s">
        <v>138</v>
      </c>
      <c r="B8" s="41" t="s">
        <v>137</v>
      </c>
      <c r="C8" s="41" t="s">
        <v>137</v>
      </c>
      <c r="D8" s="41" t="s">
        <v>137</v>
      </c>
      <c r="E8" s="54" t="s">
        <v>147</v>
      </c>
      <c r="F8" s="54" t="s">
        <v>148</v>
      </c>
      <c r="G8" s="41" t="s">
        <v>137</v>
      </c>
      <c r="H8" s="41" t="s">
        <v>137</v>
      </c>
      <c r="I8" s="41" t="s">
        <v>137</v>
      </c>
    </row>
    <row r="9" spans="1:11" s="47" customFormat="1" ht="21" customHeight="1" x14ac:dyDescent="0.15">
      <c r="A9" s="52" t="s">
        <v>139</v>
      </c>
      <c r="B9" s="68" t="s">
        <v>137</v>
      </c>
      <c r="C9" s="68" t="s">
        <v>137</v>
      </c>
      <c r="D9" s="68" t="s">
        <v>137</v>
      </c>
      <c r="E9" s="54" t="s">
        <v>85</v>
      </c>
      <c r="F9" s="54" t="s">
        <v>85</v>
      </c>
      <c r="G9" s="68" t="s">
        <v>137</v>
      </c>
      <c r="H9" s="68" t="s">
        <v>137</v>
      </c>
      <c r="I9" s="68" t="s">
        <v>137</v>
      </c>
    </row>
    <row r="10" spans="1:11" ht="21" customHeight="1" x14ac:dyDescent="0.15">
      <c r="A10" s="53" t="s">
        <v>9</v>
      </c>
      <c r="B10" s="73" t="s">
        <v>136</v>
      </c>
      <c r="C10" s="73" t="s">
        <v>136</v>
      </c>
      <c r="D10" s="54" t="s">
        <v>85</v>
      </c>
      <c r="E10" s="54" t="s">
        <v>85</v>
      </c>
      <c r="F10" s="54" t="s">
        <v>85</v>
      </c>
      <c r="G10" s="73" t="s">
        <v>136</v>
      </c>
      <c r="H10" s="73" t="s">
        <v>136</v>
      </c>
      <c r="I10" s="73" t="s">
        <v>136</v>
      </c>
      <c r="K10" s="28" t="s">
        <v>12</v>
      </c>
    </row>
    <row r="11" spans="1:11" ht="21" customHeight="1" x14ac:dyDescent="0.15">
      <c r="A11" s="55" t="s">
        <v>47</v>
      </c>
      <c r="B11" s="73" t="s">
        <v>136</v>
      </c>
      <c r="C11" s="73" t="s">
        <v>136</v>
      </c>
      <c r="D11" s="55" t="s">
        <v>85</v>
      </c>
      <c r="E11" s="55" t="s">
        <v>85</v>
      </c>
      <c r="F11" s="55" t="s">
        <v>85</v>
      </c>
      <c r="G11" s="73" t="s">
        <v>136</v>
      </c>
      <c r="H11" s="73" t="s">
        <v>136</v>
      </c>
      <c r="I11" s="73" t="s">
        <v>136</v>
      </c>
      <c r="K11" s="30" t="s">
        <v>13</v>
      </c>
    </row>
    <row r="12" spans="1:11" ht="21" customHeight="1" x14ac:dyDescent="0.15">
      <c r="A12" s="56" t="s">
        <v>48</v>
      </c>
      <c r="B12" s="73" t="s">
        <v>136</v>
      </c>
      <c r="C12" s="73" t="s">
        <v>136</v>
      </c>
      <c r="D12" s="56" t="s">
        <v>86</v>
      </c>
      <c r="E12" s="56" t="s">
        <v>86</v>
      </c>
      <c r="F12" s="73" t="s">
        <v>136</v>
      </c>
      <c r="G12" s="73" t="s">
        <v>136</v>
      </c>
      <c r="H12" s="73" t="s">
        <v>136</v>
      </c>
      <c r="I12" s="73" t="s">
        <v>136</v>
      </c>
      <c r="K12" s="74" t="s">
        <v>55</v>
      </c>
    </row>
    <row r="13" spans="1:11" ht="21" customHeight="1" x14ac:dyDescent="0.15">
      <c r="A13" s="56" t="s">
        <v>65</v>
      </c>
      <c r="B13" s="73" t="s">
        <v>136</v>
      </c>
      <c r="C13" s="73" t="s">
        <v>136</v>
      </c>
      <c r="D13" s="57" t="s">
        <v>85</v>
      </c>
      <c r="E13" s="57" t="s">
        <v>85</v>
      </c>
      <c r="F13" s="57" t="s">
        <v>85</v>
      </c>
      <c r="G13" s="73" t="s">
        <v>136</v>
      </c>
      <c r="H13" s="73" t="s">
        <v>136</v>
      </c>
      <c r="I13" s="73" t="s">
        <v>136</v>
      </c>
      <c r="K13" s="75"/>
    </row>
    <row r="14" spans="1:11" ht="21" customHeight="1" x14ac:dyDescent="0.15">
      <c r="A14" s="57" t="s">
        <v>49</v>
      </c>
      <c r="B14" s="73" t="s">
        <v>136</v>
      </c>
      <c r="C14" s="73" t="s">
        <v>136</v>
      </c>
      <c r="D14" s="57" t="s">
        <v>85</v>
      </c>
      <c r="E14" s="57" t="s">
        <v>85</v>
      </c>
      <c r="F14" s="57" t="s">
        <v>85</v>
      </c>
      <c r="G14" s="73" t="s">
        <v>136</v>
      </c>
      <c r="H14" s="73" t="s">
        <v>136</v>
      </c>
      <c r="I14" s="73" t="s">
        <v>136</v>
      </c>
    </row>
    <row r="15" spans="1:11" ht="21" customHeight="1" x14ac:dyDescent="0.15">
      <c r="A15" s="57" t="s">
        <v>50</v>
      </c>
      <c r="B15" s="73" t="s">
        <v>136</v>
      </c>
      <c r="C15" s="73" t="s">
        <v>136</v>
      </c>
      <c r="D15" s="57" t="s">
        <v>86</v>
      </c>
      <c r="E15" s="57" t="s">
        <v>86</v>
      </c>
      <c r="F15" s="73" t="s">
        <v>136</v>
      </c>
      <c r="G15" s="73" t="s">
        <v>136</v>
      </c>
      <c r="H15" s="73" t="s">
        <v>136</v>
      </c>
      <c r="I15" s="73" t="s">
        <v>136</v>
      </c>
    </row>
    <row r="16" spans="1:11" ht="21" customHeight="1" x14ac:dyDescent="0.15">
      <c r="A16" s="57" t="s">
        <v>51</v>
      </c>
      <c r="B16" s="73" t="s">
        <v>136</v>
      </c>
      <c r="C16" s="57" t="s">
        <v>86</v>
      </c>
      <c r="D16" s="57" t="s">
        <v>86</v>
      </c>
      <c r="E16" s="57" t="s">
        <v>86</v>
      </c>
      <c r="F16" s="73" t="s">
        <v>136</v>
      </c>
      <c r="G16" s="73" t="s">
        <v>136</v>
      </c>
      <c r="H16" s="73" t="s">
        <v>136</v>
      </c>
      <c r="I16" s="73" t="s">
        <v>136</v>
      </c>
    </row>
    <row r="17" spans="1:9" ht="21" customHeight="1" x14ac:dyDescent="0.15">
      <c r="A17" s="58" t="s">
        <v>8</v>
      </c>
      <c r="B17" s="58" t="s">
        <v>87</v>
      </c>
      <c r="C17" s="58" t="s">
        <v>87</v>
      </c>
      <c r="D17" s="58" t="s">
        <v>87</v>
      </c>
      <c r="E17" s="73" t="s">
        <v>136</v>
      </c>
      <c r="F17" s="73" t="s">
        <v>136</v>
      </c>
      <c r="G17" s="73" t="s">
        <v>136</v>
      </c>
      <c r="H17" s="73" t="s">
        <v>136</v>
      </c>
      <c r="I17" s="73" t="s">
        <v>136</v>
      </c>
    </row>
    <row r="18" spans="1:9" ht="21" customHeight="1" x14ac:dyDescent="0.15">
      <c r="A18" s="53" t="s">
        <v>7</v>
      </c>
      <c r="B18" s="53" t="s">
        <v>88</v>
      </c>
      <c r="C18" s="53" t="s">
        <v>88</v>
      </c>
      <c r="D18" s="73" t="s">
        <v>136</v>
      </c>
      <c r="E18" s="73" t="s">
        <v>136</v>
      </c>
      <c r="F18" s="73" t="s">
        <v>136</v>
      </c>
      <c r="G18" s="73" t="s">
        <v>136</v>
      </c>
      <c r="H18" s="73" t="s">
        <v>136</v>
      </c>
      <c r="I18" s="73" t="s">
        <v>136</v>
      </c>
    </row>
    <row r="19" spans="1:9" ht="21" customHeight="1" x14ac:dyDescent="0.15">
      <c r="A19" s="55" t="s">
        <v>52</v>
      </c>
      <c r="B19" s="55" t="s">
        <v>89</v>
      </c>
      <c r="C19" s="55" t="s">
        <v>89</v>
      </c>
      <c r="D19" s="73" t="s">
        <v>136</v>
      </c>
      <c r="E19" s="73" t="s">
        <v>136</v>
      </c>
      <c r="F19" s="73" t="s">
        <v>136</v>
      </c>
      <c r="G19" s="73" t="s">
        <v>136</v>
      </c>
      <c r="H19" s="73" t="s">
        <v>136</v>
      </c>
      <c r="I19" s="73" t="s">
        <v>136</v>
      </c>
    </row>
    <row r="20" spans="1:9" ht="21" customHeight="1" x14ac:dyDescent="0.15">
      <c r="A20" s="38" t="s">
        <v>30</v>
      </c>
      <c r="B20" s="85" t="s">
        <v>73</v>
      </c>
      <c r="C20" s="85" t="s">
        <v>73</v>
      </c>
      <c r="D20" s="85" t="s">
        <v>73</v>
      </c>
      <c r="E20" s="85" t="s">
        <v>73</v>
      </c>
      <c r="F20" s="85" t="s">
        <v>73</v>
      </c>
      <c r="G20" s="85" t="s">
        <v>73</v>
      </c>
      <c r="H20" s="85" t="s">
        <v>73</v>
      </c>
      <c r="I20" s="85" t="s">
        <v>73</v>
      </c>
    </row>
    <row r="25" spans="1:9" ht="21" customHeight="1" x14ac:dyDescent="0.15">
      <c r="A25" s="24" t="s">
        <v>14</v>
      </c>
    </row>
    <row r="26" spans="1:9" ht="21" customHeight="1" x14ac:dyDescent="0.15">
      <c r="A26" s="22" t="s">
        <v>90</v>
      </c>
      <c r="B26" s="22" t="s">
        <v>91</v>
      </c>
    </row>
    <row r="27" spans="1:9" ht="21" customHeight="1" x14ac:dyDescent="0.15">
      <c r="A27" s="25">
        <v>1</v>
      </c>
      <c r="B27" s="25">
        <v>200</v>
      </c>
    </row>
    <row r="28" spans="1:9" ht="21" customHeight="1" x14ac:dyDescent="0.15">
      <c r="A28" s="25">
        <v>2</v>
      </c>
      <c r="B28" s="25">
        <v>600</v>
      </c>
    </row>
    <row r="29" spans="1:9" ht="21" customHeight="1" x14ac:dyDescent="0.15">
      <c r="A29" s="25">
        <v>3</v>
      </c>
      <c r="B29" s="25">
        <v>1500</v>
      </c>
    </row>
    <row r="30" spans="1:9" ht="21" customHeight="1" x14ac:dyDescent="0.15">
      <c r="A30" s="25">
        <v>4</v>
      </c>
      <c r="B30" s="25">
        <v>3400</v>
      </c>
    </row>
    <row r="31" spans="1:9" ht="21" customHeight="1" x14ac:dyDescent="0.15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19" stopIfTrue="1" operator="equal">
      <formula>1</formula>
    </cfRule>
  </conditionalFormatting>
  <conditionalFormatting sqref="A24:B25 A32:B33 C24:I33 G19:I19">
    <cfRule type="cellIs" dxfId="21" priority="18" stopIfTrue="1" operator="equal">
      <formula>1</formula>
    </cfRule>
  </conditionalFormatting>
  <conditionalFormatting sqref="D18:G18 F15:I18">
    <cfRule type="cellIs" dxfId="20" priority="17" stopIfTrue="1" operator="equal">
      <formula>1</formula>
    </cfRule>
  </conditionalFormatting>
  <conditionalFormatting sqref="F17:G17">
    <cfRule type="cellIs" dxfId="19" priority="16" stopIfTrue="1" operator="equal">
      <formula>1</formula>
    </cfRule>
  </conditionalFormatting>
  <conditionalFormatting sqref="A20">
    <cfRule type="cellIs" dxfId="18" priority="15" stopIfTrue="1" operator="equal">
      <formula>1</formula>
    </cfRule>
  </conditionalFormatting>
  <conditionalFormatting sqref="K10:K13">
    <cfRule type="cellIs" dxfId="17" priority="14" stopIfTrue="1" operator="equal">
      <formula>1</formula>
    </cfRule>
  </conditionalFormatting>
  <conditionalFormatting sqref="J8:IV8">
    <cfRule type="cellIs" dxfId="16" priority="13" stopIfTrue="1" operator="equal">
      <formula>1</formula>
    </cfRule>
  </conditionalFormatting>
  <conditionalFormatting sqref="J9:IV9">
    <cfRule type="cellIs" dxfId="15" priority="12" stopIfTrue="1" operator="equal">
      <formula>1</formula>
    </cfRule>
  </conditionalFormatting>
  <conditionalFormatting sqref="G10:I14">
    <cfRule type="cellIs" dxfId="14" priority="10" stopIfTrue="1" operator="equal">
      <formula>1</formula>
    </cfRule>
  </conditionalFormatting>
  <conditionalFormatting sqref="B10:C15">
    <cfRule type="cellIs" dxfId="13" priority="9" stopIfTrue="1" operator="equal">
      <formula>1</formula>
    </cfRule>
  </conditionalFormatting>
  <conditionalFormatting sqref="B16">
    <cfRule type="cellIs" dxfId="12" priority="8" stopIfTrue="1" operator="equal">
      <formula>1</formula>
    </cfRule>
  </conditionalFormatting>
  <conditionalFormatting sqref="E17">
    <cfRule type="cellIs" dxfId="11" priority="7" stopIfTrue="1" operator="equal">
      <formula>1</formula>
    </cfRule>
  </conditionalFormatting>
  <conditionalFormatting sqref="F12">
    <cfRule type="cellIs" dxfId="10" priority="5" stopIfTrue="1" operator="equal">
      <formula>1</formula>
    </cfRule>
  </conditionalFormatting>
  <conditionalFormatting sqref="J2:IV4">
    <cfRule type="cellIs" dxfId="9" priority="4" stopIfTrue="1" operator="equal">
      <formula>1</formula>
    </cfRule>
  </conditionalFormatting>
  <conditionalFormatting sqref="J5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G5" sqref="G5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69" t="s">
        <v>340</v>
      </c>
      <c r="B2" s="170"/>
      <c r="C2" s="171"/>
      <c r="D2" s="182" t="s">
        <v>11</v>
      </c>
      <c r="E2" s="182">
        <v>8000</v>
      </c>
      <c r="F2" s="182">
        <v>10000</v>
      </c>
      <c r="G2" s="182">
        <f>F2+4000</f>
        <v>14000</v>
      </c>
      <c r="H2" s="171"/>
      <c r="I2" s="171"/>
    </row>
    <row r="3" spans="1:9" s="4" customFormat="1" ht="21" customHeight="1" x14ac:dyDescent="0.15">
      <c r="A3" s="169" t="s">
        <v>335</v>
      </c>
      <c r="B3" s="173"/>
      <c r="C3" s="174"/>
      <c r="D3" s="182" t="s">
        <v>11</v>
      </c>
      <c r="E3" s="182">
        <v>7500</v>
      </c>
      <c r="F3" s="182">
        <v>9500</v>
      </c>
      <c r="G3" s="182">
        <v>13000</v>
      </c>
      <c r="H3" s="174"/>
      <c r="I3" s="174"/>
    </row>
    <row r="4" spans="1:9" s="4" customFormat="1" ht="21" customHeight="1" x14ac:dyDescent="0.15">
      <c r="A4" s="169" t="s">
        <v>341</v>
      </c>
      <c r="B4" s="176"/>
      <c r="C4" s="177"/>
      <c r="D4" s="182">
        <v>5000</v>
      </c>
      <c r="E4" s="182">
        <v>7000</v>
      </c>
      <c r="F4" s="182">
        <v>9000</v>
      </c>
      <c r="G4" s="182">
        <v>12000</v>
      </c>
      <c r="H4" s="177"/>
      <c r="I4" s="177"/>
    </row>
    <row r="5" spans="1:9" s="4" customFormat="1" ht="21" customHeight="1" x14ac:dyDescent="0.15">
      <c r="A5" s="183" t="s">
        <v>345</v>
      </c>
      <c r="B5" s="184"/>
      <c r="C5" s="185"/>
      <c r="D5" s="182">
        <v>4900</v>
      </c>
      <c r="E5" s="182">
        <v>6700</v>
      </c>
      <c r="F5" s="182">
        <v>8500</v>
      </c>
      <c r="G5" s="182">
        <v>11000</v>
      </c>
      <c r="H5" s="185"/>
      <c r="I5" s="185"/>
    </row>
    <row r="6" spans="1:9" s="4" customFormat="1" ht="21" customHeight="1" x14ac:dyDescent="0.15">
      <c r="A6" s="183" t="s">
        <v>346</v>
      </c>
      <c r="B6" s="184"/>
      <c r="C6" s="185"/>
      <c r="D6" s="182">
        <v>4800</v>
      </c>
      <c r="E6" s="182">
        <v>6600</v>
      </c>
      <c r="F6" s="182" t="s">
        <v>11</v>
      </c>
      <c r="G6" s="182" t="s">
        <v>11</v>
      </c>
      <c r="H6" s="185"/>
      <c r="I6" s="185"/>
    </row>
    <row r="7" spans="1:9" ht="21" customHeight="1" x14ac:dyDescent="0.15">
      <c r="A7" s="80" t="s">
        <v>17</v>
      </c>
      <c r="B7" s="48" t="s">
        <v>11</v>
      </c>
      <c r="C7" s="48" t="s">
        <v>11</v>
      </c>
      <c r="D7" s="48" t="s">
        <v>11</v>
      </c>
      <c r="E7" s="48" t="s">
        <v>11</v>
      </c>
      <c r="F7" s="48" t="s">
        <v>11</v>
      </c>
      <c r="G7" s="48" t="s">
        <v>11</v>
      </c>
      <c r="H7" s="48" t="s">
        <v>11</v>
      </c>
      <c r="I7" s="48" t="s">
        <v>11</v>
      </c>
    </row>
    <row r="8" spans="1:9" ht="21" customHeight="1" x14ac:dyDescent="0.15">
      <c r="A8" s="81" t="s">
        <v>56</v>
      </c>
      <c r="B8" s="48" t="s">
        <v>11</v>
      </c>
      <c r="C8" s="48" t="s">
        <v>11</v>
      </c>
      <c r="D8" s="48" t="s">
        <v>11</v>
      </c>
      <c r="E8" s="48">
        <v>8000</v>
      </c>
      <c r="F8" s="29">
        <v>10000</v>
      </c>
      <c r="G8" s="48" t="s">
        <v>11</v>
      </c>
      <c r="H8" s="48" t="s">
        <v>11</v>
      </c>
      <c r="I8" s="48" t="s">
        <v>11</v>
      </c>
    </row>
    <row r="9" spans="1:9" s="47" customFormat="1" ht="21" customHeight="1" x14ac:dyDescent="0.15">
      <c r="A9" s="82" t="s">
        <v>31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29" t="s">
        <v>11</v>
      </c>
      <c r="H9" s="29" t="s">
        <v>11</v>
      </c>
      <c r="I9" s="29" t="s">
        <v>11</v>
      </c>
    </row>
    <row r="10" spans="1:9" ht="21" customHeight="1" x14ac:dyDescent="0.15">
      <c r="A10" s="82" t="s">
        <v>9</v>
      </c>
      <c r="B10" s="71" t="s">
        <v>11</v>
      </c>
      <c r="C10" s="71" t="s">
        <v>11</v>
      </c>
      <c r="D10" s="29">
        <v>5000</v>
      </c>
      <c r="E10" s="29">
        <v>7000</v>
      </c>
      <c r="F10" s="29">
        <v>9000</v>
      </c>
      <c r="G10" s="71" t="s">
        <v>11</v>
      </c>
      <c r="H10" s="71" t="s">
        <v>11</v>
      </c>
      <c r="I10" s="71" t="s">
        <v>11</v>
      </c>
    </row>
    <row r="11" spans="1:9" ht="21" customHeight="1" x14ac:dyDescent="0.15">
      <c r="A11" s="82" t="s">
        <v>57</v>
      </c>
      <c r="B11" s="71" t="s">
        <v>11</v>
      </c>
      <c r="C11" s="71" t="s">
        <v>11</v>
      </c>
      <c r="D11" s="29">
        <v>4900</v>
      </c>
      <c r="E11" s="29">
        <v>6700</v>
      </c>
      <c r="F11" s="29">
        <v>8500</v>
      </c>
      <c r="G11" s="71" t="s">
        <v>11</v>
      </c>
      <c r="H11" s="71" t="s">
        <v>11</v>
      </c>
      <c r="I11" s="71" t="s">
        <v>11</v>
      </c>
    </row>
    <row r="12" spans="1:9" ht="21" customHeight="1" x14ac:dyDescent="0.15">
      <c r="A12" s="82" t="s">
        <v>132</v>
      </c>
      <c r="B12" s="71" t="s">
        <v>11</v>
      </c>
      <c r="C12" s="71" t="s">
        <v>11</v>
      </c>
      <c r="D12" s="29">
        <v>4800</v>
      </c>
      <c r="E12" s="29">
        <v>6600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 x14ac:dyDescent="0.15">
      <c r="A13" s="82" t="s">
        <v>145</v>
      </c>
      <c r="B13" s="71" t="s">
        <v>11</v>
      </c>
      <c r="C13" s="71" t="s">
        <v>11</v>
      </c>
      <c r="D13" s="71" t="s">
        <v>11</v>
      </c>
      <c r="E13" s="29">
        <v>6300</v>
      </c>
      <c r="F13" s="71" t="s">
        <v>11</v>
      </c>
      <c r="G13" s="71" t="s">
        <v>11</v>
      </c>
      <c r="H13" s="71" t="s">
        <v>11</v>
      </c>
      <c r="I13" s="71" t="s">
        <v>11</v>
      </c>
    </row>
    <row r="14" spans="1:9" ht="21" customHeight="1" x14ac:dyDescent="0.15">
      <c r="A14" s="82" t="s">
        <v>133</v>
      </c>
      <c r="B14" s="71" t="s">
        <v>11</v>
      </c>
      <c r="C14" s="71" t="s">
        <v>11</v>
      </c>
      <c r="D14" s="29">
        <v>4600</v>
      </c>
      <c r="E14" s="29">
        <v>5800</v>
      </c>
      <c r="F14" s="29">
        <v>7600</v>
      </c>
      <c r="G14" s="71" t="s">
        <v>11</v>
      </c>
      <c r="H14" s="71" t="s">
        <v>11</v>
      </c>
      <c r="I14" s="71" t="s">
        <v>11</v>
      </c>
    </row>
    <row r="15" spans="1:9" ht="21" customHeight="1" x14ac:dyDescent="0.15">
      <c r="A15" s="82" t="s">
        <v>131</v>
      </c>
      <c r="B15" s="71" t="s">
        <v>11</v>
      </c>
      <c r="C15" s="71" t="s">
        <v>11</v>
      </c>
      <c r="D15" s="29">
        <v>4400</v>
      </c>
      <c r="E15" s="29">
        <v>5600</v>
      </c>
      <c r="F15" s="71" t="s">
        <v>11</v>
      </c>
      <c r="G15" s="71" t="s">
        <v>11</v>
      </c>
      <c r="H15" s="71" t="s">
        <v>11</v>
      </c>
      <c r="I15" s="71" t="s">
        <v>11</v>
      </c>
    </row>
    <row r="16" spans="1:9" ht="21" customHeight="1" x14ac:dyDescent="0.15">
      <c r="A16" s="82" t="s">
        <v>43</v>
      </c>
      <c r="B16" s="71" t="s">
        <v>11</v>
      </c>
      <c r="C16" s="29">
        <v>3000</v>
      </c>
      <c r="D16" s="29">
        <v>4200</v>
      </c>
      <c r="E16" s="29">
        <v>5400</v>
      </c>
      <c r="F16" s="71" t="s">
        <v>11</v>
      </c>
      <c r="G16" s="71" t="s">
        <v>11</v>
      </c>
      <c r="H16" s="71" t="s">
        <v>11</v>
      </c>
      <c r="I16" s="71" t="s">
        <v>11</v>
      </c>
    </row>
    <row r="17" spans="1:9" ht="21" customHeight="1" x14ac:dyDescent="0.15">
      <c r="A17" s="82" t="s">
        <v>8</v>
      </c>
      <c r="B17" s="29">
        <v>2000</v>
      </c>
      <c r="C17" s="29">
        <v>2800</v>
      </c>
      <c r="D17" s="29">
        <v>4000</v>
      </c>
      <c r="E17" s="71" t="s">
        <v>11</v>
      </c>
      <c r="F17" s="71" t="s">
        <v>11</v>
      </c>
      <c r="G17" s="71" t="s">
        <v>11</v>
      </c>
      <c r="H17" s="71" t="s">
        <v>11</v>
      </c>
      <c r="I17" s="71" t="s">
        <v>11</v>
      </c>
    </row>
    <row r="18" spans="1:9" ht="21" customHeight="1" x14ac:dyDescent="0.15">
      <c r="A18" s="83" t="s">
        <v>7</v>
      </c>
      <c r="B18" s="29">
        <v>1750</v>
      </c>
      <c r="C18" s="29">
        <v>2550</v>
      </c>
      <c r="D18" s="71" t="s">
        <v>11</v>
      </c>
      <c r="E18" s="71" t="s">
        <v>11</v>
      </c>
      <c r="F18" s="71" t="s">
        <v>11</v>
      </c>
      <c r="G18" s="71" t="s">
        <v>11</v>
      </c>
      <c r="H18" s="71" t="s">
        <v>11</v>
      </c>
      <c r="I18" s="71" t="s">
        <v>11</v>
      </c>
    </row>
    <row r="19" spans="1:9" ht="21" customHeight="1" x14ac:dyDescent="0.15">
      <c r="A19" s="83" t="s">
        <v>42</v>
      </c>
      <c r="B19" s="29">
        <v>1500</v>
      </c>
      <c r="C19" s="29">
        <v>2300</v>
      </c>
      <c r="D19" s="71" t="s">
        <v>11</v>
      </c>
      <c r="E19" s="71" t="s">
        <v>11</v>
      </c>
      <c r="F19" s="71" t="s">
        <v>11</v>
      </c>
      <c r="G19" s="71" t="s">
        <v>11</v>
      </c>
      <c r="H19" s="71" t="s">
        <v>11</v>
      </c>
      <c r="I19" s="71" t="s">
        <v>11</v>
      </c>
    </row>
    <row r="20" spans="1:9" ht="21" customHeight="1" x14ac:dyDescent="0.15">
      <c r="A20" s="38" t="s">
        <v>30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4" stopIfTrue="1" operator="equal">
      <formula>1</formula>
    </cfRule>
  </conditionalFormatting>
  <conditionalFormatting sqref="A21:I65541">
    <cfRule type="cellIs" dxfId="4" priority="5" stopIfTrue="1" operator="equal">
      <formula>1</formula>
    </cfRule>
  </conditionalFormatting>
  <conditionalFormatting sqref="A20:I20">
    <cfRule type="cellIs" dxfId="3" priority="3" stopIfTrue="1" operator="equal">
      <formula>1</formula>
    </cfRule>
  </conditionalFormatting>
  <conditionalFormatting sqref="J2:IV4">
    <cfRule type="cellIs" dxfId="2" priority="2" stopIfTrue="1" operator="equal">
      <formula>1</formula>
    </cfRule>
  </conditionalFormatting>
  <conditionalFormatting sqref="J5:IV6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B8" sqref="B8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141</v>
      </c>
      <c r="G1" s="24" t="s">
        <v>142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/>
      <c r="G8" s="25">
        <v>6</v>
      </c>
      <c r="H8" s="36"/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2:B49"/>
  <sheetViews>
    <sheetView workbookViewId="0">
      <selection activeCell="K30" sqref="K30"/>
    </sheetView>
  </sheetViews>
  <sheetFormatPr baseColWidth="12" defaultRowHeight="15" x14ac:dyDescent="0.15"/>
  <sheetData>
    <row r="2" spans="1:2" x14ac:dyDescent="0.15">
      <c r="A2" t="s">
        <v>256</v>
      </c>
    </row>
    <row r="3" spans="1:2" x14ac:dyDescent="0.15">
      <c r="A3" t="s">
        <v>257</v>
      </c>
      <c r="B3" s="12">
        <v>581</v>
      </c>
    </row>
    <row r="4" spans="1:2" x14ac:dyDescent="0.15">
      <c r="A4" t="s">
        <v>258</v>
      </c>
      <c r="B4" s="12">
        <v>582</v>
      </c>
    </row>
    <row r="7" spans="1:2" x14ac:dyDescent="0.15">
      <c r="A7" t="s">
        <v>259</v>
      </c>
    </row>
    <row r="8" spans="1:2" x14ac:dyDescent="0.15">
      <c r="A8" t="str">
        <f>A2 &amp;" "&amp;IF(B2="","",B2)&amp;" "&amp; IFERROR(VLOOKUP(B2,units!A:B,2),"なし")</f>
        <v>R3  なし</v>
      </c>
    </row>
    <row r="9" spans="1:2" x14ac:dyDescent="0.15">
      <c r="A9" t="str">
        <f ca="1">A3 &amp;" "&amp;IF(B3="","",B3)&amp;" "&amp; IFERROR(VLOOKUP(B3,units!A:B,2),"なし")</f>
        <v>R4 581 フギンとムニン</v>
      </c>
    </row>
    <row r="10" spans="1:2" x14ac:dyDescent="0.15">
      <c r="A10" t="str">
        <f ca="1">A4 &amp;" "&amp;IF(B4="","",B4)&amp;" "&amp; IFERROR(VLOOKUP(B4,units!A:B,2),"なし")</f>
        <v>R5 582 空を駆る双鴉 フギンとムニン</v>
      </c>
    </row>
    <row r="12" spans="1:2" ht="19" customHeight="1" x14ac:dyDescent="0.15">
      <c r="A12" t="s">
        <v>260</v>
      </c>
    </row>
    <row r="13" spans="1:2" x14ac:dyDescent="0.15">
      <c r="A13" t="str">
        <f>IFERROR(VLOOKUP($B$2,unit_skills!A:I,3),"なし")</f>
        <v>なし</v>
      </c>
    </row>
    <row r="14" spans="1:2" x14ac:dyDescent="0.15">
      <c r="A14" t="str">
        <f>IFERROR(VLOOKUP($B$2,unit_skills!A:I,4),"なし")</f>
        <v>なし</v>
      </c>
    </row>
    <row r="15" spans="1:2" x14ac:dyDescent="0.15">
      <c r="A15" t="str">
        <f>"cost:"&amp;IFERROR(VLOOKUP($B$2,unit_skills!A:I,6),"なし")</f>
        <v>cost:なし</v>
      </c>
    </row>
    <row r="16" spans="1:2" x14ac:dyDescent="0.15">
      <c r="A16" t="str">
        <f>IFERROR(VLOOKUP($B$2,unit_skills!A:I,9),"なし")</f>
        <v>なし</v>
      </c>
    </row>
    <row r="18" spans="1:1" x14ac:dyDescent="0.15">
      <c r="A18" t="str">
        <f>IFERROR(VLOOKUP($B$3,unit_skills!A:I,3),"なし")</f>
        <v>双賢の黒翅</v>
      </c>
    </row>
    <row r="19" spans="1:1" x14ac:dyDescent="0.15">
      <c r="A19" t="str">
        <f>IFERROR(VLOOKUP($B$3,unit_skills!A:I,4),"なし")</f>
        <v>時限式ダメージパネルをボムパネル(大)に変換+3ターン青属性の攻撃力を特大UP</v>
      </c>
    </row>
    <row r="20" spans="1:1" x14ac:dyDescent="0.15">
      <c r="A20" t="str">
        <f>"cost:"&amp;IFERROR(VLOOKUP($B$3,unit_skills!A:I,6),"なし")</f>
        <v>cost:10</v>
      </c>
    </row>
    <row r="21" spans="1:1" x14ac:dyDescent="0.15">
      <c r="A21" t="str">
        <f>IFERROR(VLOOKUP($B$3,unit_skills!A:I,9),"なし")</f>
        <v>[effect:change_block, new_block:crack_bomb, target:time_bomb,color:block_blue,count:0, val:20, animation:change_block],[effect:enhance_unit, target:unit_blue, turn:3, status:attack, val:0.255, calc:mul, animation:enhance_unit_all_attack04_unit01]</v>
      </c>
    </row>
    <row r="23" spans="1:1" x14ac:dyDescent="0.15">
      <c r="A23" t="str">
        <f>IFERROR(VLOOKUP($B$4,unit_skills!A:I,3),"なし")</f>
        <v>双賢の黒翅</v>
      </c>
    </row>
    <row r="24" spans="1:1" x14ac:dyDescent="0.15">
      <c r="A24" t="str">
        <f>IFERROR(VLOOKUP($B$4,unit_skills!A:I,4),"なし")</f>
        <v>時限式ダメージパネルをボムパネル(大)に変換+3ターン青属性の攻撃力を特大UP</v>
      </c>
    </row>
    <row r="25" spans="1:1" x14ac:dyDescent="0.15">
      <c r="A25" t="str">
        <f>"cost:"&amp;IFERROR(VLOOKUP($B$4,unit_skills!A:I,6),"なし")</f>
        <v>cost:10</v>
      </c>
    </row>
    <row r="26" spans="1:1" x14ac:dyDescent="0.15">
      <c r="A26" t="str">
        <f>IFERROR(VLOOKUP($B$4,unit_skills!A:I,9),"なし")</f>
        <v>[effect:change_block, new_block:crack_bomb, target:time_bomb,color:block_blue,count:0, val:20, animation:change_block],[effect:enhance_unit, target:unit_blue, turn:3, status:attack, val:0.255, calc:mul, animation:enhance_unit_all_attack04_unit01]</v>
      </c>
    </row>
    <row r="28" spans="1:1" x14ac:dyDescent="0.15">
      <c r="A28" t="s">
        <v>261</v>
      </c>
    </row>
    <row r="29" spans="1:1" x14ac:dyDescent="0.15">
      <c r="A29" t="str">
        <f>IFERROR(VLOOKUP($B$2,crash_skills!A:I,3),"なし")</f>
        <v>なし</v>
      </c>
    </row>
    <row r="30" spans="1:1" x14ac:dyDescent="0.15">
      <c r="A30" t="str">
        <f>IFERROR(VLOOKUP($B$2,crash_skills!A:I,4),"なし")</f>
        <v>なし</v>
      </c>
    </row>
    <row r="31" spans="1:1" x14ac:dyDescent="0.15">
      <c r="A31" t="str">
        <f>IFERROR(VLOOKUP($B$2,crash_skills!A:I,6),"なし")</f>
        <v>なし</v>
      </c>
    </row>
    <row r="33" spans="1:1" x14ac:dyDescent="0.15">
      <c r="A33" t="str">
        <f>IFERROR(VLOOKUP($B$3,crash_skills!A:I,3),"なし")</f>
        <v>ダブルレイヴン</v>
      </c>
    </row>
    <row r="34" spans="1:1" x14ac:dyDescent="0.15">
      <c r="A34" t="str">
        <f>IFERROR(VLOOKUP($B$3,crash_skills!A:I,4),"なし")</f>
        <v>マシンに効果大の単体ダメージ_x000D_+アニマルに効果大の単体ダメージ</v>
      </c>
    </row>
    <row r="35" spans="1:1" x14ac:dyDescent="0.15">
      <c r="A35" t="str">
        <f>IFERROR(VLOOKUP($B$3,crash_skills!A:I,6),"なし")</f>
        <v>[effect:damage_anti_tribe, target:enemy_one, tribe:animal, val1:1.578, val2:0.786, animation:damage_one_blue04],[effect:damage_anti_tribe, target:enemy_one, tribe:machine, val1:1.578, val2:0.786, animation:damage_one_blue04]</v>
      </c>
    </row>
    <row r="37" spans="1:1" x14ac:dyDescent="0.15">
      <c r="A37" t="str">
        <f>IFERROR(VLOOKUP($B$4,crash_skills!A:I,3),"なし")</f>
        <v>ダブルレイヴン</v>
      </c>
    </row>
    <row r="38" spans="1:1" x14ac:dyDescent="0.15">
      <c r="A38" t="str">
        <f>IFERROR(VLOOKUP($B$4,crash_skills!A:I,4),"なし")</f>
        <v>マシンに効果大の単体ダメージ_x000D_+アニマルに効果大の単体ダメージ</v>
      </c>
    </row>
    <row r="39" spans="1:1" x14ac:dyDescent="0.15">
      <c r="A39" t="str">
        <f>IFERROR(VLOOKUP($B$4,crash_skills!A:I,6),"なし")</f>
        <v>[effect:damage_anti_tribe, target:enemy_one, tribe:animal, val1:1.578, val2:0.786, animation:damage_one_blue04],[effect:damage_anti_tribe, target:enemy_one, tribe:machine, val1:1.578, val2:0.786, animation:damage_one_blue04]</v>
      </c>
    </row>
    <row r="41" spans="1:1" x14ac:dyDescent="0.15">
      <c r="A41" t="s">
        <v>262</v>
      </c>
    </row>
    <row r="42" spans="1:1" x14ac:dyDescent="0.15">
      <c r="A42" t="str">
        <f>IFERROR(VLOOKUP($B$3,awake_materials!A:I,2),"なし")</f>
        <v>なし</v>
      </c>
    </row>
    <row r="43" spans="1:1" x14ac:dyDescent="0.15">
      <c r="A43" t="str">
        <f>IFERROR(VLOOKUP($B$3,awake_materials!A:I,2),"なし")</f>
        <v>なし</v>
      </c>
    </row>
    <row r="44" spans="1:1" x14ac:dyDescent="0.15">
      <c r="A44" t="str">
        <f>IFERROR(VLOOKUP($B$3,awake_materials!A:I,2),"なし")</f>
        <v>なし</v>
      </c>
    </row>
    <row r="45" spans="1:1" x14ac:dyDescent="0.15">
      <c r="A45" t="str">
        <f>IFERROR(VLOOKUP($B$3,awake_materials!A:I,2),"なし")</f>
        <v>なし</v>
      </c>
    </row>
    <row r="46" spans="1:1" x14ac:dyDescent="0.15">
      <c r="A46" t="str">
        <f>IFERROR(VLOOKUP($B$3,awake_materials!A:I,2),"なし")</f>
        <v>なし</v>
      </c>
    </row>
    <row r="48" spans="1:1" x14ac:dyDescent="0.15">
      <c r="A48" s="163"/>
    </row>
    <row r="49" spans="1:1" x14ac:dyDescent="0.15">
      <c r="A49" t="s">
        <v>263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output</vt:lpstr>
      <vt:lpstr>units</vt:lpstr>
      <vt:lpstr>awake_materials</vt:lpstr>
      <vt:lpstr>unit_skills</vt:lpstr>
      <vt:lpstr>crash_skills</vt:lpstr>
      <vt:lpstr>unit_serifs</vt:lpstr>
      <vt:lpstr>unit_serifs_i18n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2017-06-06T07:53:20Z</dcterms:modified>
</cp:coreProperties>
</file>