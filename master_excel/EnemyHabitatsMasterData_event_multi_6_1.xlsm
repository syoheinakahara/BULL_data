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inkedbrain/BULL_data/master_excel/"/>
    </mc:Choice>
  </mc:AlternateContent>
  <bookViews>
    <workbookView xWindow="12700" yWindow="7380" windowWidth="24480" windowHeight="14940" tabRatio="740" activeTab="7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e" sheetId="20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enemy_habitat_S!$B$1:$Y$1</definedName>
    <definedName name="_xlnm._FilterDatabase" localSheetId="2" hidden="1">enemy_habitats!$B$1:$AH$2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8" hidden="1">stage_hints_complete!$C$1:$N$1</definedName>
    <definedName name="_xlnm._FilterDatabase" localSheetId="9" hidden="1">stage_hints_failue!$C$1:$N$2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7" i="18" l="1"/>
  <c r="E18" i="18"/>
  <c r="E19" i="18"/>
  <c r="E20" i="18"/>
  <c r="E21" i="18"/>
  <c r="E22" i="18"/>
  <c r="E23" i="18"/>
  <c r="E24" i="18"/>
  <c r="E25" i="18"/>
  <c r="E26" i="18"/>
  <c r="E27" i="18"/>
  <c r="E28" i="18"/>
  <c r="E29" i="18"/>
  <c r="E30" i="18"/>
  <c r="E31" i="18"/>
  <c r="E32" i="18"/>
  <c r="E33" i="18"/>
  <c r="C28" i="18"/>
  <c r="D28" i="18"/>
  <c r="C17" i="18"/>
  <c r="D17" i="18"/>
  <c r="J33" i="11"/>
  <c r="O37" i="9"/>
  <c r="N37" i="9"/>
  <c r="M37" i="9"/>
  <c r="L37" i="9"/>
  <c r="K37" i="9"/>
  <c r="J37" i="9"/>
  <c r="I37" i="9"/>
  <c r="H37" i="9"/>
  <c r="G37" i="9"/>
  <c r="E37" i="9"/>
  <c r="D37" i="9"/>
  <c r="A37" i="9"/>
  <c r="J32" i="11"/>
  <c r="O36" i="9"/>
  <c r="N36" i="9"/>
  <c r="M36" i="9"/>
  <c r="L36" i="9"/>
  <c r="K36" i="9"/>
  <c r="J36" i="9"/>
  <c r="I36" i="9"/>
  <c r="H36" i="9"/>
  <c r="G36" i="9"/>
  <c r="E36" i="9"/>
  <c r="D36" i="9"/>
  <c r="A36" i="9"/>
  <c r="O21" i="9"/>
  <c r="N21" i="9"/>
  <c r="M21" i="9"/>
  <c r="L21" i="9"/>
  <c r="K21" i="9"/>
  <c r="J21" i="9"/>
  <c r="I21" i="9"/>
  <c r="H21" i="9"/>
  <c r="G21" i="9"/>
  <c r="E21" i="9"/>
  <c r="D21" i="9"/>
  <c r="A21" i="9"/>
  <c r="O20" i="9"/>
  <c r="N20" i="9"/>
  <c r="M20" i="9"/>
  <c r="L20" i="9"/>
  <c r="K20" i="9"/>
  <c r="J20" i="9"/>
  <c r="I20" i="9"/>
  <c r="H20" i="9"/>
  <c r="G20" i="9"/>
  <c r="E20" i="9"/>
  <c r="D20" i="9"/>
  <c r="A20" i="9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" i="19"/>
  <c r="N3" i="19"/>
  <c r="M4" i="19"/>
  <c r="N4" i="19"/>
  <c r="M5" i="19"/>
  <c r="N5" i="19"/>
  <c r="M6" i="19"/>
  <c r="N6" i="19"/>
  <c r="M7" i="19"/>
  <c r="N7" i="19"/>
  <c r="M8" i="19"/>
  <c r="N8" i="19"/>
  <c r="M9" i="19"/>
  <c r="N9" i="19"/>
  <c r="M10" i="19"/>
  <c r="N10" i="19"/>
  <c r="M11" i="19"/>
  <c r="N11" i="19"/>
  <c r="M12" i="19"/>
  <c r="N12" i="19"/>
  <c r="M13" i="19"/>
  <c r="N13" i="19"/>
  <c r="M14" i="19"/>
  <c r="N14" i="19"/>
  <c r="M15" i="19"/>
  <c r="N15" i="19"/>
  <c r="M16" i="19"/>
  <c r="N16" i="19"/>
  <c r="M17" i="19"/>
  <c r="N17" i="19"/>
  <c r="M18" i="19"/>
  <c r="N18" i="19"/>
  <c r="M19" i="19"/>
  <c r="N19" i="19"/>
  <c r="M20" i="19"/>
  <c r="N20" i="19"/>
  <c r="M21" i="19"/>
  <c r="N21" i="19"/>
  <c r="M22" i="19"/>
  <c r="N22" i="19"/>
  <c r="M23" i="19"/>
  <c r="N23" i="19"/>
  <c r="M24" i="19"/>
  <c r="N24" i="19"/>
  <c r="M25" i="19"/>
  <c r="N25" i="19"/>
  <c r="M26" i="19"/>
  <c r="N26" i="19"/>
  <c r="M27" i="19"/>
  <c r="N27" i="19"/>
  <c r="M28" i="19"/>
  <c r="N28" i="19"/>
  <c r="M29" i="19"/>
  <c r="N29" i="19"/>
  <c r="M30" i="19"/>
  <c r="N30" i="19"/>
  <c r="M31" i="19"/>
  <c r="N31" i="19"/>
  <c r="M32" i="19"/>
  <c r="N32" i="19"/>
  <c r="M33" i="19"/>
  <c r="N33" i="19"/>
  <c r="M34" i="19"/>
  <c r="N34" i="19"/>
  <c r="M35" i="19"/>
  <c r="N35" i="19"/>
  <c r="M36" i="19"/>
  <c r="N36" i="19"/>
  <c r="M37" i="19"/>
  <c r="N37" i="19"/>
  <c r="M38" i="19"/>
  <c r="N38" i="19"/>
  <c r="M39" i="19"/>
  <c r="N39" i="19"/>
  <c r="M40" i="19"/>
  <c r="N40" i="19"/>
  <c r="M41" i="19"/>
  <c r="N41" i="19"/>
  <c r="M42" i="19"/>
  <c r="N42" i="19"/>
  <c r="M43" i="19"/>
  <c r="N43" i="19"/>
  <c r="M44" i="19"/>
  <c r="N44" i="19"/>
  <c r="M45" i="19"/>
  <c r="N45" i="19"/>
  <c r="M46" i="19"/>
  <c r="N46" i="19"/>
  <c r="M47" i="19"/>
  <c r="N47" i="19"/>
  <c r="M48" i="19"/>
  <c r="N48" i="19"/>
  <c r="M49" i="19"/>
  <c r="N49" i="19"/>
  <c r="M50" i="19"/>
  <c r="N50" i="19"/>
  <c r="M51" i="19"/>
  <c r="N51" i="19"/>
  <c r="M52" i="19"/>
  <c r="N52" i="19"/>
  <c r="M53" i="19"/>
  <c r="N53" i="19"/>
  <c r="M54" i="19"/>
  <c r="N54" i="19"/>
  <c r="M55" i="19"/>
  <c r="N55" i="19"/>
  <c r="M56" i="19"/>
  <c r="N56" i="19"/>
  <c r="M57" i="19"/>
  <c r="N57" i="19"/>
  <c r="M58" i="19"/>
  <c r="N58" i="19"/>
  <c r="M59" i="19"/>
  <c r="N59" i="19"/>
  <c r="M60" i="19"/>
  <c r="N60" i="19"/>
  <c r="M61" i="19"/>
  <c r="N61" i="19"/>
  <c r="M62" i="19"/>
  <c r="N62" i="19"/>
  <c r="M63" i="19"/>
  <c r="N63" i="19"/>
  <c r="M64" i="19"/>
  <c r="N64" i="19"/>
  <c r="M65" i="19"/>
  <c r="N65" i="19"/>
  <c r="M66" i="19"/>
  <c r="N66" i="19"/>
  <c r="M67" i="19"/>
  <c r="N67" i="19"/>
  <c r="M68" i="19"/>
  <c r="N68" i="19"/>
  <c r="M69" i="19"/>
  <c r="N69" i="19"/>
  <c r="M70" i="19"/>
  <c r="N70" i="19"/>
  <c r="M71" i="19"/>
  <c r="N71" i="19"/>
  <c r="M72" i="19"/>
  <c r="N72" i="19"/>
  <c r="M73" i="19"/>
  <c r="N73" i="19"/>
  <c r="M74" i="19"/>
  <c r="N74" i="19"/>
  <c r="M75" i="19"/>
  <c r="N75" i="19"/>
  <c r="M76" i="19"/>
  <c r="N76" i="19"/>
  <c r="M77" i="19"/>
  <c r="N77" i="19"/>
  <c r="M78" i="19"/>
  <c r="N78" i="19"/>
  <c r="M79" i="19"/>
  <c r="N79" i="19"/>
  <c r="M80" i="19"/>
  <c r="N80" i="19"/>
  <c r="M81" i="19"/>
  <c r="N81" i="19"/>
  <c r="M82" i="19"/>
  <c r="N82" i="19"/>
  <c r="M83" i="19"/>
  <c r="N83" i="19"/>
  <c r="M84" i="19"/>
  <c r="N84" i="19"/>
  <c r="M85" i="19"/>
  <c r="N85" i="19"/>
  <c r="M86" i="19"/>
  <c r="N86" i="19"/>
  <c r="M87" i="19"/>
  <c r="N87" i="19"/>
  <c r="M88" i="19"/>
  <c r="N88" i="19"/>
  <c r="M89" i="19"/>
  <c r="N89" i="19"/>
  <c r="M90" i="19"/>
  <c r="N90" i="19"/>
  <c r="M91" i="19"/>
  <c r="N91" i="19"/>
  <c r="M92" i="19"/>
  <c r="N92" i="19"/>
  <c r="M93" i="19"/>
  <c r="N93" i="19"/>
  <c r="M94" i="19"/>
  <c r="N94" i="19"/>
  <c r="M95" i="19"/>
  <c r="N95" i="19"/>
  <c r="M96" i="19"/>
  <c r="N96" i="19"/>
  <c r="M97" i="19"/>
  <c r="N97" i="19"/>
  <c r="M98" i="19"/>
  <c r="N98" i="19"/>
  <c r="M99" i="19"/>
  <c r="N99" i="19"/>
  <c r="M100" i="19"/>
  <c r="N100" i="19"/>
  <c r="M101" i="19"/>
  <c r="N101" i="19"/>
  <c r="M102" i="19"/>
  <c r="N102" i="19"/>
  <c r="M103" i="19"/>
  <c r="N103" i="19"/>
  <c r="M104" i="19"/>
  <c r="N104" i="19"/>
  <c r="M105" i="19"/>
  <c r="N105" i="19"/>
  <c r="M106" i="19"/>
  <c r="N106" i="19"/>
  <c r="M107" i="19"/>
  <c r="N107" i="19"/>
  <c r="M108" i="19"/>
  <c r="N108" i="19"/>
  <c r="M109" i="19"/>
  <c r="N109" i="19"/>
  <c r="M110" i="19"/>
  <c r="N110" i="19"/>
  <c r="M111" i="19"/>
  <c r="N111" i="19"/>
  <c r="M112" i="19"/>
  <c r="N112" i="19"/>
  <c r="M113" i="19"/>
  <c r="N113" i="19"/>
  <c r="M114" i="19"/>
  <c r="N114" i="19"/>
  <c r="M115" i="19"/>
  <c r="N115" i="19"/>
  <c r="N2" i="19"/>
  <c r="M2" i="19"/>
  <c r="C11" i="16"/>
  <c r="C12" i="16"/>
  <c r="E12" i="16"/>
  <c r="E11" i="16"/>
  <c r="C10" i="16"/>
  <c r="E10" i="16"/>
  <c r="C13" i="20"/>
  <c r="J13" i="20"/>
  <c r="K13" i="20"/>
  <c r="H13" i="20"/>
  <c r="G13" i="20"/>
  <c r="E13" i="20"/>
  <c r="D13" i="20"/>
  <c r="A13" i="20"/>
  <c r="C12" i="20"/>
  <c r="J12" i="20"/>
  <c r="K12" i="20"/>
  <c r="H12" i="20"/>
  <c r="G12" i="20"/>
  <c r="E12" i="20"/>
  <c r="D12" i="20"/>
  <c r="A12" i="20"/>
  <c r="C11" i="20"/>
  <c r="J11" i="20"/>
  <c r="K11" i="20"/>
  <c r="H11" i="20"/>
  <c r="G11" i="20"/>
  <c r="E11" i="20"/>
  <c r="D11" i="20"/>
  <c r="A11" i="20"/>
  <c r="C10" i="20"/>
  <c r="J10" i="20"/>
  <c r="K10" i="20"/>
  <c r="H10" i="20"/>
  <c r="G10" i="20"/>
  <c r="E10" i="20"/>
  <c r="D10" i="20"/>
  <c r="A10" i="20"/>
  <c r="C9" i="20"/>
  <c r="J9" i="20"/>
  <c r="K9" i="20"/>
  <c r="H9" i="20"/>
  <c r="G9" i="20"/>
  <c r="E9" i="20"/>
  <c r="D9" i="20"/>
  <c r="A9" i="20"/>
  <c r="C8" i="20"/>
  <c r="J8" i="20"/>
  <c r="K8" i="20"/>
  <c r="H8" i="20"/>
  <c r="G8" i="20"/>
  <c r="E8" i="20"/>
  <c r="D8" i="20"/>
  <c r="A8" i="20"/>
  <c r="C7" i="20"/>
  <c r="J7" i="20"/>
  <c r="K7" i="20"/>
  <c r="H7" i="20"/>
  <c r="G7" i="20"/>
  <c r="E7" i="20"/>
  <c r="D7" i="20"/>
  <c r="A7" i="20"/>
  <c r="C6" i="20"/>
  <c r="J6" i="20"/>
  <c r="K6" i="20"/>
  <c r="H6" i="20"/>
  <c r="G6" i="20"/>
  <c r="E6" i="20"/>
  <c r="D6" i="20"/>
  <c r="A6" i="20"/>
  <c r="C5" i="20"/>
  <c r="J5" i="20"/>
  <c r="K5" i="20"/>
  <c r="H5" i="20"/>
  <c r="G5" i="20"/>
  <c r="E5" i="20"/>
  <c r="D5" i="20"/>
  <c r="A5" i="20"/>
  <c r="C4" i="20"/>
  <c r="J4" i="20"/>
  <c r="K4" i="20"/>
  <c r="H4" i="20"/>
  <c r="G4" i="20"/>
  <c r="E4" i="20"/>
  <c r="D4" i="20"/>
  <c r="A4" i="20"/>
  <c r="C3" i="20"/>
  <c r="J3" i="20"/>
  <c r="K3" i="20"/>
  <c r="H3" i="20"/>
  <c r="G3" i="20"/>
  <c r="E3" i="20"/>
  <c r="D3" i="20"/>
  <c r="A3" i="20"/>
  <c r="C2" i="20"/>
  <c r="J2" i="20"/>
  <c r="K2" i="20"/>
  <c r="H2" i="20"/>
  <c r="G2" i="20"/>
  <c r="E2" i="20"/>
  <c r="D2" i="20"/>
  <c r="A2" i="20"/>
  <c r="C24" i="19"/>
  <c r="C25" i="19"/>
  <c r="J30" i="11"/>
  <c r="O13" i="9"/>
  <c r="N13" i="9"/>
  <c r="M13" i="9"/>
  <c r="L13" i="9"/>
  <c r="K13" i="9"/>
  <c r="J13" i="9"/>
  <c r="I13" i="9"/>
  <c r="H13" i="9"/>
  <c r="G13" i="9"/>
  <c r="E13" i="9"/>
  <c r="D13" i="9"/>
  <c r="A13" i="9"/>
  <c r="J10" i="11"/>
  <c r="O6" i="9"/>
  <c r="N6" i="9"/>
  <c r="M6" i="9"/>
  <c r="L6" i="9"/>
  <c r="K6" i="9"/>
  <c r="J6" i="9"/>
  <c r="I6" i="9"/>
  <c r="H6" i="9"/>
  <c r="G6" i="9"/>
  <c r="E6" i="9"/>
  <c r="D6" i="9"/>
  <c r="A6" i="9"/>
  <c r="J31" i="11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O26" i="9"/>
  <c r="N26" i="9"/>
  <c r="M26" i="9"/>
  <c r="L26" i="9"/>
  <c r="K26" i="9"/>
  <c r="J26" i="9"/>
  <c r="I26" i="9"/>
  <c r="H26" i="9"/>
  <c r="G26" i="9"/>
  <c r="E26" i="9"/>
  <c r="D26" i="9"/>
  <c r="A26" i="9"/>
  <c r="A27" i="9"/>
  <c r="D27" i="9"/>
  <c r="E27" i="9"/>
  <c r="G27" i="9"/>
  <c r="H27" i="9"/>
  <c r="I27" i="9"/>
  <c r="J27" i="9"/>
  <c r="K27" i="9"/>
  <c r="L27" i="9"/>
  <c r="M27" i="9"/>
  <c r="N27" i="9"/>
  <c r="J19" i="11"/>
  <c r="O27" i="9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J17" i="11"/>
  <c r="O39" i="9"/>
  <c r="N39" i="9"/>
  <c r="M39" i="9"/>
  <c r="L39" i="9"/>
  <c r="K39" i="9"/>
  <c r="J39" i="9"/>
  <c r="I39" i="9"/>
  <c r="H39" i="9"/>
  <c r="G39" i="9"/>
  <c r="E39" i="9"/>
  <c r="D39" i="9"/>
  <c r="A39" i="9"/>
  <c r="J16" i="11"/>
  <c r="O38" i="9"/>
  <c r="N38" i="9"/>
  <c r="M38" i="9"/>
  <c r="L38" i="9"/>
  <c r="K38" i="9"/>
  <c r="J38" i="9"/>
  <c r="I38" i="9"/>
  <c r="H38" i="9"/>
  <c r="G38" i="9"/>
  <c r="E38" i="9"/>
  <c r="D38" i="9"/>
  <c r="A38" i="9"/>
  <c r="J14" i="11"/>
  <c r="O35" i="9"/>
  <c r="N35" i="9"/>
  <c r="M35" i="9"/>
  <c r="L35" i="9"/>
  <c r="K35" i="9"/>
  <c r="J35" i="9"/>
  <c r="I35" i="9"/>
  <c r="H35" i="9"/>
  <c r="G35" i="9"/>
  <c r="E35" i="9"/>
  <c r="D35" i="9"/>
  <c r="A35" i="9"/>
  <c r="C2" i="19"/>
  <c r="J2" i="19"/>
  <c r="C3" i="19"/>
  <c r="J3" i="19"/>
  <c r="C4" i="19"/>
  <c r="J4" i="19"/>
  <c r="C5" i="19"/>
  <c r="J5" i="19"/>
  <c r="C6" i="19"/>
  <c r="J6" i="19"/>
  <c r="C7" i="19"/>
  <c r="J7" i="19"/>
  <c r="C8" i="19"/>
  <c r="J8" i="19"/>
  <c r="C9" i="19"/>
  <c r="J9" i="19"/>
  <c r="C10" i="19"/>
  <c r="J10" i="19"/>
  <c r="C11" i="19"/>
  <c r="J11" i="19"/>
  <c r="C12" i="19"/>
  <c r="J12" i="19"/>
  <c r="C13" i="19"/>
  <c r="J13" i="19"/>
  <c r="C14" i="19"/>
  <c r="J14" i="19"/>
  <c r="C15" i="19"/>
  <c r="J15" i="19"/>
  <c r="C16" i="19"/>
  <c r="J16" i="19"/>
  <c r="C17" i="19"/>
  <c r="J17" i="19"/>
  <c r="C18" i="19"/>
  <c r="J18" i="19"/>
  <c r="C19" i="19"/>
  <c r="J19" i="19"/>
  <c r="C20" i="19"/>
  <c r="J20" i="19"/>
  <c r="C21" i="19"/>
  <c r="J21" i="19"/>
  <c r="C22" i="19"/>
  <c r="J22" i="19"/>
  <c r="C23" i="19"/>
  <c r="J23" i="19"/>
  <c r="J24" i="19"/>
  <c r="J25" i="19"/>
  <c r="C26" i="19"/>
  <c r="J26" i="19"/>
  <c r="C27" i="19"/>
  <c r="J27" i="19"/>
  <c r="C28" i="19"/>
  <c r="J28" i="19"/>
  <c r="C29" i="19"/>
  <c r="J29" i="19"/>
  <c r="C30" i="19"/>
  <c r="J30" i="19"/>
  <c r="C31" i="19"/>
  <c r="J31" i="19"/>
  <c r="C32" i="19"/>
  <c r="J32" i="19"/>
  <c r="C33" i="19"/>
  <c r="J33" i="19"/>
  <c r="C34" i="19"/>
  <c r="J34" i="19"/>
  <c r="C35" i="19"/>
  <c r="J35" i="19"/>
  <c r="C36" i="19"/>
  <c r="J36" i="19"/>
  <c r="C37" i="19"/>
  <c r="J37" i="19"/>
  <c r="C38" i="19"/>
  <c r="J38" i="19"/>
  <c r="C39" i="19"/>
  <c r="J39" i="19"/>
  <c r="C40" i="19"/>
  <c r="J40" i="19"/>
  <c r="C41" i="19"/>
  <c r="J41" i="19"/>
  <c r="C42" i="19"/>
  <c r="J42" i="19"/>
  <c r="C43" i="19"/>
  <c r="J43" i="19"/>
  <c r="C44" i="19"/>
  <c r="J44" i="19"/>
  <c r="C45" i="19"/>
  <c r="J45" i="19"/>
  <c r="C46" i="19"/>
  <c r="J46" i="19"/>
  <c r="C47" i="19"/>
  <c r="J47" i="19"/>
  <c r="C48" i="19"/>
  <c r="J48" i="19"/>
  <c r="C49" i="19"/>
  <c r="J49" i="19"/>
  <c r="C50" i="19"/>
  <c r="J50" i="19"/>
  <c r="C51" i="19"/>
  <c r="J51" i="19"/>
  <c r="C52" i="19"/>
  <c r="J52" i="19"/>
  <c r="C53" i="19"/>
  <c r="J53" i="19"/>
  <c r="C54" i="19"/>
  <c r="J54" i="19"/>
  <c r="C55" i="19"/>
  <c r="J55" i="19"/>
  <c r="C56" i="19"/>
  <c r="J56" i="19"/>
  <c r="C57" i="19"/>
  <c r="J57" i="19"/>
  <c r="C58" i="19"/>
  <c r="J58" i="19"/>
  <c r="C59" i="19"/>
  <c r="J59" i="19"/>
  <c r="C60" i="19"/>
  <c r="J60" i="19"/>
  <c r="C61" i="19"/>
  <c r="J61" i="19"/>
  <c r="C62" i="19"/>
  <c r="J62" i="19"/>
  <c r="C63" i="19"/>
  <c r="J63" i="19"/>
  <c r="C64" i="19"/>
  <c r="J64" i="19"/>
  <c r="C65" i="19"/>
  <c r="J65" i="19"/>
  <c r="C66" i="19"/>
  <c r="J66" i="19"/>
  <c r="C67" i="19"/>
  <c r="J67" i="19"/>
  <c r="C68" i="19"/>
  <c r="J68" i="19"/>
  <c r="C69" i="19"/>
  <c r="J69" i="19"/>
  <c r="C70" i="19"/>
  <c r="J70" i="19"/>
  <c r="C71" i="19"/>
  <c r="J71" i="19"/>
  <c r="C72" i="19"/>
  <c r="J72" i="19"/>
  <c r="C73" i="19"/>
  <c r="J73" i="19"/>
  <c r="C74" i="19"/>
  <c r="J74" i="19"/>
  <c r="C75" i="19"/>
  <c r="J75" i="19"/>
  <c r="C76" i="19"/>
  <c r="J76" i="19"/>
  <c r="C77" i="19"/>
  <c r="J77" i="19"/>
  <c r="C78" i="19"/>
  <c r="J78" i="19"/>
  <c r="C79" i="19"/>
  <c r="J79" i="19"/>
  <c r="C80" i="19"/>
  <c r="J80" i="19"/>
  <c r="C81" i="19"/>
  <c r="J81" i="19"/>
  <c r="C82" i="19"/>
  <c r="J82" i="19"/>
  <c r="C83" i="19"/>
  <c r="J83" i="19"/>
  <c r="C84" i="19"/>
  <c r="J84" i="19"/>
  <c r="C85" i="19"/>
  <c r="J85" i="19"/>
  <c r="C86" i="19"/>
  <c r="J86" i="19"/>
  <c r="C87" i="19"/>
  <c r="J87" i="19"/>
  <c r="C88" i="19"/>
  <c r="J88" i="19"/>
  <c r="C89" i="19"/>
  <c r="J89" i="19"/>
  <c r="C90" i="19"/>
  <c r="J90" i="19"/>
  <c r="C91" i="19"/>
  <c r="J91" i="19"/>
  <c r="C92" i="19"/>
  <c r="J92" i="19"/>
  <c r="C93" i="19"/>
  <c r="J93" i="19"/>
  <c r="C94" i="19"/>
  <c r="J94" i="19"/>
  <c r="C95" i="19"/>
  <c r="J95" i="19"/>
  <c r="C96" i="19"/>
  <c r="J96" i="19"/>
  <c r="C97" i="19"/>
  <c r="J97" i="19"/>
  <c r="C98" i="19"/>
  <c r="J98" i="19"/>
  <c r="C99" i="19"/>
  <c r="J99" i="19"/>
  <c r="C100" i="19"/>
  <c r="J100" i="19"/>
  <c r="C101" i="19"/>
  <c r="J101" i="19"/>
  <c r="C102" i="19"/>
  <c r="J102" i="19"/>
  <c r="C103" i="19"/>
  <c r="J103" i="19"/>
  <c r="C104" i="19"/>
  <c r="J104" i="19"/>
  <c r="C105" i="19"/>
  <c r="J105" i="19"/>
  <c r="C106" i="19"/>
  <c r="J106" i="19"/>
  <c r="C107" i="19"/>
  <c r="J107" i="19"/>
  <c r="C108" i="19"/>
  <c r="J108" i="19"/>
  <c r="C109" i="19"/>
  <c r="J109" i="19"/>
  <c r="C110" i="19"/>
  <c r="J110" i="19"/>
  <c r="C111" i="19"/>
  <c r="J111" i="19"/>
  <c r="C112" i="19"/>
  <c r="J112" i="19"/>
  <c r="C113" i="19"/>
  <c r="J113" i="19"/>
  <c r="C114" i="19"/>
  <c r="J114" i="19"/>
  <c r="C115" i="19"/>
  <c r="J115" i="19"/>
  <c r="J9" i="11"/>
  <c r="O10" i="9"/>
  <c r="N10" i="9"/>
  <c r="M10" i="9"/>
  <c r="L10" i="9"/>
  <c r="K10" i="9"/>
  <c r="J10" i="9"/>
  <c r="I10" i="9"/>
  <c r="H10" i="9"/>
  <c r="G10" i="9"/>
  <c r="E10" i="9"/>
  <c r="D10" i="9"/>
  <c r="A10" i="9"/>
  <c r="E11" i="9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G3" i="9"/>
  <c r="H3" i="9"/>
  <c r="I3" i="9"/>
  <c r="J3" i="9"/>
  <c r="K3" i="9"/>
  <c r="L3" i="9"/>
  <c r="M3" i="9"/>
  <c r="N3" i="9"/>
  <c r="J2" i="11"/>
  <c r="O3" i="9"/>
  <c r="G4" i="9"/>
  <c r="H4" i="9"/>
  <c r="I4" i="9"/>
  <c r="J4" i="9"/>
  <c r="K4" i="9"/>
  <c r="L4" i="9"/>
  <c r="M4" i="9"/>
  <c r="N4" i="9"/>
  <c r="J3" i="11"/>
  <c r="O4" i="9"/>
  <c r="G5" i="9"/>
  <c r="H5" i="9"/>
  <c r="I5" i="9"/>
  <c r="J5" i="9"/>
  <c r="K5" i="9"/>
  <c r="L5" i="9"/>
  <c r="M5" i="9"/>
  <c r="N5" i="9"/>
  <c r="O5" i="9"/>
  <c r="G7" i="9"/>
  <c r="H7" i="9"/>
  <c r="I7" i="9"/>
  <c r="J7" i="9"/>
  <c r="K7" i="9"/>
  <c r="L7" i="9"/>
  <c r="M7" i="9"/>
  <c r="N7" i="9"/>
  <c r="O7" i="9"/>
  <c r="G8" i="9"/>
  <c r="H8" i="9"/>
  <c r="I8" i="9"/>
  <c r="J8" i="9"/>
  <c r="K8" i="9"/>
  <c r="L8" i="9"/>
  <c r="M8" i="9"/>
  <c r="N8" i="9"/>
  <c r="J5" i="11"/>
  <c r="O8" i="9"/>
  <c r="G9" i="9"/>
  <c r="H9" i="9"/>
  <c r="I9" i="9"/>
  <c r="J9" i="9"/>
  <c r="K9" i="9"/>
  <c r="L9" i="9"/>
  <c r="M9" i="9"/>
  <c r="N9" i="9"/>
  <c r="J6" i="11"/>
  <c r="O9" i="9"/>
  <c r="G11" i="9"/>
  <c r="H11" i="9"/>
  <c r="I11" i="9"/>
  <c r="J11" i="9"/>
  <c r="K11" i="9"/>
  <c r="L11" i="9"/>
  <c r="M11" i="9"/>
  <c r="N11" i="9"/>
  <c r="J7" i="11"/>
  <c r="O11" i="9"/>
  <c r="G12" i="9"/>
  <c r="H12" i="9"/>
  <c r="I12" i="9"/>
  <c r="J12" i="9"/>
  <c r="K12" i="9"/>
  <c r="L12" i="9"/>
  <c r="M12" i="9"/>
  <c r="N12" i="9"/>
  <c r="J8" i="11"/>
  <c r="O12" i="9"/>
  <c r="G14" i="9"/>
  <c r="H14" i="9"/>
  <c r="I14" i="9"/>
  <c r="J14" i="9"/>
  <c r="K14" i="9"/>
  <c r="L14" i="9"/>
  <c r="M14" i="9"/>
  <c r="N14" i="9"/>
  <c r="O14" i="9"/>
  <c r="G15" i="9"/>
  <c r="H15" i="9"/>
  <c r="I15" i="9"/>
  <c r="J15" i="9"/>
  <c r="K15" i="9"/>
  <c r="L15" i="9"/>
  <c r="M15" i="9"/>
  <c r="N15" i="9"/>
  <c r="O15" i="9"/>
  <c r="G16" i="9"/>
  <c r="H16" i="9"/>
  <c r="I16" i="9"/>
  <c r="J16" i="9"/>
  <c r="K16" i="9"/>
  <c r="L16" i="9"/>
  <c r="M16" i="9"/>
  <c r="N16" i="9"/>
  <c r="J11" i="11"/>
  <c r="O16" i="9"/>
  <c r="G17" i="9"/>
  <c r="H17" i="9"/>
  <c r="I17" i="9"/>
  <c r="J17" i="9"/>
  <c r="K17" i="9"/>
  <c r="L17" i="9"/>
  <c r="M17" i="9"/>
  <c r="N17" i="9"/>
  <c r="J12" i="11"/>
  <c r="O17" i="9"/>
  <c r="G18" i="9"/>
  <c r="H18" i="9"/>
  <c r="I18" i="9"/>
  <c r="J18" i="9"/>
  <c r="K18" i="9"/>
  <c r="L18" i="9"/>
  <c r="M18" i="9"/>
  <c r="N18" i="9"/>
  <c r="J13" i="11"/>
  <c r="O18" i="9"/>
  <c r="G19" i="9"/>
  <c r="H19" i="9"/>
  <c r="I19" i="9"/>
  <c r="J19" i="9"/>
  <c r="K19" i="9"/>
  <c r="L19" i="9"/>
  <c r="M19" i="9"/>
  <c r="N19" i="9"/>
  <c r="O19" i="9"/>
  <c r="G22" i="9"/>
  <c r="H22" i="9"/>
  <c r="I22" i="9"/>
  <c r="J22" i="9"/>
  <c r="K22" i="9"/>
  <c r="L22" i="9"/>
  <c r="M22" i="9"/>
  <c r="N22" i="9"/>
  <c r="J15" i="11"/>
  <c r="O22" i="9"/>
  <c r="G23" i="9"/>
  <c r="H23" i="9"/>
  <c r="I23" i="9"/>
  <c r="J23" i="9"/>
  <c r="K23" i="9"/>
  <c r="L23" i="9"/>
  <c r="M23" i="9"/>
  <c r="N23" i="9"/>
  <c r="O23" i="9"/>
  <c r="G24" i="9"/>
  <c r="H24" i="9"/>
  <c r="I24" i="9"/>
  <c r="J24" i="9"/>
  <c r="K24" i="9"/>
  <c r="L24" i="9"/>
  <c r="M24" i="9"/>
  <c r="N24" i="9"/>
  <c r="O24" i="9"/>
  <c r="G25" i="9"/>
  <c r="H25" i="9"/>
  <c r="I25" i="9"/>
  <c r="J25" i="9"/>
  <c r="K25" i="9"/>
  <c r="L25" i="9"/>
  <c r="M25" i="9"/>
  <c r="N25" i="9"/>
  <c r="J18" i="11"/>
  <c r="O25" i="9"/>
  <c r="G28" i="9"/>
  <c r="H28" i="9"/>
  <c r="I28" i="9"/>
  <c r="J28" i="9"/>
  <c r="K28" i="9"/>
  <c r="L28" i="9"/>
  <c r="M28" i="9"/>
  <c r="N28" i="9"/>
  <c r="J20" i="11"/>
  <c r="O28" i="9"/>
  <c r="G29" i="9"/>
  <c r="H29" i="9"/>
  <c r="I29" i="9"/>
  <c r="J29" i="9"/>
  <c r="K29" i="9"/>
  <c r="L29" i="9"/>
  <c r="M29" i="9"/>
  <c r="N29" i="9"/>
  <c r="J21" i="11"/>
  <c r="O29" i="9"/>
  <c r="G30" i="9"/>
  <c r="H30" i="9"/>
  <c r="I30" i="9"/>
  <c r="J30" i="9"/>
  <c r="K30" i="9"/>
  <c r="L30" i="9"/>
  <c r="M30" i="9"/>
  <c r="N30" i="9"/>
  <c r="J22" i="11"/>
  <c r="O30" i="9"/>
  <c r="G31" i="9"/>
  <c r="H31" i="9"/>
  <c r="I31" i="9"/>
  <c r="J31" i="9"/>
  <c r="K31" i="9"/>
  <c r="L31" i="9"/>
  <c r="M31" i="9"/>
  <c r="N31" i="9"/>
  <c r="J23" i="11"/>
  <c r="O31" i="9"/>
  <c r="G32" i="9"/>
  <c r="H32" i="9"/>
  <c r="I32" i="9"/>
  <c r="J32" i="9"/>
  <c r="K32" i="9"/>
  <c r="L32" i="9"/>
  <c r="M32" i="9"/>
  <c r="N32" i="9"/>
  <c r="J24" i="11"/>
  <c r="O32" i="9"/>
  <c r="G33" i="9"/>
  <c r="H33" i="9"/>
  <c r="I33" i="9"/>
  <c r="J33" i="9"/>
  <c r="K33" i="9"/>
  <c r="L33" i="9"/>
  <c r="M33" i="9"/>
  <c r="N33" i="9"/>
  <c r="J25" i="11"/>
  <c r="O33" i="9"/>
  <c r="G34" i="9"/>
  <c r="H34" i="9"/>
  <c r="I34" i="9"/>
  <c r="J34" i="9"/>
  <c r="K34" i="9"/>
  <c r="L34" i="9"/>
  <c r="M34" i="9"/>
  <c r="N34" i="9"/>
  <c r="J26" i="11"/>
  <c r="O34" i="9"/>
  <c r="J29" i="11"/>
  <c r="H2" i="9"/>
  <c r="I2" i="9"/>
  <c r="J2" i="9"/>
  <c r="K2" i="9"/>
  <c r="L2" i="9"/>
  <c r="M2" i="9"/>
  <c r="N2" i="9"/>
  <c r="O2" i="9"/>
  <c r="G2" i="9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J4" i="11"/>
  <c r="J27" i="11"/>
  <c r="J28" i="11"/>
  <c r="W3" i="7"/>
  <c r="W4" i="7"/>
  <c r="W5" i="7"/>
  <c r="W6" i="7"/>
  <c r="W2" i="7"/>
  <c r="E3" i="9"/>
  <c r="E4" i="9"/>
  <c r="V3" i="1"/>
  <c r="E7" i="9"/>
  <c r="V4" i="1"/>
  <c r="E15" i="9"/>
  <c r="V5" i="1"/>
  <c r="E17" i="9"/>
  <c r="V6" i="1"/>
  <c r="E19" i="9"/>
  <c r="V7" i="1"/>
  <c r="E2" i="9"/>
  <c r="V8" i="1"/>
  <c r="E5" i="9"/>
  <c r="V9" i="1"/>
  <c r="V10" i="1"/>
  <c r="E16" i="9"/>
  <c r="V11" i="1"/>
  <c r="V12" i="1"/>
  <c r="V13" i="1"/>
  <c r="V14" i="1"/>
  <c r="V15" i="1"/>
  <c r="V16" i="1"/>
  <c r="V17" i="1"/>
  <c r="E18" i="9"/>
  <c r="V18" i="1"/>
  <c r="V19" i="1"/>
  <c r="V2" i="1"/>
  <c r="A33" i="9"/>
  <c r="D33" i="9"/>
  <c r="E33" i="9"/>
  <c r="A34" i="9"/>
  <c r="D34" i="9"/>
  <c r="E34" i="9"/>
  <c r="A3" i="9"/>
  <c r="D3" i="9"/>
  <c r="A4" i="9"/>
  <c r="D4" i="9"/>
  <c r="A5" i="9"/>
  <c r="D5" i="9"/>
  <c r="A7" i="9"/>
  <c r="D7" i="9"/>
  <c r="A8" i="9"/>
  <c r="D8" i="9"/>
  <c r="E8" i="9"/>
  <c r="A9" i="9"/>
  <c r="D9" i="9"/>
  <c r="E9" i="9"/>
  <c r="A11" i="9"/>
  <c r="D11" i="9"/>
  <c r="A12" i="9"/>
  <c r="D12" i="9"/>
  <c r="E12" i="9"/>
  <c r="A14" i="9"/>
  <c r="D14" i="9"/>
  <c r="E14" i="9"/>
  <c r="A15" i="9"/>
  <c r="D15" i="9"/>
  <c r="A16" i="9"/>
  <c r="D16" i="9"/>
  <c r="A17" i="9"/>
  <c r="D17" i="9"/>
  <c r="A18" i="9"/>
  <c r="D18" i="9"/>
  <c r="A19" i="9"/>
  <c r="D19" i="9"/>
  <c r="A22" i="9"/>
  <c r="D22" i="9"/>
  <c r="E22" i="9"/>
  <c r="A23" i="9"/>
  <c r="D23" i="9"/>
  <c r="E23" i="9"/>
  <c r="A24" i="9"/>
  <c r="D24" i="9"/>
  <c r="E24" i="9"/>
  <c r="A25" i="9"/>
  <c r="D25" i="9"/>
  <c r="E25" i="9"/>
  <c r="A28" i="9"/>
  <c r="D28" i="9"/>
  <c r="E28" i="9"/>
  <c r="A29" i="9"/>
  <c r="D29" i="9"/>
  <c r="E29" i="9"/>
  <c r="A30" i="9"/>
  <c r="D30" i="9"/>
  <c r="E30" i="9"/>
  <c r="A31" i="9"/>
  <c r="D31" i="9"/>
  <c r="E31" i="9"/>
  <c r="A32" i="9"/>
  <c r="D32" i="9"/>
  <c r="E32" i="9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2" i="19"/>
  <c r="C33" i="18"/>
  <c r="D33" i="18"/>
  <c r="C32" i="18"/>
  <c r="D32" i="18"/>
  <c r="C31" i="18"/>
  <c r="D31" i="18"/>
  <c r="C30" i="18"/>
  <c r="D30" i="18"/>
  <c r="C29" i="18"/>
  <c r="D29" i="18"/>
  <c r="C27" i="18"/>
  <c r="D27" i="18"/>
  <c r="C26" i="18"/>
  <c r="D26" i="18"/>
  <c r="C25" i="18"/>
  <c r="D25" i="18"/>
  <c r="C24" i="18"/>
  <c r="D24" i="18"/>
  <c r="C23" i="18"/>
  <c r="D23" i="18"/>
  <c r="C22" i="18"/>
  <c r="D22" i="18"/>
  <c r="C21" i="18"/>
  <c r="D21" i="18"/>
  <c r="C20" i="18"/>
  <c r="D20" i="18"/>
  <c r="C19" i="18"/>
  <c r="D19" i="18"/>
  <c r="C18" i="18"/>
  <c r="D18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R6" i="7"/>
  <c r="Q6" i="7"/>
  <c r="P6" i="7"/>
  <c r="O6" i="7"/>
  <c r="N6" i="7"/>
  <c r="H6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G13" i="2"/>
  <c r="A13" i="2"/>
  <c r="J6" i="7"/>
  <c r="I6" i="7"/>
  <c r="D6" i="7"/>
  <c r="F6" i="7"/>
  <c r="E6" i="7"/>
  <c r="A6" i="7"/>
  <c r="R5" i="7"/>
  <c r="Q5" i="7"/>
  <c r="P5" i="7"/>
  <c r="O5" i="7"/>
  <c r="N5" i="7"/>
  <c r="H5" i="7"/>
  <c r="J5" i="7"/>
  <c r="I5" i="7"/>
  <c r="D5" i="7"/>
  <c r="F5" i="7"/>
  <c r="E5" i="7"/>
  <c r="A5" i="7"/>
  <c r="R4" i="7"/>
  <c r="Q4" i="7"/>
  <c r="P4" i="7"/>
  <c r="O4" i="7"/>
  <c r="N4" i="7"/>
  <c r="H4" i="7"/>
  <c r="J4" i="7"/>
  <c r="I4" i="7"/>
  <c r="D4" i="7"/>
  <c r="F4" i="7"/>
  <c r="E4" i="7"/>
  <c r="A4" i="7"/>
  <c r="R3" i="7"/>
  <c r="Q3" i="7"/>
  <c r="P3" i="7"/>
  <c r="O3" i="7"/>
  <c r="N3" i="7"/>
  <c r="H3" i="7"/>
  <c r="J3" i="7"/>
  <c r="I3" i="7"/>
  <c r="D3" i="7"/>
  <c r="F3" i="7"/>
  <c r="E3" i="7"/>
  <c r="A3" i="7"/>
  <c r="R2" i="7"/>
  <c r="Q2" i="7"/>
  <c r="P2" i="7"/>
  <c r="O2" i="7"/>
  <c r="N2" i="7"/>
  <c r="H2" i="7"/>
  <c r="J2" i="7"/>
  <c r="I2" i="7"/>
  <c r="D2" i="7"/>
  <c r="F2" i="7"/>
  <c r="E2" i="7"/>
  <c r="A2" i="7"/>
  <c r="AB19" i="1"/>
  <c r="AD19" i="1"/>
  <c r="AG19" i="1"/>
  <c r="AE19" i="1"/>
  <c r="AC19" i="1"/>
  <c r="Q19" i="1"/>
  <c r="P19" i="1"/>
  <c r="O19" i="1"/>
  <c r="N19" i="1"/>
  <c r="M19" i="1"/>
  <c r="H19" i="1"/>
  <c r="J19" i="1"/>
  <c r="I19" i="1"/>
  <c r="D19" i="1"/>
  <c r="F19" i="1"/>
  <c r="E19" i="1"/>
  <c r="A19" i="1"/>
  <c r="AB18" i="1"/>
  <c r="AD18" i="1"/>
  <c r="AG18" i="1"/>
  <c r="AE18" i="1"/>
  <c r="AC18" i="1"/>
  <c r="AA18" i="1"/>
  <c r="Q18" i="1"/>
  <c r="P18" i="1"/>
  <c r="O18" i="1"/>
  <c r="N18" i="1"/>
  <c r="M18" i="1"/>
  <c r="H18" i="1"/>
  <c r="J18" i="1"/>
  <c r="I18" i="1"/>
  <c r="D18" i="1"/>
  <c r="F18" i="1"/>
  <c r="E18" i="1"/>
  <c r="A18" i="1"/>
  <c r="AB17" i="1"/>
  <c r="AD17" i="1"/>
  <c r="AG17" i="1"/>
  <c r="AE17" i="1"/>
  <c r="AC17" i="1"/>
  <c r="AA17" i="1"/>
  <c r="Q17" i="1"/>
  <c r="P17" i="1"/>
  <c r="O17" i="1"/>
  <c r="N17" i="1"/>
  <c r="M17" i="1"/>
  <c r="H17" i="1"/>
  <c r="J17" i="1"/>
  <c r="I17" i="1"/>
  <c r="D17" i="1"/>
  <c r="F17" i="1"/>
  <c r="E17" i="1"/>
  <c r="A17" i="1"/>
  <c r="AB16" i="1"/>
  <c r="AD16" i="1"/>
  <c r="AG16" i="1"/>
  <c r="AE16" i="1"/>
  <c r="AC16" i="1"/>
  <c r="AA16" i="1"/>
  <c r="Q16" i="1"/>
  <c r="P16" i="1"/>
  <c r="O16" i="1"/>
  <c r="N16" i="1"/>
  <c r="M16" i="1"/>
  <c r="H16" i="1"/>
  <c r="J16" i="1"/>
  <c r="I16" i="1"/>
  <c r="D16" i="1"/>
  <c r="F16" i="1"/>
  <c r="E16" i="1"/>
  <c r="A16" i="1"/>
  <c r="AB15" i="1"/>
  <c r="AD15" i="1"/>
  <c r="AG15" i="1"/>
  <c r="AE15" i="1"/>
  <c r="AC15" i="1"/>
  <c r="AA15" i="1"/>
  <c r="Q15" i="1"/>
  <c r="P15" i="1"/>
  <c r="O15" i="1"/>
  <c r="N15" i="1"/>
  <c r="M15" i="1"/>
  <c r="H15" i="1"/>
  <c r="J15" i="1"/>
  <c r="I15" i="1"/>
  <c r="D15" i="1"/>
  <c r="F15" i="1"/>
  <c r="E15" i="1"/>
  <c r="A15" i="1"/>
  <c r="AB14" i="1"/>
  <c r="AD14" i="1"/>
  <c r="AG14" i="1"/>
  <c r="AE14" i="1"/>
  <c r="AC14" i="1"/>
  <c r="AA14" i="1"/>
  <c r="Q14" i="1"/>
  <c r="P14" i="1"/>
  <c r="O14" i="1"/>
  <c r="N14" i="1"/>
  <c r="M14" i="1"/>
  <c r="H14" i="1"/>
  <c r="J14" i="1"/>
  <c r="I14" i="1"/>
  <c r="D14" i="1"/>
  <c r="F14" i="1"/>
  <c r="E14" i="1"/>
  <c r="A14" i="1"/>
  <c r="AB13" i="1"/>
  <c r="AD13" i="1"/>
  <c r="AG13" i="1"/>
  <c r="AE13" i="1"/>
  <c r="AC13" i="1"/>
  <c r="Q13" i="1"/>
  <c r="P13" i="1"/>
  <c r="O13" i="1"/>
  <c r="N13" i="1"/>
  <c r="M13" i="1"/>
  <c r="H13" i="1"/>
  <c r="J13" i="1"/>
  <c r="I13" i="1"/>
  <c r="D13" i="1"/>
  <c r="F13" i="1"/>
  <c r="E13" i="1"/>
  <c r="A13" i="1"/>
  <c r="AB12" i="1"/>
  <c r="AD12" i="1"/>
  <c r="AG12" i="1"/>
  <c r="AE12" i="1"/>
  <c r="AC12" i="1"/>
  <c r="AA12" i="1"/>
  <c r="Q12" i="1"/>
  <c r="P12" i="1"/>
  <c r="O12" i="1"/>
  <c r="N12" i="1"/>
  <c r="M12" i="1"/>
  <c r="H12" i="1"/>
  <c r="J12" i="1"/>
  <c r="I12" i="1"/>
  <c r="D12" i="1"/>
  <c r="F12" i="1"/>
  <c r="E12" i="1"/>
  <c r="A12" i="1"/>
  <c r="AB11" i="1"/>
  <c r="AD11" i="1"/>
  <c r="AG11" i="1"/>
  <c r="AE11" i="1"/>
  <c r="AC11" i="1"/>
  <c r="AA11" i="1"/>
  <c r="Q11" i="1"/>
  <c r="P11" i="1"/>
  <c r="O11" i="1"/>
  <c r="N11" i="1"/>
  <c r="M11" i="1"/>
  <c r="H11" i="1"/>
  <c r="J11" i="1"/>
  <c r="I11" i="1"/>
  <c r="D11" i="1"/>
  <c r="F11" i="1"/>
  <c r="E11" i="1"/>
  <c r="A11" i="1"/>
  <c r="AB10" i="1"/>
  <c r="AD10" i="1"/>
  <c r="AG10" i="1"/>
  <c r="AE10" i="1"/>
  <c r="AC10" i="1"/>
  <c r="AA10" i="1"/>
  <c r="Q10" i="1"/>
  <c r="P10" i="1"/>
  <c r="O10" i="1"/>
  <c r="N10" i="1"/>
  <c r="M10" i="1"/>
  <c r="H10" i="1"/>
  <c r="J10" i="1"/>
  <c r="I10" i="1"/>
  <c r="D10" i="1"/>
  <c r="F10" i="1"/>
  <c r="E10" i="1"/>
  <c r="A10" i="1"/>
  <c r="AB9" i="1"/>
  <c r="AD9" i="1"/>
  <c r="AG9" i="1"/>
  <c r="AE9" i="1"/>
  <c r="AC9" i="1"/>
  <c r="AA9" i="1"/>
  <c r="Q9" i="1"/>
  <c r="P9" i="1"/>
  <c r="O9" i="1"/>
  <c r="N9" i="1"/>
  <c r="M9" i="1"/>
  <c r="H9" i="1"/>
  <c r="J9" i="1"/>
  <c r="I9" i="1"/>
  <c r="D9" i="1"/>
  <c r="F9" i="1"/>
  <c r="E9" i="1"/>
  <c r="A9" i="1"/>
  <c r="AB8" i="1"/>
  <c r="AD8" i="1"/>
  <c r="AG8" i="1"/>
  <c r="AE8" i="1"/>
  <c r="AC8" i="1"/>
  <c r="AA8" i="1"/>
  <c r="Q8" i="1"/>
  <c r="P8" i="1"/>
  <c r="O8" i="1"/>
  <c r="N8" i="1"/>
  <c r="M8" i="1"/>
  <c r="H8" i="1"/>
  <c r="J8" i="1"/>
  <c r="I8" i="1"/>
  <c r="D8" i="1"/>
  <c r="F8" i="1"/>
  <c r="E8" i="1"/>
  <c r="A8" i="1"/>
  <c r="AB7" i="1"/>
  <c r="AD7" i="1"/>
  <c r="AG7" i="1"/>
  <c r="AE7" i="1"/>
  <c r="AC7" i="1"/>
  <c r="Q7" i="1"/>
  <c r="P7" i="1"/>
  <c r="O7" i="1"/>
  <c r="N7" i="1"/>
  <c r="M7" i="1"/>
  <c r="H7" i="1"/>
  <c r="J7" i="1"/>
  <c r="I7" i="1"/>
  <c r="D7" i="1"/>
  <c r="F7" i="1"/>
  <c r="E7" i="1"/>
  <c r="A7" i="1"/>
  <c r="AB6" i="1"/>
  <c r="AD6" i="1"/>
  <c r="AG6" i="1"/>
  <c r="AE6" i="1"/>
  <c r="AC6" i="1"/>
  <c r="AA6" i="1"/>
  <c r="Q6" i="1"/>
  <c r="P6" i="1"/>
  <c r="O6" i="1"/>
  <c r="N6" i="1"/>
  <c r="M6" i="1"/>
  <c r="H6" i="1"/>
  <c r="J6" i="1"/>
  <c r="I6" i="1"/>
  <c r="D6" i="1"/>
  <c r="F6" i="1"/>
  <c r="E6" i="1"/>
  <c r="A6" i="1"/>
  <c r="AB5" i="1"/>
  <c r="AD5" i="1"/>
  <c r="AG5" i="1"/>
  <c r="AE5" i="1"/>
  <c r="AC5" i="1"/>
  <c r="AA5" i="1"/>
  <c r="Q5" i="1"/>
  <c r="P5" i="1"/>
  <c r="O5" i="1"/>
  <c r="N5" i="1"/>
  <c r="M5" i="1"/>
  <c r="H5" i="1"/>
  <c r="J5" i="1"/>
  <c r="I5" i="1"/>
  <c r="D5" i="1"/>
  <c r="F5" i="1"/>
  <c r="E5" i="1"/>
  <c r="A5" i="1"/>
  <c r="H2" i="1"/>
  <c r="H3" i="1"/>
  <c r="H4" i="1"/>
  <c r="B4" i="2"/>
  <c r="D4" i="2"/>
  <c r="E4" i="2"/>
  <c r="H4" i="2"/>
  <c r="B5" i="2"/>
  <c r="D5" i="2"/>
  <c r="E5" i="2"/>
  <c r="H5" i="2"/>
  <c r="B6" i="2"/>
  <c r="D6" i="2"/>
  <c r="E6" i="2"/>
  <c r="H6" i="2"/>
  <c r="B7" i="2"/>
  <c r="D7" i="2"/>
  <c r="E7" i="2"/>
  <c r="H7" i="2"/>
  <c r="B8" i="2"/>
  <c r="D8" i="2"/>
  <c r="E8" i="2"/>
  <c r="H8" i="2"/>
  <c r="B9" i="2"/>
  <c r="D9" i="2"/>
  <c r="E9" i="2"/>
  <c r="H9" i="2"/>
  <c r="B10" i="2"/>
  <c r="D10" i="2"/>
  <c r="E10" i="2"/>
  <c r="H10" i="2"/>
  <c r="B11" i="2"/>
  <c r="D11" i="2"/>
  <c r="E11" i="2"/>
  <c r="H11" i="2"/>
  <c r="B12" i="2"/>
  <c r="D12" i="2"/>
  <c r="E12" i="2"/>
  <c r="H12" i="2"/>
  <c r="B13" i="2"/>
  <c r="D13" i="2"/>
  <c r="E13" i="2"/>
  <c r="H13" i="2"/>
  <c r="H3" i="2"/>
  <c r="E3" i="2"/>
  <c r="D3" i="2"/>
  <c r="B3" i="2"/>
  <c r="AB4" i="1"/>
  <c r="AD4" i="1"/>
  <c r="AG4" i="1"/>
  <c r="AE4" i="1"/>
  <c r="AC4" i="1"/>
  <c r="AA4" i="1"/>
  <c r="Q4" i="1"/>
  <c r="P4" i="1"/>
  <c r="O4" i="1"/>
  <c r="N4" i="1"/>
  <c r="M4" i="1"/>
  <c r="J4" i="1"/>
  <c r="I4" i="1"/>
  <c r="D4" i="1"/>
  <c r="F4" i="1"/>
  <c r="E4" i="1"/>
  <c r="A4" i="1"/>
  <c r="D2" i="9"/>
  <c r="E9" i="16"/>
  <c r="AB3" i="1"/>
  <c r="AE3" i="1"/>
  <c r="AD3" i="1"/>
  <c r="AC3" i="1"/>
  <c r="AB2" i="1"/>
  <c r="AE2" i="1"/>
  <c r="AD2" i="1"/>
  <c r="AC2" i="1"/>
  <c r="AA3" i="1"/>
  <c r="AA2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2" i="1"/>
  <c r="E8" i="16"/>
  <c r="E7" i="16"/>
  <c r="E6" i="16"/>
  <c r="E5" i="16"/>
  <c r="E4" i="16"/>
  <c r="E3" i="16"/>
  <c r="E2" i="16"/>
  <c r="A3" i="1"/>
  <c r="A2" i="1"/>
  <c r="AG3" i="1"/>
  <c r="A2" i="9"/>
  <c r="J3" i="1"/>
  <c r="I3" i="1"/>
  <c r="D3" i="1"/>
  <c r="F3" i="1"/>
  <c r="E3" i="1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sharedStrings.xml><?xml version="1.0" encoding="utf-8"?>
<sst xmlns="http://schemas.openxmlformats.org/spreadsheetml/2006/main" count="1689" uniqueCount="414">
  <si>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</si>
  <si>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</si>
  <si>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</si>
  <si>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</si>
  <si>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</si>
  <si>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</si>
  <si>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</si>
  <si>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</si>
  <si>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</si>
  <si>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</si>
  <si>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</si>
  <si>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</si>
  <si>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</si>
  <si>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</si>
  <si>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</si>
  <si>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</si>
  <si>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</si>
  <si>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</si>
  <si>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</si>
  <si>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</si>
  <si>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</si>
  <si>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</si>
  <si>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</si>
  <si>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</si>
  <si>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</si>
  <si>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</si>
  <si>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</si>
  <si>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</si>
  <si>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</si>
  <si>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</si>
  <si>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</si>
  <si>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</si>
  <si>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</si>
  <si>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</si>
  <si>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</si>
  <si>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</si>
  <si>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</si>
  <si>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</si>
  <si>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</si>
  <si>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</si>
  <si>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</si>
  <si>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</si>
  <si>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</si>
  <si>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</si>
  <si>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</si>
  <si>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</si>
  <si>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</si>
  <si>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</si>
  <si>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</si>
  <si>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</si>
  <si>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</si>
  <si>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</si>
  <si>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</si>
  <si>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</si>
  <si>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</si>
  <si>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</si>
  <si>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</si>
  <si>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</si>
  <si>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</si>
  <si>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</si>
  <si>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</si>
  <si>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</si>
  <si>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</si>
  <si>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</si>
  <si>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</si>
  <si>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</si>
  <si>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</si>
  <si>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</si>
  <si>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</si>
  <si>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</si>
  <si>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</si>
  <si>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</si>
  <si>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</si>
  <si>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</si>
  <si>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</si>
  <si>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</si>
  <si>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</si>
  <si>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</si>
  <si>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</si>
  <si>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</si>
  <si>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</si>
  <si>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</si>
  <si>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</si>
  <si>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</si>
  <si>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</si>
  <si>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</si>
  <si>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</si>
  <si>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</si>
  <si>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</si>
  <si>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</si>
  <si>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</si>
  <si>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</si>
  <si>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</si>
  <si>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</si>
  <si>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</si>
  <si>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</si>
  <si>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</si>
  <si>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</si>
  <si>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</si>
  <si>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</si>
  <si>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</si>
  <si>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</si>
  <si>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</si>
  <si>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</si>
  <si>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</si>
  <si>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</si>
  <si>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</si>
  <si>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</si>
  <si>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</si>
  <si>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</si>
  <si>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</si>
  <si>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</si>
  <si>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</si>
  <si>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</si>
  <si>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</si>
  <si>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</si>
  <si>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</si>
  <si>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</si>
  <si>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</si>
  <si>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</si>
  <si>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</si>
  <si>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</si>
  <si>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</si>
  <si>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</si>
  <si>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</si>
  <si>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</si>
  <si>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</si>
  <si>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</si>
  <si>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</si>
  <si>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</si>
  <si>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</si>
  <si>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</si>
  <si>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</si>
  <si>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</si>
  <si>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</si>
  <si>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</si>
  <si>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</si>
  <si>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</si>
  <si>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</si>
  <si>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</si>
  <si>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</si>
  <si>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</si>
  <si>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</si>
  <si>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</si>
  <si>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</si>
  <si>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</si>
  <si>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</si>
  <si>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</si>
  <si>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</si>
  <si>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</si>
  <si>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</si>
  <si>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</si>
  <si>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</si>
  <si>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</si>
  <si>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</si>
  <si>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</si>
  <si>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</si>
  <si>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</si>
  <si>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</si>
  <si>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</si>
  <si>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</si>
  <si>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</si>
  <si>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</si>
  <si>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</si>
  <si>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</si>
  <si>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</si>
  <si>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</si>
  <si>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</si>
  <si>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</si>
  <si>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</si>
  <si>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</si>
  <si>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</si>
  <si>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</si>
  <si>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</si>
  <si>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</si>
  <si>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</si>
  <si>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</si>
  <si>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</si>
  <si>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</si>
  <si>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</si>
  <si>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</si>
  <si>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t>quest_id</t>
    <phoneticPr fontId="5"/>
  </si>
  <si>
    <t>hint_type</t>
    <phoneticPr fontId="5"/>
  </si>
  <si>
    <t>hint</t>
    <phoneticPr fontId="5"/>
  </si>
  <si>
    <t>filename</t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</si>
  <si>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</si>
  <si>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</si>
  <si>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</si>
  <si>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</si>
  <si>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</si>
  <si>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</si>
  <si>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</si>
  <si>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</si>
  <si>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</si>
  <si>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</si>
  <si>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</si>
  <si>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</si>
  <si>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</si>
  <si>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</si>
  <si>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null</t>
    <phoneticPr fontId="5"/>
  </si>
  <si>
    <t>null</t>
    <phoneticPr fontId="5"/>
  </si>
  <si>
    <t>old</t>
  </si>
  <si>
    <t>null</t>
    <phoneticPr fontId="5"/>
  </si>
  <si>
    <t>2970-01-01 09:00:00</t>
    <phoneticPr fontId="5"/>
  </si>
  <si>
    <t>link</t>
    <phoneticPr fontId="5"/>
  </si>
  <si>
    <t>2970-01-01 09:00:00</t>
    <phoneticPr fontId="5"/>
  </si>
  <si>
    <t>unit</t>
    <phoneticPr fontId="5"/>
  </si>
  <si>
    <t>unit</t>
    <phoneticPr fontId="5"/>
  </si>
  <si>
    <t>unit</t>
    <phoneticPr fontId="5"/>
  </si>
  <si>
    <t>null</t>
    <phoneticPr fontId="5"/>
  </si>
  <si>
    <t>link</t>
    <phoneticPr fontId="5"/>
  </si>
  <si>
    <t>null</t>
    <phoneticPr fontId="5"/>
  </si>
  <si>
    <t>ja</t>
  </si>
  <si>
    <t>complete</t>
  </si>
  <si>
    <t>復活の捕食者</t>
  </si>
  <si>
    <t>ドロップイベント3（マルチ専用）</t>
  </si>
  <si>
    <t>【超絶級】復活の捕食者</t>
  </si>
  <si>
    <t>ドロップイベント4（マルチ専用）</t>
  </si>
  <si>
    <t>ドロップイベント5（マルチ専用）</t>
  </si>
  <si>
    <t>ドロップイベント6（マルチ専用）</t>
  </si>
  <si>
    <t>ドロップイベント7（マルチ専用）</t>
  </si>
  <si>
    <t>ドロップイベント8（マルチ専用）</t>
  </si>
  <si>
    <t>ドロップイベント9（マルチ専用）</t>
  </si>
  <si>
    <t>ドロップイベント10（マルチ専用）</t>
  </si>
  <si>
    <t>ドロップイベント11（マルチ専用）</t>
  </si>
  <si>
    <t>ドロップイベント12（マルチ専用）</t>
  </si>
  <si>
    <t>ドロップイベント13（マルチ専用）</t>
  </si>
  <si>
    <t>ドロップイベント14（マルチ専用）</t>
  </si>
  <si>
    <t>ドロップイベント15（マルチ専用）</t>
  </si>
  <si>
    <t>ドロップイベント16（マルチ専用）</t>
  </si>
  <si>
    <t>ドロップイベント17（マルチ専用）</t>
  </si>
  <si>
    <t>ドロップイベント18（マルチ専用）</t>
  </si>
  <si>
    <t>ドロップイベント19（マルチ専用）</t>
  </si>
  <si>
    <t>ドロップイベント20（マルチ専用）</t>
  </si>
  <si>
    <t>ドロップイベント21（マルチ専用）</t>
  </si>
  <si>
    <t>ドロップイベント22（マルチ専用）</t>
  </si>
  <si>
    <t>ドロップイベント23（マルチ専用）</t>
  </si>
  <si>
    <t>ドロップイベント24（マルチ専用）</t>
  </si>
  <si>
    <t>ドロップイベント25（マルチ専用）</t>
  </si>
  <si>
    <t>ドロップイベント26（マルチ専用）</t>
  </si>
  <si>
    <t>ドロップイベント27（マルチ専用）</t>
  </si>
  <si>
    <t>ドロップイベント28（マルチ専用）</t>
  </si>
  <si>
    <t>ドロップイベント29（マルチ専用）</t>
  </si>
  <si>
    <t>ドロップイベント30（マルチ専用）</t>
  </si>
  <si>
    <t>ドロップイベント31（マルチ専用）</t>
  </si>
  <si>
    <t>ドロップイベント32（マルチ専用）</t>
  </si>
  <si>
    <t>ドロップイベント33（マルチ専用）</t>
  </si>
  <si>
    <t>ドロップイベント34（マルチ専用）</t>
  </si>
  <si>
    <t>ドロップイベント35（マルチ専用）</t>
  </si>
  <si>
    <t>ドロップイベント36（マルチ専用）</t>
  </si>
  <si>
    <t>ドロップイベント37（マルチ専用）</t>
  </si>
  <si>
    <t>ドロップイベント38（マルチ専用）</t>
  </si>
  <si>
    <t>ドロップイベント39（マルチ専用）</t>
  </si>
  <si>
    <t>ドロップイベント40（マルチ専用）</t>
  </si>
  <si>
    <t>ドロップイベント41（マルチ専用）</t>
  </si>
  <si>
    <t>ドロップイベント42（マルチ専用）</t>
  </si>
  <si>
    <t>ドロップイベント43（マルチ専用）</t>
  </si>
  <si>
    <t>ドロップイベント44（マルチ専用）</t>
  </si>
  <si>
    <t>ドロップイベント45（マルチ専用）</t>
  </si>
  <si>
    <t>ドロップイベント46（マルチ専用）</t>
  </si>
  <si>
    <t>ドロップイベント47（マルチ専用）</t>
  </si>
  <si>
    <t>ドロップイベント48（マルチ専用）</t>
  </si>
  <si>
    <t>ドロップイベント49（マルチ専用）</t>
  </si>
  <si>
    <t>ドロップイベント50（マルチ専用）</t>
  </si>
  <si>
    <t>ドロップイベント51（マルチ専用）</t>
  </si>
  <si>
    <t>ドロップイベント52（マルチ専用）</t>
  </si>
  <si>
    <t>ドロップイベント53（マルチ専用）</t>
  </si>
  <si>
    <t>ドロップイベント54（マルチ専用）</t>
  </si>
  <si>
    <t>ドロップイベント55（マルチ専用）</t>
  </si>
  <si>
    <t>ja</t>
    <phoneticPr fontId="5"/>
  </si>
  <si>
    <t>3連続攻撃</t>
    <rPh sb="1" eb="5">
      <t>レンゾk</t>
    </rPh>
    <phoneticPr fontId="5"/>
  </si>
  <si>
    <t>中級ヨシタカ</t>
    <rPh sb="0" eb="1">
      <t>チュ</t>
    </rPh>
    <rPh sb="1" eb="2">
      <t>jy</t>
    </rPh>
    <phoneticPr fontId="5"/>
  </si>
  <si>
    <t>4連続攻撃</t>
    <rPh sb="1" eb="5">
      <t>レンゾk</t>
    </rPh>
    <phoneticPr fontId="5"/>
  </si>
  <si>
    <t>中級トト</t>
    <rPh sb="0" eb="2">
      <t>チュ</t>
    </rPh>
    <phoneticPr fontId="5"/>
  </si>
  <si>
    <t>クリティカル！</t>
    <phoneticPr fontId="5"/>
  </si>
  <si>
    <t>クリティカル！</t>
    <phoneticPr fontId="5"/>
  </si>
  <si>
    <t>おじさんセリフ</t>
    <phoneticPr fontId="5"/>
  </si>
  <si>
    <t>アレス</t>
    <phoneticPr fontId="5"/>
  </si>
  <si>
    <t>アレス</t>
    <phoneticPr fontId="5"/>
  </si>
  <si>
    <t>アレス２</t>
    <phoneticPr fontId="5"/>
  </si>
  <si>
    <t>アレス２</t>
    <phoneticPr fontId="5"/>
  </si>
  <si>
    <t>アレス２</t>
    <phoneticPr fontId="5"/>
  </si>
  <si>
    <t>自爆</t>
    <rPh sb="0" eb="2">
      <t>ジb</t>
    </rPh>
    <phoneticPr fontId="5"/>
  </si>
  <si>
    <t>中級マーピー</t>
    <rPh sb="0" eb="2">
      <t>チュ</t>
    </rPh>
    <phoneticPr fontId="5"/>
  </si>
  <si>
    <t>中級上級ミミ</t>
    <rPh sb="0" eb="2">
      <t>チュ</t>
    </rPh>
    <rPh sb="2" eb="4">
      <t>ジョ</t>
    </rPh>
    <phoneticPr fontId="5"/>
  </si>
  <si>
    <t>クリティカル！</t>
    <phoneticPr fontId="5"/>
  </si>
  <si>
    <t>超級ミミ</t>
    <rPh sb="0" eb="2">
      <t>チョ</t>
    </rPh>
    <phoneticPr fontId="5"/>
  </si>
  <si>
    <t>クリティカル！</t>
    <phoneticPr fontId="5"/>
  </si>
  <si>
    <t>上級超級ヨシタカ</t>
    <rPh sb="0" eb="2">
      <t>jy</t>
    </rPh>
    <rPh sb="2" eb="4">
      <t>チョ</t>
    </rPh>
    <phoneticPr fontId="5"/>
  </si>
  <si>
    <t>上級超級トト</t>
    <rPh sb="0" eb="2">
      <t>jy</t>
    </rPh>
    <rPh sb="2" eb="4">
      <t>チョ</t>
    </rPh>
    <phoneticPr fontId="5"/>
  </si>
  <si>
    <t>上級超級マーピー</t>
    <rPh sb="0" eb="2">
      <t>jy</t>
    </rPh>
    <rPh sb="2" eb="4">
      <t>チョ</t>
    </rPh>
    <phoneticPr fontId="5"/>
  </si>
  <si>
    <t>テラベル１</t>
    <phoneticPr fontId="5"/>
  </si>
  <si>
    <t>テラベル１</t>
    <phoneticPr fontId="5"/>
  </si>
  <si>
    <t>テラベル１</t>
    <phoneticPr fontId="5"/>
  </si>
  <si>
    <t>赤パネル破壊攻撃</t>
    <rPh sb="0" eb="4">
      <t>アk</t>
    </rPh>
    <rPh sb="4" eb="6">
      <t>ハカ</t>
    </rPh>
    <rPh sb="6" eb="8">
      <t>コウゲk</t>
    </rPh>
    <phoneticPr fontId="5"/>
  </si>
  <si>
    <t>テラベル２</t>
    <phoneticPr fontId="5"/>
  </si>
  <si>
    <t>テラベル3</t>
  </si>
  <si>
    <t>テラベル３</t>
    <phoneticPr fontId="5"/>
  </si>
  <si>
    <t>久保</t>
    <rPh sb="0" eb="2">
      <t>クb</t>
    </rPh>
    <phoneticPr fontId="5"/>
  </si>
  <si>
    <t xml:space="preserve">[effect:nothing]    </t>
    <phoneticPr fontId="5"/>
  </si>
  <si>
    <t>null</t>
    <phoneticPr fontId="5"/>
  </si>
  <si>
    <t>null</t>
    <phoneticPr fontId="5"/>
  </si>
  <si>
    <t>null</t>
    <phoneticPr fontId="5"/>
  </si>
  <si>
    <t>null</t>
  </si>
  <si>
    <t>[effect:rush, count:3, val:0.5]</t>
    <phoneticPr fontId="5"/>
  </si>
  <si>
    <t>[effect:kamikaze, val:3]</t>
    <phoneticPr fontId="5"/>
  </si>
  <si>
    <t>[effect:nothing]</t>
    <phoneticPr fontId="5"/>
  </si>
  <si>
    <t>テラベルの暴走状態が解けそうだ！</t>
    <rPh sb="5" eb="7">
      <t>ボウソ</t>
    </rPh>
    <rPh sb="7" eb="10">
      <t>ジョウタ</t>
    </rPh>
    <rPh sb="10" eb="12">
      <t>トk</t>
    </rPh>
    <phoneticPr fontId="5"/>
  </si>
  <si>
    <t>2連続攻撃</t>
    <rPh sb="1" eb="5">
      <t>レンゾk</t>
    </rPh>
    <phoneticPr fontId="5"/>
  </si>
  <si>
    <t>フルオート！</t>
    <phoneticPr fontId="5"/>
  </si>
  <si>
    <t>バースト！</t>
    <rPh sb="4" eb="5">
      <t>シャゲk</t>
    </rPh>
    <phoneticPr fontId="5"/>
  </si>
  <si>
    <t>速射モード！</t>
    <rPh sb="0" eb="2">
      <t>ソk</t>
    </rPh>
    <phoneticPr fontId="5"/>
  </si>
  <si>
    <t>ダブルデリンジャー</t>
    <phoneticPr fontId="5"/>
  </si>
  <si>
    <t>アレス・アレス２</t>
    <phoneticPr fontId="5"/>
  </si>
  <si>
    <t>3ターン攻撃力アップ</t>
    <rPh sb="4" eb="10">
      <t>コウゲk</t>
    </rPh>
    <phoneticPr fontId="5"/>
  </si>
  <si>
    <t>ヘッドショット！</t>
    <phoneticPr fontId="5"/>
  </si>
  <si>
    <t>クイックショット</t>
    <phoneticPr fontId="5"/>
  </si>
  <si>
    <t>4連続攻撃&amp;永続攻撃力アップ</t>
    <rPh sb="6" eb="8">
      <t>エイゾk</t>
    </rPh>
    <rPh sb="8" eb="10">
      <t>コウゲk</t>
    </rPh>
    <rPh sb="10" eb="11">
      <t>リョk</t>
    </rPh>
    <phoneticPr fontId="5"/>
  </si>
  <si>
    <t>全体攻撃</t>
    <rPh sb="0" eb="4">
      <t>ゼンタ</t>
    </rPh>
    <phoneticPr fontId="5"/>
  </si>
  <si>
    <t>制圧射撃</t>
    <rPh sb="0" eb="4">
      <t>セイアt</t>
    </rPh>
    <phoneticPr fontId="5"/>
  </si>
  <si>
    <t>[effect:spread, val:0.4]</t>
    <phoneticPr fontId="5"/>
  </si>
  <si>
    <t>防弾シールド</t>
    <rPh sb="0" eb="2">
      <t>ボ</t>
    </rPh>
    <phoneticPr fontId="5"/>
  </si>
  <si>
    <t>突撃</t>
    <rPh sb="0" eb="2">
      <t>トツg</t>
    </rPh>
    <phoneticPr fontId="5"/>
  </si>
  <si>
    <t>ラピッドファイア</t>
    <phoneticPr fontId="5"/>
  </si>
  <si>
    <t>ラピッドファイア</t>
    <phoneticPr fontId="5"/>
  </si>
  <si>
    <t>テラベルの意識が戻りかけた！</t>
    <rPh sb="5" eb="8">
      <t>イシk</t>
    </rPh>
    <rPh sb="8" eb="10">
      <t>モドr</t>
    </rPh>
    <phoneticPr fontId="5"/>
  </si>
  <si>
    <t>さ、触らないでよ！</t>
    <rPh sb="2" eb="9">
      <t>サワラナ</t>
    </rPh>
    <phoneticPr fontId="5"/>
  </si>
  <si>
    <t>防護システム</t>
    <rPh sb="0" eb="6">
      <t>ボ</t>
    </rPh>
    <phoneticPr fontId="5"/>
  </si>
  <si>
    <t>エスタブの姿に驚いている</t>
    <rPh sb="5" eb="6">
      <t>スガt</t>
    </rPh>
    <rPh sb="7" eb="12">
      <t>オドロ</t>
    </rPh>
    <phoneticPr fontId="5"/>
  </si>
  <si>
    <t>ミニ焼夷弾</t>
    <rPh sb="2" eb="5">
      <t>ショウ</t>
    </rPh>
    <phoneticPr fontId="5"/>
  </si>
  <si>
    <t>ミニ徹甲焼夷弾</t>
    <rPh sb="2" eb="7">
      <t>テッコ</t>
    </rPh>
    <phoneticPr fontId="5"/>
  </si>
  <si>
    <t>レッド・ナパーム</t>
    <phoneticPr fontId="5"/>
  </si>
  <si>
    <t>グリーン・フレア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</si>
  <si>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</si>
  <si>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</si>
  <si>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</si>
  <si>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</si>
  <si>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</si>
  <si>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</si>
  <si>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</si>
  <si>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 xml:space="preserve">[effect:critical, val:1.5] </t>
    <phoneticPr fontId="5"/>
  </si>
  <si>
    <t>[effect:critical, val:1.8]</t>
    <phoneticPr fontId="5"/>
  </si>
  <si>
    <t>ツイングレネード</t>
    <phoneticPr fontId="5"/>
  </si>
  <si>
    <t>強力な2連続攻撃！</t>
    <rPh sb="0" eb="3">
      <t>キョ</t>
    </rPh>
    <rPh sb="4" eb="8">
      <t>レンゾk</t>
    </rPh>
    <phoneticPr fontId="5"/>
  </si>
  <si>
    <t xml:space="preserve">[effect:enhance_enemy, target:myself, turn:3, status:attack, val:0.4, animation:enemy_enhance_attack]    </t>
    <phoneticPr fontId="5"/>
  </si>
  <si>
    <t>ネックショット！</t>
    <phoneticPr fontId="5"/>
  </si>
  <si>
    <t>トリガーハッピー</t>
    <phoneticPr fontId="5"/>
  </si>
  <si>
    <t>リロード</t>
    <phoneticPr fontId="5"/>
  </si>
  <si>
    <t>ハイパーグレネード！</t>
    <phoneticPr fontId="5"/>
  </si>
  <si>
    <t>[effect:rush, count:3, val:0.6]</t>
    <phoneticPr fontId="5"/>
  </si>
  <si>
    <t>[effect:rush, count:4, val:0.6]</t>
    <phoneticPr fontId="5"/>
  </si>
  <si>
    <t>[effect:rush, count:2, val:0.6]</t>
    <phoneticPr fontId="5"/>
  </si>
  <si>
    <t xml:space="preserve">[effect:break_attack, val:0.1, lowest_val:1500, count:10, block:block_red, target:unit_one]    </t>
    <phoneticPr fontId="5"/>
  </si>
  <si>
    <t>3ターン防御UP</t>
    <rPh sb="4" eb="6">
      <t>ゼンタ</t>
    </rPh>
    <phoneticPr fontId="5"/>
  </si>
  <si>
    <t>[effect:rush, count:2, val:1.4]</t>
    <phoneticPr fontId="5"/>
  </si>
  <si>
    <t>グレネード・セット</t>
    <phoneticPr fontId="5"/>
  </si>
  <si>
    <t>次のターンに強力な攻撃</t>
    <rPh sb="0" eb="2">
      <t>ツギン</t>
    </rPh>
    <rPh sb="6" eb="9">
      <t>キョ</t>
    </rPh>
    <rPh sb="9" eb="11">
      <t>コウゲk</t>
    </rPh>
    <phoneticPr fontId="5"/>
  </si>
  <si>
    <t>(エスタブ！これを…！)</t>
    <phoneticPr fontId="5"/>
  </si>
  <si>
    <t>(エスタブ…助けて…！)</t>
    <rPh sb="6" eb="9">
      <t>タスk</t>
    </rPh>
    <phoneticPr fontId="5"/>
  </si>
  <si>
    <t>テラベルの意識が戻りかけた！</t>
    <rPh sb="5" eb="8">
      <t>イs</t>
    </rPh>
    <rPh sb="8" eb="10">
      <t>モドr</t>
    </rPh>
    <phoneticPr fontId="5"/>
  </si>
  <si>
    <t>[effect:critical, val:1.9]</t>
    <phoneticPr fontId="5"/>
  </si>
  <si>
    <t>[effect:critical, val:1.8]</t>
    <phoneticPr fontId="5"/>
  </si>
  <si>
    <t>アタシに変なことしないで！</t>
    <rPh sb="4" eb="12">
      <t>ヘン</t>
    </rPh>
    <phoneticPr fontId="5"/>
  </si>
  <si>
    <t>[effect:tolerance,target:myself,turn:-1,tolerance_effect:all,count:-1,animation:enemy_tolerance]</t>
    <phoneticPr fontId="5"/>
  </si>
  <si>
    <t>状態異常無効</t>
    <rPh sb="0" eb="6">
      <t>jy</t>
    </rPh>
    <phoneticPr fontId="5"/>
  </si>
  <si>
    <t>マルチプロテクト</t>
    <phoneticPr fontId="5"/>
  </si>
  <si>
    <t>null</t>
    <phoneticPr fontId="5"/>
  </si>
  <si>
    <t>(あれ？アタシ、なんで…？)</t>
    <phoneticPr fontId="5"/>
  </si>
  <si>
    <t>[effect:rush, count:1, val:1.1],[effect:change_block, new_block:block_blue, target:block_all, count:6, val:0, animation:change_block]</t>
    <phoneticPr fontId="5"/>
  </si>
  <si>
    <t xml:space="preserve">[effect:change_block, new_block:block_heart, target:block_red, count:3, val:0, animation:change_block]    </t>
    <phoneticPr fontId="5"/>
  </si>
  <si>
    <t>[effect:rush, count:3, val:0.4]</t>
    <phoneticPr fontId="5"/>
  </si>
  <si>
    <t>[effect:rush, count:5, val:0.3]</t>
    <phoneticPr fontId="5"/>
  </si>
  <si>
    <t>ja</t>
    <phoneticPr fontId="5"/>
  </si>
  <si>
    <t>1ターンカウンター&amp;3ターン防御UP</t>
    <rPh sb="14" eb="16">
      <t>ゼンタ</t>
    </rPh>
    <phoneticPr fontId="5"/>
  </si>
  <si>
    <t>2ターンスピードアップ＆状態異常無効</t>
    <rPh sb="12" eb="18">
      <t>jy</t>
    </rPh>
    <phoneticPr fontId="5"/>
  </si>
  <si>
    <t>[effect:tolerance,target:myself,turn:-1,tolerance_effect:all,count:-1,animation:enemy_tolerance],[effect:freq_turn, target:myself, turn:2, val:1, animation:enemy_freq_turn]</t>
    <phoneticPr fontId="5"/>
  </si>
  <si>
    <t>2ターンスピードアップ＆状態異常無効</t>
    <phoneticPr fontId="5"/>
  </si>
  <si>
    <t>[effect:rush, count:4, val:0.5],[effect:enhance_enemy, target:myself, turn:-1, status:attack, val:0.4, animation:enemy_enhance_attack]</t>
    <phoneticPr fontId="5"/>
  </si>
  <si>
    <t>5連続攻撃</t>
    <rPh sb="1" eb="5">
      <t>レンゾk</t>
    </rPh>
    <phoneticPr fontId="5"/>
  </si>
  <si>
    <t>緑パネル＆お邪魔パネル出現</t>
    <rPh sb="0" eb="1">
      <t>ミドr</t>
    </rPh>
    <rPh sb="6" eb="11">
      <t>ジャm</t>
    </rPh>
    <rPh sb="11" eb="13">
      <t>シュt</t>
    </rPh>
    <phoneticPr fontId="5"/>
  </si>
  <si>
    <t>[effect:change_block, new_block:block_green, target:block_red, count:6, val:0, animation:change_block],[effect:change_block, new_block:jammer, target:block_heart, count:4, val:0, animation:change_block],[effect:critical, val:1.3]</t>
    <phoneticPr fontId="5"/>
  </si>
  <si>
    <t>[effect:change_block, new_block:crack_bomb, target:block_red, color:block_blue, count:6, val:0, animation:change_block]</t>
    <phoneticPr fontId="5"/>
  </si>
  <si>
    <t>赤パネル破壊攻撃＆1ターン回復力ダウン</t>
    <rPh sb="0" eb="4">
      <t>アk</t>
    </rPh>
    <rPh sb="4" eb="6">
      <t>ハカ</t>
    </rPh>
    <rPh sb="6" eb="8">
      <t>コウゲk</t>
    </rPh>
    <rPh sb="13" eb="16">
      <t>カ</t>
    </rPh>
    <phoneticPr fontId="5"/>
  </si>
  <si>
    <t>null</t>
    <phoneticPr fontId="5"/>
  </si>
  <si>
    <t>old</t>
    <phoneticPr fontId="5"/>
  </si>
  <si>
    <t>stage_hints_data_c_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</si>
  <si>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</si>
  <si>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</si>
  <si>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quest_id</t>
    <phoneticPr fontId="5"/>
  </si>
  <si>
    <t>hint_id</t>
    <phoneticPr fontId="5"/>
  </si>
  <si>
    <t>old</t>
    <phoneticPr fontId="5"/>
  </si>
  <si>
    <t>stage_hints_data_f_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</si>
  <si>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</si>
  <si>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_failue</t>
    </r>
    <phoneticPr fontId="5"/>
  </si>
  <si>
    <t>stage_hints_i18n_f_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</si>
  <si>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</si>
  <si>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_failue</t>
    </r>
    <phoneticPr fontId="5"/>
  </si>
  <si>
    <t>hint</t>
    <phoneticPr fontId="5"/>
  </si>
  <si>
    <t>[effect:break_attack, val:0.1, lowest_val:2000, count:13, block:block_red, target:unit_one],[effect:degrade_unit, target:unit_all, turn:1, status:heal, val:0.7, animation:degrade_unit_all_heal]</t>
    <phoneticPr fontId="5"/>
  </si>
  <si>
    <t>[effect:tolerance,target:myself,turn:-1,tolerance_effect:all,count:-1,animation:enemy_tolerance],[effect:dis_heart, turn:2, animation:enemy_dis_heart],[effect:rush, count:1, val:1.0]</t>
    <phoneticPr fontId="5"/>
  </si>
  <si>
    <t>2ターンハートパネル無効＆状態異常無効</t>
    <rPh sb="10" eb="12">
      <t>ムコ</t>
    </rPh>
    <rPh sb="13" eb="19">
      <t>ジョウタ</t>
    </rPh>
    <phoneticPr fontId="5"/>
  </si>
  <si>
    <t>[effect:break_attack, val:0.1, lowest_val:1750, count:10, block:block_red, target:unit_one],[effect:degrade_unit, target:unit_all, turn:1, status:heal, val:0.5, animation:degrade_unit_all_heal]</t>
    <phoneticPr fontId="5"/>
  </si>
  <si>
    <t>[effect:tolerance,target:myself,turn:-1,tolerance_effect:all,count:-1,animation:enemy_tolerance],[effect:freq_turn, target:myself, turn:2, val:1, animation:enemy_freq_turn]</t>
    <phoneticPr fontId="5"/>
  </si>
  <si>
    <t>(あなた…エスタブ！？)</t>
    <phoneticPr fontId="5"/>
  </si>
  <si>
    <t>(あなた…また来たのね…)</t>
    <rPh sb="7" eb="10">
      <t>キt</t>
    </rPh>
    <phoneticPr fontId="5"/>
  </si>
  <si>
    <t>テラベルは呆れている</t>
    <rPh sb="5" eb="10">
      <t>アキレテ</t>
    </rPh>
    <phoneticPr fontId="5"/>
  </si>
  <si>
    <t>null</t>
    <phoneticPr fontId="5"/>
  </si>
  <si>
    <t>null</t>
    <phoneticPr fontId="5"/>
  </si>
  <si>
    <t>[effect:enhance_enemy, target:myself, turn:3, status:defense, val:1500, calc:add, animation:enemy_enhance_defense]</t>
    <phoneticPr fontId="5"/>
  </si>
  <si>
    <t>[effect:enemy_counter, target:myself, invoke_condition:unit_all, counter_target:attacker, turn:1, val:0.7, animation:enemy_counter],[effect:enhance_enemy, target:myself, turn:3, status:defense, val:1500, calc:add, animation:enemy_enhance_defense]</t>
    <phoneticPr fontId="5"/>
  </si>
  <si>
    <t>苦手な属性から先に倒しましょう</t>
    <rPh sb="0" eb="3">
      <t>ニガt</t>
    </rPh>
    <rPh sb="3" eb="7">
      <t>ゾクセ</t>
    </rPh>
    <rPh sb="7" eb="9">
      <t>サk</t>
    </rPh>
    <rPh sb="9" eb="10">
      <t>タオソ</t>
    </rPh>
    <phoneticPr fontId="5"/>
  </si>
  <si>
    <t>HPが減ると必ず強力な攻撃をしてきます
残りわずかになったら急いで倒しましょう</t>
    <rPh sb="3" eb="6">
      <t>ヘr</t>
    </rPh>
    <rPh sb="6" eb="8">
      <t>カナラz</t>
    </rPh>
    <rPh sb="8" eb="11">
      <t>キョ</t>
    </rPh>
    <rPh sb="11" eb="14">
      <t>コウゲk</t>
    </rPh>
    <rPh sb="20" eb="22">
      <t>ノコr</t>
    </rPh>
    <rPh sb="30" eb="33">
      <t>イソ</t>
    </rPh>
    <rPh sb="33" eb="39">
      <t>タオs</t>
    </rPh>
    <phoneticPr fontId="5"/>
  </si>
  <si>
    <t>赤パネルを破壊する攻撃は
破壊した数に応じて
攻撃力が上がります</t>
    <rPh sb="0" eb="5">
      <t>アカパネr</t>
    </rPh>
    <rPh sb="5" eb="9">
      <t>ハカイs</t>
    </rPh>
    <rPh sb="9" eb="12">
      <t>コウゲk</t>
    </rPh>
    <rPh sb="13" eb="15">
      <t>ハk</t>
    </rPh>
    <rPh sb="17" eb="19">
      <t>カz</t>
    </rPh>
    <rPh sb="19" eb="22">
      <t>オウj</t>
    </rPh>
    <rPh sb="23" eb="26">
      <t>コウゲk</t>
    </rPh>
    <rPh sb="27" eb="29">
      <t>アガr</t>
    </rPh>
    <phoneticPr fontId="5"/>
  </si>
  <si>
    <t>ミミは低確率で強力な攻撃をしてきます
マーピーは攻撃まで時間があるので
ミミを先に倒しておくと良さそうです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</si>
</sst>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0"/>
      <color rgb="FFFF0000"/>
      <name val="ＭＳ Ｐゴシック"/>
      <charset val="128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theme="5" tint="0.59999389629810485"/>
        <bgColor indexed="64"/>
      </patternFill>
    </fill>
  </fills>
  <borders count="8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/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indexed="8"/>
      </left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 style="medium">
        <color auto="1"/>
      </left>
      <right/>
      <top/>
      <bottom style="double">
        <color auto="1"/>
      </bottom>
      <diagonal/>
    </border>
    <border>
      <left style="thin">
        <color indexed="8"/>
      </left>
      <right style="thin">
        <color indexed="8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/>
      <top/>
      <bottom style="double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/>
      <top style="double">
        <color auto="1"/>
      </top>
      <bottom style="double">
        <color auto="1"/>
      </bottom>
      <diagonal/>
    </border>
    <border>
      <left style="thin">
        <color indexed="8"/>
      </left>
      <right style="thin">
        <color indexed="8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indexed="8"/>
      </left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indexed="8"/>
      </right>
      <top style="double">
        <color auto="1"/>
      </top>
      <bottom style="double">
        <color auto="1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indexed="8"/>
      </right>
      <top/>
      <bottom style="medium">
        <color auto="1"/>
      </bottom>
      <diagonal/>
    </border>
    <border>
      <left style="medium">
        <color auto="1"/>
      </left>
      <right/>
      <top style="double">
        <color auto="1"/>
      </top>
      <bottom/>
      <diagonal/>
    </border>
    <border>
      <left style="thin">
        <color indexed="8"/>
      </left>
      <right style="thin">
        <color indexed="8"/>
      </right>
      <top style="double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indexed="8"/>
      </left>
      <right/>
      <top style="double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indexed="8"/>
      </right>
      <top style="double">
        <color auto="1"/>
      </top>
      <bottom style="thin">
        <color indexed="8"/>
      </bottom>
      <diagonal/>
    </border>
    <border>
      <left/>
      <right/>
      <top style="double">
        <color auto="1"/>
      </top>
      <bottom/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indexed="8"/>
      </left>
      <right/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indexed="8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indexed="8"/>
      </right>
      <top/>
      <bottom style="double">
        <color auto="1"/>
      </bottom>
      <diagonal/>
    </border>
    <border>
      <left style="medium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8"/>
      </left>
      <right/>
      <top style="medium">
        <color auto="1"/>
      </top>
      <bottom/>
      <diagonal/>
    </border>
    <border>
      <left style="thin">
        <color auto="1"/>
      </left>
      <right style="thin">
        <color indexed="8"/>
      </right>
      <top style="medium">
        <color auto="1"/>
      </top>
      <bottom/>
      <diagonal/>
    </border>
    <border>
      <left style="thin">
        <color indexed="8"/>
      </left>
      <right style="thin">
        <color auto="1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</borders>
  <cellStyleXfs count="980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8" applyNumberFormat="0" applyAlignment="0" applyProtection="0"/>
    <xf numFmtId="0" fontId="33" fillId="17" borderId="0" applyNumberFormat="0" applyBorder="0" applyAlignment="0" applyProtection="0"/>
    <xf numFmtId="0" fontId="34" fillId="18" borderId="9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0" applyNumberFormat="0" applyAlignment="0" applyProtection="0"/>
    <xf numFmtId="0" fontId="38" fillId="0" borderId="0" applyNumberFormat="0" applyFill="0" applyBorder="0" applyAlignment="0" applyProtection="0"/>
    <xf numFmtId="0" fontId="39" fillId="0" borderId="11" applyNumberFormat="0" applyFill="0" applyAlignment="0" applyProtection="0"/>
    <xf numFmtId="0" fontId="40" fillId="0" borderId="12" applyNumberFormat="0" applyFill="0" applyAlignment="0" applyProtection="0"/>
    <xf numFmtId="0" fontId="41" fillId="0" borderId="13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4" applyNumberFormat="0" applyFill="0" applyAlignment="0" applyProtection="0"/>
    <xf numFmtId="0" fontId="46" fillId="18" borderId="15" applyNumberFormat="0" applyAlignment="0" applyProtection="0"/>
    <xf numFmtId="0" fontId="46" fillId="29" borderId="15" applyNumberFormat="0" applyAlignment="0" applyProtection="0"/>
    <xf numFmtId="0" fontId="34" fillId="17" borderId="9" applyNumberFormat="0" applyAlignment="0" applyProtection="0"/>
    <xf numFmtId="0" fontId="47" fillId="0" borderId="16" applyNumberFormat="0" applyFill="0" applyAlignment="0" applyProtection="0"/>
    <xf numFmtId="0" fontId="48" fillId="29" borderId="9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7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344">
    <xf numFmtId="0" fontId="0" fillId="0" borderId="0" xfId="0"/>
    <xf numFmtId="0" fontId="4" fillId="0" borderId="0" xfId="0" applyFont="1" applyAlignment="1">
      <alignment vertical="center"/>
    </xf>
    <xf numFmtId="0" fontId="6" fillId="5" borderId="2" xfId="0" applyFont="1" applyFill="1" applyBorder="1" applyAlignment="1">
      <alignment vertical="center"/>
    </xf>
    <xf numFmtId="0" fontId="8" fillId="0" borderId="3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4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5" xfId="0" applyFont="1" applyFill="1" applyBorder="1" applyAlignment="1">
      <alignment vertical="center"/>
    </xf>
    <xf numFmtId="0" fontId="6" fillId="5" borderId="4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176" fontId="4" fillId="0" borderId="2" xfId="0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vertical="center"/>
    </xf>
    <xf numFmtId="177" fontId="8" fillId="0" borderId="3" xfId="0" applyNumberFormat="1" applyFont="1" applyBorder="1" applyAlignment="1">
      <alignment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6" fillId="0" borderId="4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4" xfId="0" applyFont="1" applyFill="1" applyBorder="1" applyAlignment="1">
      <alignment horizontal="center" vertical="center"/>
    </xf>
    <xf numFmtId="0" fontId="16" fillId="3" borderId="4" xfId="0" applyFont="1" applyFill="1" applyBorder="1" applyAlignment="1">
      <alignment horizontal="center" vertical="center"/>
    </xf>
    <xf numFmtId="0" fontId="11" fillId="6" borderId="4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0" borderId="4" xfId="0" applyFont="1" applyFill="1" applyBorder="1" applyAlignment="1">
      <alignment vertical="center"/>
    </xf>
    <xf numFmtId="0" fontId="16" fillId="3" borderId="4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4" xfId="0" applyFont="1" applyFill="1" applyBorder="1" applyAlignment="1">
      <alignment horizontal="left" vertical="center"/>
    </xf>
    <xf numFmtId="0" fontId="16" fillId="0" borderId="4" xfId="0" applyFont="1" applyFill="1" applyBorder="1" applyAlignment="1">
      <alignment horizontal="left" vertical="center" wrapText="1"/>
    </xf>
    <xf numFmtId="14" fontId="16" fillId="0" borderId="4" xfId="0" applyNumberFormat="1" applyFont="1" applyFill="1" applyBorder="1" applyAlignment="1">
      <alignment horizontal="left" vertical="center"/>
    </xf>
    <xf numFmtId="0" fontId="11" fillId="6" borderId="1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4" xfId="0" applyFont="1" applyFill="1" applyBorder="1"/>
    <xf numFmtId="0" fontId="0" fillId="11" borderId="4" xfId="0" applyFill="1" applyBorder="1"/>
    <xf numFmtId="0" fontId="0" fillId="0" borderId="4" xfId="0" applyBorder="1"/>
    <xf numFmtId="0" fontId="0" fillId="6" borderId="4" xfId="0" applyFill="1" applyBorder="1"/>
    <xf numFmtId="0" fontId="26" fillId="12" borderId="4" xfId="0" applyFont="1" applyFill="1" applyBorder="1"/>
    <xf numFmtId="0" fontId="13" fillId="11" borderId="4" xfId="434" applyFont="1" applyFill="1" applyBorder="1" applyAlignment="1"/>
    <xf numFmtId="0" fontId="24" fillId="0" borderId="4" xfId="434" applyBorder="1" applyAlignment="1"/>
    <xf numFmtId="0" fontId="0" fillId="13" borderId="4" xfId="0" applyFill="1" applyBorder="1"/>
    <xf numFmtId="0" fontId="16" fillId="3" borderId="4" xfId="0" applyFont="1" applyFill="1" applyBorder="1" applyAlignment="1">
      <alignment horizontal="left" vertical="center" wrapText="1"/>
    </xf>
    <xf numFmtId="0" fontId="16" fillId="6" borderId="4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4" xfId="615" applyFont="1" applyFill="1" applyBorder="1"/>
    <xf numFmtId="0" fontId="0" fillId="0" borderId="4" xfId="615" applyFont="1" applyBorder="1"/>
    <xf numFmtId="0" fontId="2" fillId="11" borderId="4" xfId="615" applyFill="1" applyBorder="1"/>
    <xf numFmtId="0" fontId="16" fillId="6" borderId="4" xfId="0" applyFont="1" applyFill="1" applyBorder="1" applyAlignment="1">
      <alignment horizontal="center"/>
    </xf>
    <xf numFmtId="56" fontId="16" fillId="6" borderId="4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16" fillId="6" borderId="4" xfId="11" applyFont="1" applyFill="1" applyBorder="1" applyAlignment="1">
      <alignment horizontal="left"/>
    </xf>
    <xf numFmtId="0" fontId="2" fillId="6" borderId="0" xfId="615" applyFill="1"/>
    <xf numFmtId="0" fontId="13" fillId="7" borderId="0" xfId="0" applyFont="1" applyFill="1" applyAlignment="1">
      <alignment horizontal="center"/>
    </xf>
    <xf numFmtId="0" fontId="27" fillId="6" borderId="4" xfId="0" applyFont="1" applyFill="1" applyBorder="1" applyAlignment="1">
      <alignment horizontal="center"/>
    </xf>
    <xf numFmtId="0" fontId="16" fillId="3" borderId="4" xfId="0" applyFont="1" applyFill="1" applyBorder="1" applyAlignment="1">
      <alignment horizontal="center"/>
    </xf>
    <xf numFmtId="0" fontId="16" fillId="14" borderId="4" xfId="0" applyFont="1" applyFill="1" applyBorder="1" applyAlignment="1">
      <alignment horizontal="center"/>
    </xf>
    <xf numFmtId="0" fontId="16" fillId="15" borderId="4" xfId="0" applyFont="1" applyFill="1" applyBorder="1" applyAlignment="1">
      <alignment horizontal="center"/>
    </xf>
    <xf numFmtId="56" fontId="16" fillId="15" borderId="4" xfId="0" applyNumberFormat="1" applyFont="1" applyFill="1" applyBorder="1" applyAlignment="1">
      <alignment horizontal="center"/>
    </xf>
    <xf numFmtId="0" fontId="0" fillId="15" borderId="4" xfId="0" applyFill="1" applyBorder="1"/>
    <xf numFmtId="0" fontId="13" fillId="7" borderId="0" xfId="0" applyFont="1" applyFill="1"/>
    <xf numFmtId="0" fontId="27" fillId="0" borderId="4" xfId="0" applyFont="1" applyFill="1" applyBorder="1"/>
    <xf numFmtId="0" fontId="28" fillId="0" borderId="4" xfId="0" applyFont="1" applyFill="1" applyBorder="1"/>
    <xf numFmtId="0" fontId="29" fillId="3" borderId="7" xfId="0" applyFont="1" applyFill="1" applyBorder="1" applyAlignment="1">
      <alignment vertical="center"/>
    </xf>
    <xf numFmtId="0" fontId="30" fillId="0" borderId="4" xfId="0" applyFont="1" applyFill="1" applyBorder="1"/>
    <xf numFmtId="0" fontId="29" fillId="0" borderId="7" xfId="0" applyFont="1" applyFill="1" applyBorder="1" applyAlignment="1">
      <alignment vertical="center"/>
    </xf>
    <xf numFmtId="0" fontId="30" fillId="14" borderId="4" xfId="0" applyFont="1" applyFill="1" applyBorder="1"/>
    <xf numFmtId="0" fontId="31" fillId="0" borderId="4" xfId="0" applyFont="1" applyFill="1" applyBorder="1"/>
    <xf numFmtId="38" fontId="16" fillId="0" borderId="4" xfId="628" applyFont="1" applyFill="1" applyBorder="1" applyAlignment="1"/>
    <xf numFmtId="0" fontId="27" fillId="0" borderId="0" xfId="0" applyFont="1" applyFill="1"/>
    <xf numFmtId="0" fontId="16" fillId="30" borderId="4" xfId="0" applyFont="1" applyFill="1" applyBorder="1" applyAlignment="1">
      <alignment horizontal="center"/>
    </xf>
    <xf numFmtId="0" fontId="30" fillId="30" borderId="4" xfId="0" applyFont="1" applyFill="1" applyBorder="1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vertical="center"/>
    </xf>
    <xf numFmtId="0" fontId="12" fillId="7" borderId="18" xfId="0" applyFont="1" applyFill="1" applyBorder="1" applyAlignment="1">
      <alignment vertical="center"/>
    </xf>
    <xf numFmtId="0" fontId="12" fillId="7" borderId="19" xfId="0" applyFont="1" applyFill="1" applyBorder="1" applyAlignment="1">
      <alignment vertical="center"/>
    </xf>
    <xf numFmtId="0" fontId="4" fillId="0" borderId="20" xfId="0" applyFont="1" applyFill="1" applyBorder="1" applyAlignment="1">
      <alignment vertical="center"/>
    </xf>
    <xf numFmtId="0" fontId="6" fillId="5" borderId="20" xfId="0" applyFont="1" applyFill="1" applyBorder="1" applyAlignment="1">
      <alignment vertical="center"/>
    </xf>
    <xf numFmtId="0" fontId="4" fillId="0" borderId="20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vertical="center"/>
    </xf>
    <xf numFmtId="0" fontId="4" fillId="3" borderId="20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vertical="center"/>
    </xf>
    <xf numFmtId="0" fontId="6" fillId="0" borderId="21" xfId="0" applyFont="1" applyFill="1" applyBorder="1" applyAlignment="1">
      <alignment vertical="center"/>
    </xf>
    <xf numFmtId="0" fontId="12" fillId="7" borderId="22" xfId="0" applyFont="1" applyFill="1" applyBorder="1" applyAlignment="1">
      <alignment vertical="center"/>
    </xf>
    <xf numFmtId="0" fontId="12" fillId="7" borderId="0" xfId="0" applyFont="1" applyFill="1" applyBorder="1" applyAlignment="1">
      <alignment vertical="center"/>
    </xf>
    <xf numFmtId="0" fontId="4" fillId="0" borderId="4" xfId="0" applyFont="1" applyFill="1" applyBorder="1" applyAlignment="1">
      <alignment vertical="center"/>
    </xf>
    <xf numFmtId="0" fontId="4" fillId="0" borderId="4" xfId="0" applyFont="1" applyFill="1" applyBorder="1" applyAlignment="1">
      <alignment horizontal="center" vertical="center"/>
    </xf>
    <xf numFmtId="0" fontId="6" fillId="0" borderId="23" xfId="0" applyFont="1" applyFill="1" applyBorder="1" applyAlignment="1">
      <alignment vertical="center"/>
    </xf>
    <xf numFmtId="0" fontId="12" fillId="7" borderId="24" xfId="0" applyFont="1" applyFill="1" applyBorder="1" applyAlignment="1">
      <alignment vertical="center"/>
    </xf>
    <xf numFmtId="0" fontId="12" fillId="7" borderId="25" xfId="0" applyFont="1" applyFill="1" applyBorder="1" applyAlignment="1">
      <alignment vertical="center"/>
    </xf>
    <xf numFmtId="0" fontId="4" fillId="0" borderId="26" xfId="0" applyFont="1" applyFill="1" applyBorder="1" applyAlignment="1">
      <alignment vertical="center"/>
    </xf>
    <xf numFmtId="0" fontId="6" fillId="5" borderId="26" xfId="0" applyFont="1" applyFill="1" applyBorder="1" applyAlignment="1">
      <alignment vertical="center"/>
    </xf>
    <xf numFmtId="0" fontId="4" fillId="0" borderId="26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vertical="center"/>
    </xf>
    <xf numFmtId="0" fontId="4" fillId="3" borderId="26" xfId="0" applyFont="1" applyFill="1" applyBorder="1" applyAlignment="1">
      <alignment horizontal="center" vertical="center"/>
    </xf>
    <xf numFmtId="0" fontId="6" fillId="0" borderId="26" xfId="0" applyFont="1" applyFill="1" applyBorder="1" applyAlignment="1">
      <alignment vertical="center"/>
    </xf>
    <xf numFmtId="0" fontId="6" fillId="0" borderId="27" xfId="0" applyFont="1" applyFill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28" xfId="0" applyFont="1" applyFill="1" applyBorder="1" applyAlignment="1">
      <alignment vertical="center"/>
    </xf>
    <xf numFmtId="0" fontId="6" fillId="0" borderId="29" xfId="0" applyFont="1" applyFill="1" applyBorder="1" applyAlignment="1">
      <alignment vertical="center"/>
    </xf>
    <xf numFmtId="0" fontId="4" fillId="0" borderId="0" xfId="0" applyFont="1" applyBorder="1" applyAlignment="1">
      <alignment vertical="center"/>
    </xf>
    <xf numFmtId="176" fontId="4" fillId="0" borderId="30" xfId="0" applyNumberFormat="1" applyFont="1" applyFill="1" applyBorder="1" applyAlignment="1">
      <alignment horizontal="center" vertical="center"/>
    </xf>
    <xf numFmtId="0" fontId="6" fillId="5" borderId="30" xfId="0" applyFont="1" applyFill="1" applyBorder="1" applyAlignment="1">
      <alignment vertical="center"/>
    </xf>
    <xf numFmtId="0" fontId="6" fillId="5" borderId="31" xfId="0" applyFont="1" applyFill="1" applyBorder="1" applyAlignment="1">
      <alignment vertical="center"/>
    </xf>
    <xf numFmtId="176" fontId="4" fillId="0" borderId="32" xfId="0" applyNumberFormat="1" applyFont="1" applyFill="1" applyBorder="1" applyAlignment="1">
      <alignment horizontal="center" vertical="center"/>
    </xf>
    <xf numFmtId="0" fontId="6" fillId="5" borderId="32" xfId="0" applyFont="1" applyFill="1" applyBorder="1" applyAlignment="1">
      <alignment vertical="center"/>
    </xf>
    <xf numFmtId="0" fontId="4" fillId="0" borderId="20" xfId="0" applyFont="1" applyBorder="1" applyAlignment="1">
      <alignment horizontal="center" vertical="center"/>
    </xf>
    <xf numFmtId="0" fontId="6" fillId="5" borderId="33" xfId="0" applyFont="1" applyFill="1" applyBorder="1" applyAlignment="1">
      <alignment vertical="center"/>
    </xf>
    <xf numFmtId="0" fontId="8" fillId="0" borderId="34" xfId="0" applyFont="1" applyBorder="1" applyAlignment="1">
      <alignment vertical="center"/>
    </xf>
    <xf numFmtId="177" fontId="8" fillId="0" borderId="34" xfId="0" applyNumberFormat="1" applyFont="1" applyBorder="1" applyAlignment="1">
      <alignment vertical="center"/>
    </xf>
    <xf numFmtId="0" fontId="4" fillId="0" borderId="32" xfId="0" applyFont="1" applyBorder="1" applyAlignment="1">
      <alignment vertical="center"/>
    </xf>
    <xf numFmtId="0" fontId="4" fillId="3" borderId="20" xfId="0" applyFont="1" applyFill="1" applyBorder="1" applyAlignment="1">
      <alignment vertical="center"/>
    </xf>
    <xf numFmtId="0" fontId="4" fillId="0" borderId="35" xfId="0" applyFont="1" applyBorder="1" applyAlignment="1">
      <alignment vertical="center"/>
    </xf>
    <xf numFmtId="0" fontId="4" fillId="0" borderId="20" xfId="0" applyFont="1" applyBorder="1" applyAlignment="1">
      <alignment vertical="center"/>
    </xf>
    <xf numFmtId="0" fontId="4" fillId="0" borderId="19" xfId="0" applyFont="1" applyBorder="1" applyAlignment="1">
      <alignment vertical="center"/>
    </xf>
    <xf numFmtId="0" fontId="4" fillId="0" borderId="4" xfId="0" applyFont="1" applyBorder="1" applyAlignment="1">
      <alignment horizontal="center" vertical="center"/>
    </xf>
    <xf numFmtId="176" fontId="4" fillId="0" borderId="36" xfId="0" applyNumberFormat="1" applyFont="1" applyFill="1" applyBorder="1" applyAlignment="1">
      <alignment horizontal="center" vertical="center"/>
    </xf>
    <xf numFmtId="0" fontId="6" fillId="5" borderId="36" xfId="0" applyFont="1" applyFill="1" applyBorder="1" applyAlignment="1">
      <alignment vertical="center"/>
    </xf>
    <xf numFmtId="0" fontId="4" fillId="0" borderId="26" xfId="0" applyFont="1" applyBorder="1" applyAlignment="1">
      <alignment horizontal="center" vertical="center"/>
    </xf>
    <xf numFmtId="0" fontId="6" fillId="5" borderId="37" xfId="0" applyFont="1" applyFill="1" applyBorder="1" applyAlignment="1">
      <alignment vertical="center"/>
    </xf>
    <xf numFmtId="0" fontId="8" fillId="0" borderId="38" xfId="0" applyFont="1" applyBorder="1" applyAlignment="1">
      <alignment vertical="center"/>
    </xf>
    <xf numFmtId="177" fontId="8" fillId="0" borderId="38" xfId="0" applyNumberFormat="1" applyFont="1" applyBorder="1" applyAlignment="1">
      <alignment vertical="center"/>
    </xf>
    <xf numFmtId="0" fontId="4" fillId="0" borderId="25" xfId="0" applyFont="1" applyBorder="1" applyAlignment="1">
      <alignment vertical="center"/>
    </xf>
    <xf numFmtId="0" fontId="4" fillId="3" borderId="1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4" fillId="3" borderId="39" xfId="0" applyFont="1" applyFill="1" applyBorder="1" applyAlignment="1">
      <alignment horizontal="left" vertical="center"/>
    </xf>
    <xf numFmtId="0" fontId="4" fillId="3" borderId="40" xfId="0" applyFont="1" applyFill="1" applyBorder="1" applyAlignment="1">
      <alignment horizontal="left" vertical="center"/>
    </xf>
    <xf numFmtId="0" fontId="6" fillId="4" borderId="1" xfId="0" applyFont="1" applyFill="1" applyBorder="1" applyAlignment="1">
      <alignment horizontal="left" vertical="center"/>
    </xf>
    <xf numFmtId="0" fontId="4" fillId="0" borderId="7" xfId="0" applyFont="1" applyBorder="1" applyAlignment="1">
      <alignment horizontal="center" vertical="center"/>
    </xf>
    <xf numFmtId="0" fontId="8" fillId="0" borderId="41" xfId="0" applyFont="1" applyBorder="1" applyAlignment="1">
      <alignment vertical="center"/>
    </xf>
    <xf numFmtId="177" fontId="8" fillId="0" borderId="41" xfId="0" applyNumberFormat="1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3" borderId="7" xfId="0" applyFont="1" applyFill="1" applyBorder="1" applyAlignment="1">
      <alignment vertical="center"/>
    </xf>
    <xf numFmtId="0" fontId="4" fillId="0" borderId="42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0" fontId="12" fillId="7" borderId="43" xfId="0" applyFont="1" applyFill="1" applyBorder="1" applyAlignment="1">
      <alignment vertical="center"/>
    </xf>
    <xf numFmtId="176" fontId="4" fillId="0" borderId="44" xfId="0" applyNumberFormat="1" applyFont="1" applyFill="1" applyBorder="1" applyAlignment="1">
      <alignment horizontal="center" vertical="center"/>
    </xf>
    <xf numFmtId="0" fontId="4" fillId="0" borderId="45" xfId="0" applyFont="1" applyFill="1" applyBorder="1" applyAlignment="1">
      <alignment horizontal="center" vertical="center"/>
    </xf>
    <xf numFmtId="0" fontId="4" fillId="3" borderId="45" xfId="0" applyFont="1" applyFill="1" applyBorder="1" applyAlignment="1">
      <alignment horizontal="center" vertical="center"/>
    </xf>
    <xf numFmtId="0" fontId="6" fillId="5" borderId="44" xfId="0" applyFont="1" applyFill="1" applyBorder="1" applyAlignment="1">
      <alignment vertical="center"/>
    </xf>
    <xf numFmtId="0" fontId="6" fillId="0" borderId="45" xfId="0" applyFont="1" applyFill="1" applyBorder="1" applyAlignment="1">
      <alignment vertical="center"/>
    </xf>
    <xf numFmtId="0" fontId="4" fillId="0" borderId="45" xfId="0" applyFont="1" applyBorder="1" applyAlignment="1">
      <alignment horizontal="center" vertical="center"/>
    </xf>
    <xf numFmtId="0" fontId="6" fillId="5" borderId="46" xfId="0" applyFont="1" applyFill="1" applyBorder="1" applyAlignment="1">
      <alignment vertical="center"/>
    </xf>
    <xf numFmtId="0" fontId="8" fillId="0" borderId="47" xfId="0" applyFont="1" applyBorder="1" applyAlignment="1">
      <alignment vertical="center"/>
    </xf>
    <xf numFmtId="177" fontId="8" fillId="0" borderId="47" xfId="0" applyNumberFormat="1" applyFont="1" applyBorder="1" applyAlignment="1">
      <alignment vertical="center"/>
    </xf>
    <xf numFmtId="0" fontId="4" fillId="0" borderId="48" xfId="0" applyFont="1" applyBorder="1" applyAlignment="1">
      <alignment vertical="center"/>
    </xf>
    <xf numFmtId="0" fontId="4" fillId="3" borderId="45" xfId="0" applyFont="1" applyFill="1" applyBorder="1" applyAlignment="1">
      <alignment vertical="center"/>
    </xf>
    <xf numFmtId="0" fontId="4" fillId="0" borderId="45" xfId="0" applyFont="1" applyFill="1" applyBorder="1" applyAlignment="1">
      <alignment vertical="center"/>
    </xf>
    <xf numFmtId="0" fontId="4" fillId="0" borderId="49" xfId="0" applyFont="1" applyBorder="1" applyAlignment="1">
      <alignment vertical="center"/>
    </xf>
    <xf numFmtId="0" fontId="4" fillId="0" borderId="45" xfId="0" applyFont="1" applyBorder="1" applyAlignment="1">
      <alignment vertical="center"/>
    </xf>
    <xf numFmtId="0" fontId="4" fillId="0" borderId="50" xfId="0" applyFont="1" applyBorder="1" applyAlignment="1">
      <alignment vertical="center"/>
    </xf>
    <xf numFmtId="0" fontId="12" fillId="7" borderId="51" xfId="0" applyFont="1" applyFill="1" applyBorder="1" applyAlignment="1">
      <alignment vertical="center"/>
    </xf>
    <xf numFmtId="176" fontId="4" fillId="0" borderId="52" xfId="0" applyNumberFormat="1" applyFont="1" applyFill="1" applyBorder="1" applyAlignment="1">
      <alignment horizontal="center" vertical="center"/>
    </xf>
    <xf numFmtId="0" fontId="4" fillId="0" borderId="53" xfId="0" applyFont="1" applyFill="1" applyBorder="1" applyAlignment="1">
      <alignment horizontal="center" vertical="center"/>
    </xf>
    <xf numFmtId="0" fontId="4" fillId="3" borderId="53" xfId="0" applyFont="1" applyFill="1" applyBorder="1" applyAlignment="1">
      <alignment horizontal="center" vertical="center"/>
    </xf>
    <xf numFmtId="0" fontId="6" fillId="5" borderId="52" xfId="0" applyFont="1" applyFill="1" applyBorder="1" applyAlignment="1">
      <alignment vertical="center"/>
    </xf>
    <xf numFmtId="0" fontId="6" fillId="0" borderId="53" xfId="0" applyFont="1" applyFill="1" applyBorder="1" applyAlignment="1">
      <alignment vertical="center"/>
    </xf>
    <xf numFmtId="0" fontId="4" fillId="0" borderId="53" xfId="0" applyFont="1" applyBorder="1" applyAlignment="1">
      <alignment horizontal="center" vertical="center"/>
    </xf>
    <xf numFmtId="0" fontId="6" fillId="5" borderId="54" xfId="0" applyFont="1" applyFill="1" applyBorder="1" applyAlignment="1">
      <alignment vertical="center"/>
    </xf>
    <xf numFmtId="0" fontId="8" fillId="0" borderId="52" xfId="0" applyFont="1" applyBorder="1" applyAlignment="1">
      <alignment vertical="center"/>
    </xf>
    <xf numFmtId="177" fontId="8" fillId="0" borderId="52" xfId="0" applyNumberFormat="1" applyFont="1" applyBorder="1" applyAlignment="1">
      <alignment vertical="center"/>
    </xf>
    <xf numFmtId="0" fontId="4" fillId="0" borderId="52" xfId="0" applyFont="1" applyBorder="1" applyAlignment="1">
      <alignment vertical="center"/>
    </xf>
    <xf numFmtId="0" fontId="4" fillId="3" borderId="53" xfId="0" applyFont="1" applyFill="1" applyBorder="1" applyAlignment="1">
      <alignment vertical="center"/>
    </xf>
    <xf numFmtId="0" fontId="4" fillId="0" borderId="53" xfId="0" applyFont="1" applyFill="1" applyBorder="1" applyAlignment="1">
      <alignment vertical="center"/>
    </xf>
    <xf numFmtId="0" fontId="4" fillId="0" borderId="55" xfId="0" applyFont="1" applyBorder="1" applyAlignment="1">
      <alignment vertical="center"/>
    </xf>
    <xf numFmtId="0" fontId="4" fillId="0" borderId="53" xfId="0" applyFont="1" applyBorder="1" applyAlignment="1">
      <alignment vertical="center"/>
    </xf>
    <xf numFmtId="0" fontId="4" fillId="0" borderId="56" xfId="0" applyFont="1" applyBorder="1" applyAlignment="1">
      <alignment vertical="center"/>
    </xf>
    <xf numFmtId="0" fontId="4" fillId="0" borderId="57" xfId="0" applyFont="1" applyFill="1" applyBorder="1" applyAlignment="1">
      <alignment horizontal="center" vertical="center"/>
    </xf>
    <xf numFmtId="0" fontId="4" fillId="3" borderId="57" xfId="0" applyFont="1" applyFill="1" applyBorder="1" applyAlignment="1">
      <alignment horizontal="center" vertical="center"/>
    </xf>
    <xf numFmtId="0" fontId="6" fillId="0" borderId="57" xfId="0" applyFont="1" applyFill="1" applyBorder="1" applyAlignment="1">
      <alignment vertical="center"/>
    </xf>
    <xf numFmtId="0" fontId="4" fillId="0" borderId="57" xfId="0" applyFont="1" applyBorder="1" applyAlignment="1">
      <alignment horizontal="center" vertical="center"/>
    </xf>
    <xf numFmtId="0" fontId="8" fillId="0" borderId="36" xfId="0" applyFont="1" applyBorder="1" applyAlignment="1">
      <alignment vertical="center"/>
    </xf>
    <xf numFmtId="177" fontId="8" fillId="0" borderId="36" xfId="0" applyNumberFormat="1" applyFont="1" applyBorder="1" applyAlignment="1">
      <alignment vertical="center"/>
    </xf>
    <xf numFmtId="0" fontId="4" fillId="0" borderId="36" xfId="0" applyFont="1" applyBorder="1" applyAlignment="1">
      <alignment vertical="center"/>
    </xf>
    <xf numFmtId="0" fontId="4" fillId="3" borderId="57" xfId="0" applyFont="1" applyFill="1" applyBorder="1" applyAlignment="1">
      <alignment vertical="center"/>
    </xf>
    <xf numFmtId="0" fontId="4" fillId="0" borderId="57" xfId="0" applyFont="1" applyFill="1" applyBorder="1" applyAlignment="1">
      <alignment vertical="center"/>
    </xf>
    <xf numFmtId="0" fontId="4" fillId="0" borderId="58" xfId="0" applyFont="1" applyBorder="1" applyAlignment="1">
      <alignment vertical="center"/>
    </xf>
    <xf numFmtId="0" fontId="4" fillId="0" borderId="57" xfId="0" applyFont="1" applyBorder="1" applyAlignment="1">
      <alignment vertical="center"/>
    </xf>
    <xf numFmtId="0" fontId="12" fillId="7" borderId="59" xfId="0" applyFont="1" applyFill="1" applyBorder="1" applyAlignment="1">
      <alignment vertical="center"/>
    </xf>
    <xf numFmtId="176" fontId="4" fillId="0" borderId="60" xfId="0" applyNumberFormat="1" applyFont="1" applyFill="1" applyBorder="1" applyAlignment="1">
      <alignment horizontal="center" vertical="center"/>
    </xf>
    <xf numFmtId="0" fontId="4" fillId="0" borderId="61" xfId="0" applyFont="1" applyFill="1" applyBorder="1" applyAlignment="1">
      <alignment horizontal="center" vertical="center"/>
    </xf>
    <xf numFmtId="0" fontId="4" fillId="3" borderId="61" xfId="0" applyFont="1" applyFill="1" applyBorder="1" applyAlignment="1">
      <alignment horizontal="center" vertical="center"/>
    </xf>
    <xf numFmtId="0" fontId="6" fillId="5" borderId="60" xfId="0" applyFont="1" applyFill="1" applyBorder="1" applyAlignment="1">
      <alignment vertical="center"/>
    </xf>
    <xf numFmtId="0" fontId="6" fillId="0" borderId="61" xfId="0" applyFont="1" applyFill="1" applyBorder="1" applyAlignment="1">
      <alignment vertical="center"/>
    </xf>
    <xf numFmtId="0" fontId="4" fillId="0" borderId="61" xfId="0" applyFont="1" applyBorder="1" applyAlignment="1">
      <alignment horizontal="center" vertical="center"/>
    </xf>
    <xf numFmtId="0" fontId="6" fillId="5" borderId="62" xfId="0" applyFont="1" applyFill="1" applyBorder="1" applyAlignment="1">
      <alignment vertical="center"/>
    </xf>
    <xf numFmtId="0" fontId="8" fillId="0" borderId="63" xfId="0" applyFont="1" applyBorder="1" applyAlignment="1">
      <alignment vertical="center"/>
    </xf>
    <xf numFmtId="177" fontId="8" fillId="0" borderId="63" xfId="0" applyNumberFormat="1" applyFont="1" applyBorder="1" applyAlignment="1">
      <alignment vertical="center"/>
    </xf>
    <xf numFmtId="0" fontId="4" fillId="0" borderId="60" xfId="0" applyFont="1" applyBorder="1" applyAlignment="1">
      <alignment vertical="center"/>
    </xf>
    <xf numFmtId="0" fontId="4" fillId="3" borderId="61" xfId="0" applyFont="1" applyFill="1" applyBorder="1" applyAlignment="1">
      <alignment vertical="center"/>
    </xf>
    <xf numFmtId="0" fontId="4" fillId="0" borderId="61" xfId="0" applyFont="1" applyFill="1" applyBorder="1" applyAlignment="1">
      <alignment vertical="center"/>
    </xf>
    <xf numFmtId="0" fontId="4" fillId="0" borderId="64" xfId="0" applyFont="1" applyBorder="1" applyAlignment="1">
      <alignment vertical="center"/>
    </xf>
    <xf numFmtId="0" fontId="4" fillId="0" borderId="61" xfId="0" applyFont="1" applyBorder="1" applyAlignment="1">
      <alignment vertical="center"/>
    </xf>
    <xf numFmtId="0" fontId="4" fillId="0" borderId="65" xfId="0" applyFont="1" applyBorder="1" applyAlignment="1">
      <alignment vertical="center"/>
    </xf>
    <xf numFmtId="0" fontId="12" fillId="7" borderId="50" xfId="0" applyFont="1" applyFill="1" applyBorder="1" applyAlignment="1">
      <alignment vertical="center"/>
    </xf>
    <xf numFmtId="0" fontId="12" fillId="7" borderId="66" xfId="0" applyFont="1" applyFill="1" applyBorder="1" applyAlignment="1">
      <alignment vertical="center"/>
    </xf>
    <xf numFmtId="176" fontId="4" fillId="0" borderId="47" xfId="0" applyNumberFormat="1" applyFont="1" applyFill="1" applyBorder="1" applyAlignment="1">
      <alignment horizontal="center" vertical="center"/>
    </xf>
    <xf numFmtId="0" fontId="6" fillId="5" borderId="47" xfId="0" applyFont="1" applyFill="1" applyBorder="1" applyAlignment="1">
      <alignment vertical="center"/>
    </xf>
    <xf numFmtId="0" fontId="6" fillId="5" borderId="67" xfId="0" applyFont="1" applyFill="1" applyBorder="1" applyAlignment="1">
      <alignment vertical="center"/>
    </xf>
    <xf numFmtId="0" fontId="4" fillId="0" borderId="47" xfId="0" applyFont="1" applyBorder="1" applyAlignment="1">
      <alignment vertical="center"/>
    </xf>
    <xf numFmtId="0" fontId="4" fillId="0" borderId="66" xfId="0" applyFont="1" applyBorder="1" applyAlignment="1">
      <alignment vertical="center"/>
    </xf>
    <xf numFmtId="0" fontId="4" fillId="0" borderId="68" xfId="0" applyFont="1" applyFill="1" applyBorder="1" applyAlignment="1">
      <alignment horizontal="center" vertical="center"/>
    </xf>
    <xf numFmtId="0" fontId="4" fillId="3" borderId="68" xfId="0" applyFont="1" applyFill="1" applyBorder="1" applyAlignment="1">
      <alignment horizontal="center" vertical="center"/>
    </xf>
    <xf numFmtId="0" fontId="6" fillId="0" borderId="68" xfId="0" applyFont="1" applyFill="1" applyBorder="1" applyAlignment="1">
      <alignment vertical="center"/>
    </xf>
    <xf numFmtId="0" fontId="4" fillId="0" borderId="68" xfId="0" applyFont="1" applyBorder="1" applyAlignment="1">
      <alignment horizontal="center" vertical="center"/>
    </xf>
    <xf numFmtId="0" fontId="8" fillId="0" borderId="30" xfId="0" applyFont="1" applyBorder="1" applyAlignment="1">
      <alignment vertical="center"/>
    </xf>
    <xf numFmtId="177" fontId="8" fillId="0" borderId="30" xfId="0" applyNumberFormat="1" applyFont="1" applyBorder="1" applyAlignment="1">
      <alignment vertical="center"/>
    </xf>
    <xf numFmtId="0" fontId="4" fillId="0" borderId="30" xfId="0" applyFont="1" applyBorder="1" applyAlignment="1">
      <alignment vertical="center"/>
    </xf>
    <xf numFmtId="0" fontId="4" fillId="3" borderId="68" xfId="0" applyFont="1" applyFill="1" applyBorder="1" applyAlignment="1">
      <alignment vertical="center"/>
    </xf>
    <xf numFmtId="0" fontId="4" fillId="0" borderId="68" xfId="0" applyFont="1" applyFill="1" applyBorder="1" applyAlignment="1">
      <alignment vertical="center"/>
    </xf>
    <xf numFmtId="0" fontId="4" fillId="0" borderId="69" xfId="0" applyFont="1" applyBorder="1" applyAlignment="1">
      <alignment vertical="center"/>
    </xf>
    <xf numFmtId="0" fontId="4" fillId="0" borderId="68" xfId="0" applyFont="1" applyBorder="1" applyAlignment="1">
      <alignment vertical="center"/>
    </xf>
    <xf numFmtId="0" fontId="4" fillId="0" borderId="70" xfId="0" applyFont="1" applyFill="1" applyBorder="1" applyAlignment="1">
      <alignment horizontal="center" vertical="center"/>
    </xf>
    <xf numFmtId="0" fontId="4" fillId="3" borderId="70" xfId="0" applyFont="1" applyFill="1" applyBorder="1" applyAlignment="1">
      <alignment horizontal="center" vertical="center"/>
    </xf>
    <xf numFmtId="0" fontId="6" fillId="0" borderId="70" xfId="0" applyFont="1" applyFill="1" applyBorder="1" applyAlignment="1">
      <alignment vertical="center"/>
    </xf>
    <xf numFmtId="0" fontId="4" fillId="0" borderId="70" xfId="0" applyFont="1" applyBorder="1" applyAlignment="1">
      <alignment horizontal="center" vertical="center"/>
    </xf>
    <xf numFmtId="0" fontId="8" fillId="0" borderId="44" xfId="0" applyFont="1" applyBorder="1" applyAlignment="1">
      <alignment vertical="center"/>
    </xf>
    <xf numFmtId="177" fontId="8" fillId="0" borderId="44" xfId="0" applyNumberFormat="1" applyFont="1" applyBorder="1" applyAlignment="1">
      <alignment vertical="center"/>
    </xf>
    <xf numFmtId="0" fontId="4" fillId="0" borderId="44" xfId="0" applyFont="1" applyBorder="1" applyAlignment="1">
      <alignment vertical="center"/>
    </xf>
    <xf numFmtId="0" fontId="4" fillId="3" borderId="70" xfId="0" applyFont="1" applyFill="1" applyBorder="1" applyAlignment="1">
      <alignment vertical="center"/>
    </xf>
    <xf numFmtId="0" fontId="4" fillId="0" borderId="70" xfId="0" applyFont="1" applyFill="1" applyBorder="1" applyAlignment="1">
      <alignment vertical="center"/>
    </xf>
    <xf numFmtId="0" fontId="4" fillId="0" borderId="71" xfId="0" applyFont="1" applyBorder="1" applyAlignment="1">
      <alignment vertical="center"/>
    </xf>
    <xf numFmtId="0" fontId="4" fillId="0" borderId="70" xfId="0" applyFont="1" applyBorder="1" applyAlignment="1">
      <alignment vertical="center"/>
    </xf>
    <xf numFmtId="0" fontId="12" fillId="7" borderId="72" xfId="0" applyFont="1" applyFill="1" applyBorder="1" applyAlignment="1">
      <alignment vertical="center"/>
    </xf>
    <xf numFmtId="176" fontId="4" fillId="0" borderId="73" xfId="0" applyNumberFormat="1" applyFont="1" applyFill="1" applyBorder="1" applyAlignment="1">
      <alignment horizontal="center" vertical="center"/>
    </xf>
    <xf numFmtId="0" fontId="4" fillId="0" borderId="74" xfId="0" applyFont="1" applyFill="1" applyBorder="1" applyAlignment="1">
      <alignment horizontal="center" vertical="center"/>
    </xf>
    <xf numFmtId="0" fontId="4" fillId="3" borderId="74" xfId="0" applyFont="1" applyFill="1" applyBorder="1" applyAlignment="1">
      <alignment horizontal="center" vertical="center"/>
    </xf>
    <xf numFmtId="0" fontId="6" fillId="5" borderId="73" xfId="0" applyFont="1" applyFill="1" applyBorder="1" applyAlignment="1">
      <alignment vertical="center"/>
    </xf>
    <xf numFmtId="0" fontId="6" fillId="0" borderId="74" xfId="0" applyFont="1" applyFill="1" applyBorder="1" applyAlignment="1">
      <alignment vertical="center"/>
    </xf>
    <xf numFmtId="0" fontId="4" fillId="0" borderId="74" xfId="0" applyFont="1" applyBorder="1" applyAlignment="1">
      <alignment horizontal="center" vertical="center"/>
    </xf>
    <xf numFmtId="0" fontId="6" fillId="5" borderId="75" xfId="0" applyFont="1" applyFill="1" applyBorder="1" applyAlignment="1">
      <alignment vertical="center"/>
    </xf>
    <xf numFmtId="0" fontId="8" fillId="0" borderId="73" xfId="0" applyFont="1" applyBorder="1" applyAlignment="1">
      <alignment vertical="center"/>
    </xf>
    <xf numFmtId="177" fontId="8" fillId="0" borderId="73" xfId="0" applyNumberFormat="1" applyFont="1" applyBorder="1" applyAlignment="1">
      <alignment vertical="center"/>
    </xf>
    <xf numFmtId="0" fontId="4" fillId="0" borderId="73" xfId="0" applyFont="1" applyBorder="1" applyAlignment="1">
      <alignment vertical="center"/>
    </xf>
    <xf numFmtId="0" fontId="4" fillId="3" borderId="74" xfId="0" applyFont="1" applyFill="1" applyBorder="1" applyAlignment="1">
      <alignment vertical="center"/>
    </xf>
    <xf numFmtId="0" fontId="4" fillId="0" borderId="74" xfId="0" applyFont="1" applyFill="1" applyBorder="1" applyAlignment="1">
      <alignment vertical="center"/>
    </xf>
    <xf numFmtId="0" fontId="4" fillId="0" borderId="76" xfId="0" applyFont="1" applyBorder="1" applyAlignment="1">
      <alignment vertical="center"/>
    </xf>
    <xf numFmtId="0" fontId="4" fillId="0" borderId="74" xfId="0" applyFont="1" applyBorder="1" applyAlignment="1">
      <alignment vertical="center"/>
    </xf>
    <xf numFmtId="0" fontId="27" fillId="31" borderId="4" xfId="0" applyFont="1" applyFill="1" applyBorder="1"/>
    <xf numFmtId="49" fontId="0" fillId="0" borderId="4" xfId="0" applyNumberFormat="1" applyFill="1" applyBorder="1"/>
    <xf numFmtId="38" fontId="16" fillId="0" borderId="4" xfId="628" applyFont="1" applyFill="1" applyBorder="1" applyAlignment="1">
      <alignment wrapText="1"/>
    </xf>
    <xf numFmtId="0" fontId="30" fillId="0" borderId="68" xfId="0" applyFont="1" applyFill="1" applyBorder="1"/>
    <xf numFmtId="0" fontId="16" fillId="6" borderId="1" xfId="614" applyFont="1" applyFill="1" applyBorder="1" applyAlignment="1">
      <alignment horizontal="left"/>
    </xf>
    <xf numFmtId="0" fontId="16" fillId="3" borderId="1" xfId="614" applyFont="1" applyFill="1" applyBorder="1" applyAlignment="1">
      <alignment horizontal="left"/>
    </xf>
    <xf numFmtId="0" fontId="0" fillId="6" borderId="1" xfId="615" applyFont="1" applyFill="1" applyBorder="1"/>
    <xf numFmtId="0" fontId="27" fillId="0" borderId="7" xfId="0" applyFont="1" applyFill="1" applyBorder="1"/>
    <xf numFmtId="0" fontId="27" fillId="31" borderId="7" xfId="0" applyFont="1" applyFill="1" applyBorder="1"/>
    <xf numFmtId="49" fontId="0" fillId="0" borderId="7" xfId="0" applyNumberFormat="1" applyFill="1" applyBorder="1"/>
    <xf numFmtId="0" fontId="27" fillId="0" borderId="79" xfId="0" applyFont="1" applyFill="1" applyBorder="1"/>
    <xf numFmtId="0" fontId="27" fillId="0" borderId="20" xfId="0" applyFont="1" applyFill="1" applyBorder="1"/>
    <xf numFmtId="0" fontId="27" fillId="31" borderId="20" xfId="0" applyFont="1" applyFill="1" applyBorder="1"/>
    <xf numFmtId="49" fontId="0" fillId="0" borderId="20" xfId="0" applyNumberFormat="1" applyFill="1" applyBorder="1"/>
    <xf numFmtId="0" fontId="0" fillId="0" borderId="19" xfId="0" applyBorder="1"/>
    <xf numFmtId="0" fontId="27" fillId="0" borderId="80" xfId="0" applyFont="1" applyFill="1" applyBorder="1"/>
    <xf numFmtId="0" fontId="0" fillId="0" borderId="0" xfId="0" applyBorder="1"/>
    <xf numFmtId="0" fontId="27" fillId="0" borderId="81" xfId="0" applyFont="1" applyFill="1" applyBorder="1"/>
    <xf numFmtId="0" fontId="27" fillId="0" borderId="26" xfId="0" applyFont="1" applyFill="1" applyBorder="1"/>
    <xf numFmtId="0" fontId="27" fillId="31" borderId="26" xfId="0" applyFont="1" applyFill="1" applyBorder="1"/>
    <xf numFmtId="49" fontId="0" fillId="0" borderId="26" xfId="0" applyNumberFormat="1" applyFill="1" applyBorder="1"/>
    <xf numFmtId="0" fontId="0" fillId="0" borderId="25" xfId="0" applyBorder="1"/>
    <xf numFmtId="0" fontId="11" fillId="0" borderId="4" xfId="0" applyFont="1" applyBorder="1" applyAlignment="1">
      <alignment vertical="center"/>
    </xf>
    <xf numFmtId="0" fontId="16" fillId="0" borderId="4" xfId="0" applyNumberFormat="1" applyFont="1" applyFill="1" applyBorder="1" applyAlignment="1">
      <alignment horizontal="left" vertical="center" wrapText="1"/>
    </xf>
    <xf numFmtId="0" fontId="16" fillId="32" borderId="4" xfId="0" applyFont="1" applyFill="1" applyBorder="1" applyAlignment="1">
      <alignment vertical="center"/>
    </xf>
    <xf numFmtId="0" fontId="16" fillId="6" borderId="1" xfId="0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6" fillId="0" borderId="7" xfId="0" applyFont="1" applyFill="1" applyBorder="1" applyAlignment="1">
      <alignment vertical="center"/>
    </xf>
    <xf numFmtId="0" fontId="11" fillId="0" borderId="7" xfId="0" applyFont="1" applyBorder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14" fontId="16" fillId="0" borderId="7" xfId="0" applyNumberFormat="1" applyFont="1" applyFill="1" applyBorder="1" applyAlignment="1">
      <alignment horizontal="left" vertical="center"/>
    </xf>
    <xf numFmtId="0" fontId="14" fillId="7" borderId="18" xfId="0" applyFont="1" applyFill="1" applyBorder="1" applyAlignment="1">
      <alignment vertical="center"/>
    </xf>
    <xf numFmtId="0" fontId="16" fillId="0" borderId="20" xfId="0" applyFont="1" applyFill="1" applyBorder="1" applyAlignment="1">
      <alignment vertical="center"/>
    </xf>
    <xf numFmtId="0" fontId="16" fillId="0" borderId="20" xfId="0" applyFont="1" applyFill="1" applyBorder="1" applyAlignment="1">
      <alignment horizontal="left" vertical="center"/>
    </xf>
    <xf numFmtId="14" fontId="16" fillId="0" borderId="20" xfId="0" applyNumberFormat="1" applyFont="1" applyFill="1" applyBorder="1" applyAlignment="1">
      <alignment horizontal="left" vertical="center"/>
    </xf>
    <xf numFmtId="0" fontId="16" fillId="0" borderId="20" xfId="0" applyFont="1" applyFill="1" applyBorder="1" applyAlignment="1">
      <alignment horizontal="left" vertical="center" wrapText="1"/>
    </xf>
    <xf numFmtId="0" fontId="16" fillId="0" borderId="19" xfId="0" applyFont="1" applyBorder="1" applyAlignment="1">
      <alignment vertical="center"/>
    </xf>
    <xf numFmtId="0" fontId="14" fillId="7" borderId="22" xfId="0" applyFont="1" applyFill="1" applyBorder="1" applyAlignment="1">
      <alignment vertical="center"/>
    </xf>
    <xf numFmtId="0" fontId="16" fillId="0" borderId="0" xfId="0" applyFont="1" applyBorder="1" applyAlignment="1">
      <alignment vertical="center"/>
    </xf>
    <xf numFmtId="0" fontId="14" fillId="7" borderId="24" xfId="0" applyFont="1" applyFill="1" applyBorder="1" applyAlignment="1">
      <alignment vertical="center"/>
    </xf>
    <xf numFmtId="0" fontId="16" fillId="0" borderId="26" xfId="0" applyFont="1" applyFill="1" applyBorder="1" applyAlignment="1">
      <alignment vertical="center"/>
    </xf>
    <xf numFmtId="0" fontId="16" fillId="0" borderId="26" xfId="0" applyFont="1" applyFill="1" applyBorder="1" applyAlignment="1">
      <alignment horizontal="left" vertical="center"/>
    </xf>
    <xf numFmtId="14" fontId="16" fillId="0" borderId="26" xfId="0" applyNumberFormat="1" applyFont="1" applyFill="1" applyBorder="1" applyAlignment="1">
      <alignment horizontal="left" vertical="center"/>
    </xf>
    <xf numFmtId="0" fontId="16" fillId="0" borderId="26" xfId="0" applyFont="1" applyFill="1" applyBorder="1" applyAlignment="1">
      <alignment horizontal="left" vertical="center" wrapText="1"/>
    </xf>
    <xf numFmtId="0" fontId="16" fillId="0" borderId="25" xfId="0" applyFont="1" applyBorder="1" applyAlignment="1">
      <alignment vertical="center"/>
    </xf>
    <xf numFmtId="0" fontId="11" fillId="0" borderId="20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16" fillId="0" borderId="20" xfId="0" applyNumberFormat="1" applyFont="1" applyFill="1" applyBorder="1" applyAlignment="1">
      <alignment horizontal="left" vertical="center" wrapText="1"/>
    </xf>
    <xf numFmtId="0" fontId="16" fillId="0" borderId="26" xfId="0" applyNumberFormat="1" applyFont="1" applyFill="1" applyBorder="1" applyAlignment="1">
      <alignment horizontal="left" vertical="center" wrapText="1"/>
    </xf>
    <xf numFmtId="0" fontId="16" fillId="0" borderId="1" xfId="0" applyFont="1" applyFill="1" applyBorder="1" applyAlignment="1">
      <alignment vertical="center"/>
    </xf>
    <xf numFmtId="0" fontId="11" fillId="0" borderId="1" xfId="0" applyFont="1" applyBorder="1" applyAlignment="1">
      <alignment vertical="center"/>
    </xf>
    <xf numFmtId="0" fontId="16" fillId="32" borderId="1" xfId="0" applyFont="1" applyFill="1" applyBorder="1" applyAlignment="1">
      <alignment vertical="center"/>
    </xf>
    <xf numFmtId="0" fontId="16" fillId="0" borderId="1" xfId="0" applyFont="1" applyFill="1" applyBorder="1" applyAlignment="1">
      <alignment horizontal="left" vertical="center"/>
    </xf>
    <xf numFmtId="14" fontId="16" fillId="0" borderId="1" xfId="0" applyNumberFormat="1" applyFont="1" applyFill="1" applyBorder="1" applyAlignment="1">
      <alignment horizontal="left" vertical="center"/>
    </xf>
    <xf numFmtId="0" fontId="16" fillId="0" borderId="1" xfId="0" applyNumberFormat="1" applyFont="1" applyFill="1" applyBorder="1" applyAlignment="1">
      <alignment horizontal="left" vertical="center" wrapText="1"/>
    </xf>
    <xf numFmtId="0" fontId="16" fillId="0" borderId="1" xfId="0" applyFont="1" applyFill="1" applyBorder="1" applyAlignment="1">
      <alignment horizontal="left" vertical="center" wrapText="1"/>
    </xf>
    <xf numFmtId="0" fontId="14" fillId="7" borderId="79" xfId="0" applyFont="1" applyFill="1" applyBorder="1" applyAlignment="1">
      <alignment vertical="center"/>
    </xf>
    <xf numFmtId="0" fontId="14" fillId="7" borderId="80" xfId="0" applyFont="1" applyFill="1" applyBorder="1" applyAlignment="1">
      <alignment vertical="center"/>
    </xf>
    <xf numFmtId="0" fontId="14" fillId="7" borderId="81" xfId="0" applyFont="1" applyFill="1" applyBorder="1" applyAlignment="1">
      <alignment vertical="center"/>
    </xf>
    <xf numFmtId="0" fontId="14" fillId="7" borderId="82" xfId="0" applyFont="1" applyFill="1" applyBorder="1" applyAlignment="1">
      <alignment vertical="center"/>
    </xf>
    <xf numFmtId="0" fontId="16" fillId="31" borderId="20" xfId="0" applyFont="1" applyFill="1" applyBorder="1" applyAlignment="1">
      <alignment vertical="center"/>
    </xf>
    <xf numFmtId="0" fontId="16" fillId="31" borderId="20" xfId="0" applyFont="1" applyFill="1" applyBorder="1" applyAlignment="1">
      <alignment horizontal="left" vertical="center"/>
    </xf>
    <xf numFmtId="0" fontId="16" fillId="31" borderId="4" xfId="0" applyFont="1" applyFill="1" applyBorder="1" applyAlignment="1">
      <alignment horizontal="left" vertical="center"/>
    </xf>
    <xf numFmtId="0" fontId="16" fillId="31" borderId="26" xfId="0" applyFont="1" applyFill="1" applyBorder="1" applyAlignment="1">
      <alignment horizontal="left" vertical="center"/>
    </xf>
    <xf numFmtId="0" fontId="16" fillId="31" borderId="1" xfId="0" applyFont="1" applyFill="1" applyBorder="1" applyAlignment="1">
      <alignment horizontal="left" vertical="center"/>
    </xf>
    <xf numFmtId="0" fontId="16" fillId="31" borderId="7" xfId="0" applyFont="1" applyFill="1" applyBorder="1" applyAlignment="1">
      <alignment horizontal="left" vertical="center"/>
    </xf>
    <xf numFmtId="0" fontId="16" fillId="13" borderId="4" xfId="0" applyFont="1" applyFill="1" applyBorder="1" applyAlignment="1">
      <alignment vertical="center"/>
    </xf>
    <xf numFmtId="0" fontId="16" fillId="33" borderId="4" xfId="0" applyFont="1" applyFill="1" applyBorder="1" applyAlignment="1">
      <alignment vertical="center"/>
    </xf>
    <xf numFmtId="0" fontId="6" fillId="34" borderId="77" xfId="0" applyFont="1" applyFill="1" applyBorder="1" applyAlignment="1">
      <alignment vertical="center"/>
    </xf>
    <xf numFmtId="0" fontId="6" fillId="34" borderId="6" xfId="0" applyFont="1" applyFill="1" applyBorder="1" applyAlignment="1">
      <alignment vertical="center"/>
    </xf>
    <xf numFmtId="0" fontId="6" fillId="34" borderId="78" xfId="0" applyFont="1" applyFill="1" applyBorder="1" applyAlignment="1">
      <alignment vertical="center"/>
    </xf>
    <xf numFmtId="0" fontId="6" fillId="34" borderId="37" xfId="0" applyFont="1" applyFill="1" applyBorder="1" applyAlignment="1">
      <alignment vertical="center"/>
    </xf>
    <xf numFmtId="0" fontId="6" fillId="34" borderId="31" xfId="0" applyFont="1" applyFill="1" applyBorder="1" applyAlignment="1">
      <alignment vertical="center"/>
    </xf>
    <xf numFmtId="0" fontId="31" fillId="14" borderId="4" xfId="0" applyFont="1" applyFill="1" applyBorder="1"/>
    <xf numFmtId="38" fontId="16" fillId="14" borderId="4" xfId="628" applyFont="1" applyFill="1" applyBorder="1" applyAlignment="1"/>
    <xf numFmtId="0" fontId="16" fillId="31" borderId="74" xfId="0" applyFont="1" applyFill="1" applyBorder="1" applyAlignment="1">
      <alignment vertical="center"/>
    </xf>
    <xf numFmtId="0" fontId="16" fillId="31" borderId="7" xfId="0" applyFont="1" applyFill="1" applyBorder="1" applyAlignment="1">
      <alignment vertical="center"/>
    </xf>
    <xf numFmtId="0" fontId="16" fillId="0" borderId="7" xfId="0" applyFont="1" applyFill="1" applyBorder="1" applyAlignment="1">
      <alignment horizontal="left" vertical="center" wrapText="1"/>
    </xf>
    <xf numFmtId="0" fontId="16" fillId="31" borderId="4" xfId="0" applyFont="1" applyFill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31" borderId="26" xfId="0" applyFont="1" applyFill="1" applyBorder="1" applyAlignment="1">
      <alignment vertical="center"/>
    </xf>
    <xf numFmtId="0" fontId="16" fillId="0" borderId="26" xfId="0" applyFont="1" applyBorder="1" applyAlignment="1">
      <alignment vertical="center"/>
    </xf>
    <xf numFmtId="0" fontId="16" fillId="31" borderId="1" xfId="0" applyFont="1" applyFill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6" fillId="31" borderId="83" xfId="0" applyFont="1" applyFill="1" applyBorder="1" applyAlignment="1">
      <alignment vertical="center"/>
    </xf>
    <xf numFmtId="0" fontId="14" fillId="13" borderId="79" xfId="0" applyFont="1" applyFill="1" applyBorder="1" applyAlignment="1">
      <alignment vertical="center"/>
    </xf>
    <xf numFmtId="0" fontId="16" fillId="13" borderId="20" xfId="0" applyFont="1" applyFill="1" applyBorder="1" applyAlignment="1">
      <alignment vertical="center"/>
    </xf>
    <xf numFmtId="0" fontId="16" fillId="13" borderId="20" xfId="0" applyFont="1" applyFill="1" applyBorder="1" applyAlignment="1">
      <alignment horizontal="left" vertical="center"/>
    </xf>
    <xf numFmtId="0" fontId="11" fillId="13" borderId="4" xfId="0" applyFont="1" applyFill="1" applyBorder="1" applyAlignment="1">
      <alignment vertical="center"/>
    </xf>
    <xf numFmtId="14" fontId="16" fillId="13" borderId="20" xfId="0" applyNumberFormat="1" applyFont="1" applyFill="1" applyBorder="1" applyAlignment="1">
      <alignment horizontal="left" vertical="center"/>
    </xf>
    <xf numFmtId="0" fontId="16" fillId="13" borderId="20" xfId="0" applyNumberFormat="1" applyFont="1" applyFill="1" applyBorder="1" applyAlignment="1">
      <alignment horizontal="left" vertical="center" wrapText="1"/>
    </xf>
    <xf numFmtId="0" fontId="16" fillId="13" borderId="19" xfId="0" applyFont="1" applyFill="1" applyBorder="1" applyAlignment="1">
      <alignment vertical="center"/>
    </xf>
    <xf numFmtId="0" fontId="27" fillId="35" borderId="4" xfId="0" applyFont="1" applyFill="1" applyBorder="1"/>
    <xf numFmtId="0" fontId="51" fillId="0" borderId="4" xfId="0" applyFont="1" applyFill="1" applyBorder="1" applyAlignment="1">
      <alignment vertical="center"/>
    </xf>
  </cellXfs>
  <cellStyles count="980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赤字強調" xfId="431"/>
    <cellStyle name="青字強調" xfId="43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48701</v>
          </cell>
        </row>
        <row r="247">
          <cell r="A247">
            <v>41001</v>
          </cell>
        </row>
        <row r="248">
          <cell r="A248">
            <v>41002</v>
          </cell>
        </row>
        <row r="249">
          <cell r="A249">
            <v>41003</v>
          </cell>
        </row>
        <row r="250">
          <cell r="A250">
            <v>41004</v>
          </cell>
        </row>
        <row r="251">
          <cell r="A251">
            <v>41005</v>
          </cell>
        </row>
        <row r="252">
          <cell r="A252">
            <v>41006</v>
          </cell>
        </row>
        <row r="253">
          <cell r="A253">
            <v>41007</v>
          </cell>
        </row>
        <row r="254">
          <cell r="A254">
            <v>41008</v>
          </cell>
        </row>
        <row r="255">
          <cell r="A255">
            <v>41009</v>
          </cell>
        </row>
        <row r="256">
          <cell r="A256">
            <v>41010</v>
          </cell>
        </row>
        <row r="257">
          <cell r="A257">
            <v>41011</v>
          </cell>
        </row>
        <row r="258">
          <cell r="A258">
            <v>41012</v>
          </cell>
        </row>
        <row r="259">
          <cell r="A259">
            <v>41013</v>
          </cell>
        </row>
        <row r="260">
          <cell r="A260">
            <v>41014</v>
          </cell>
        </row>
        <row r="261">
          <cell r="A261">
            <v>41015</v>
          </cell>
        </row>
        <row r="262">
          <cell r="A262">
            <v>47001</v>
          </cell>
        </row>
        <row r="263">
          <cell r="A263">
            <v>47002</v>
          </cell>
        </row>
        <row r="264">
          <cell r="A264">
            <v>47003</v>
          </cell>
        </row>
        <row r="265">
          <cell r="A265">
            <v>47004</v>
          </cell>
        </row>
        <row r="266">
          <cell r="A266">
            <v>47005</v>
          </cell>
        </row>
        <row r="267">
          <cell r="A267">
            <v>47006</v>
          </cell>
        </row>
        <row r="268">
          <cell r="A268">
            <v>47007</v>
          </cell>
        </row>
        <row r="269">
          <cell r="A269">
            <v>47008</v>
          </cell>
        </row>
        <row r="270">
          <cell r="A270">
            <v>47009</v>
          </cell>
        </row>
        <row r="271">
          <cell r="A271">
            <v>47010</v>
          </cell>
        </row>
        <row r="272">
          <cell r="A272">
            <v>47011</v>
          </cell>
        </row>
        <row r="273">
          <cell r="A273">
            <v>49001</v>
          </cell>
        </row>
        <row r="274">
          <cell r="A274">
            <v>49002</v>
          </cell>
        </row>
        <row r="275">
          <cell r="A275">
            <v>49003</v>
          </cell>
        </row>
        <row r="276">
          <cell r="A276">
            <v>49004</v>
          </cell>
        </row>
        <row r="277">
          <cell r="A277">
            <v>49005</v>
          </cell>
        </row>
        <row r="278">
          <cell r="A278">
            <v>49006</v>
          </cell>
        </row>
        <row r="279">
          <cell r="A279">
            <v>49007</v>
          </cell>
        </row>
        <row r="280">
          <cell r="A280">
            <v>49008</v>
          </cell>
        </row>
        <row r="281">
          <cell r="A281">
            <v>49009</v>
          </cell>
        </row>
        <row r="282">
          <cell r="A282">
            <v>49010</v>
          </cell>
        </row>
        <row r="283">
          <cell r="A283">
            <v>49011</v>
          </cell>
        </row>
        <row r="284">
          <cell r="A284">
            <v>49012</v>
          </cell>
        </row>
        <row r="285">
          <cell r="A285">
            <v>49013</v>
          </cell>
        </row>
        <row r="286">
          <cell r="A286">
            <v>49014</v>
          </cell>
        </row>
        <row r="287">
          <cell r="A287">
            <v>49015</v>
          </cell>
        </row>
        <row r="288">
          <cell r="A288">
            <v>50001</v>
          </cell>
        </row>
        <row r="289">
          <cell r="A289">
            <v>50002</v>
          </cell>
        </row>
        <row r="290">
          <cell r="A290">
            <v>50003</v>
          </cell>
        </row>
        <row r="291">
          <cell r="A291">
            <v>50004</v>
          </cell>
        </row>
        <row r="292">
          <cell r="A292">
            <v>50005</v>
          </cell>
        </row>
        <row r="293">
          <cell r="A293">
            <v>50006</v>
          </cell>
        </row>
        <row r="294">
          <cell r="A294">
            <v>50007</v>
          </cell>
        </row>
        <row r="295">
          <cell r="A295">
            <v>50008</v>
          </cell>
        </row>
        <row r="296">
          <cell r="A296">
            <v>50009</v>
          </cell>
        </row>
        <row r="297">
          <cell r="A297">
            <v>50010</v>
          </cell>
        </row>
        <row r="298">
          <cell r="A298">
            <v>50011</v>
          </cell>
        </row>
        <row r="299">
          <cell r="A299">
            <v>50012</v>
          </cell>
        </row>
        <row r="300">
          <cell r="A300">
            <v>50013</v>
          </cell>
        </row>
        <row r="301">
          <cell r="A301">
            <v>50014</v>
          </cell>
        </row>
        <row r="302">
          <cell r="A302">
            <v>51001</v>
          </cell>
        </row>
        <row r="303">
          <cell r="A303">
            <v>51002</v>
          </cell>
        </row>
        <row r="304">
          <cell r="A304">
            <v>58001</v>
          </cell>
        </row>
        <row r="305">
          <cell r="A305">
            <v>59001</v>
          </cell>
        </row>
        <row r="306">
          <cell r="A306">
            <v>59002</v>
          </cell>
        </row>
        <row r="307">
          <cell r="A307">
            <v>60001</v>
          </cell>
        </row>
        <row r="308">
          <cell r="A308">
            <v>60002</v>
          </cell>
        </row>
        <row r="309">
          <cell r="A309">
            <v>60003</v>
          </cell>
        </row>
        <row r="310">
          <cell r="A310">
            <v>60004</v>
          </cell>
        </row>
        <row r="311">
          <cell r="A311">
            <v>60005</v>
          </cell>
        </row>
        <row r="312">
          <cell r="A312">
            <v>60006</v>
          </cell>
        </row>
        <row r="313">
          <cell r="A313">
            <v>60007</v>
          </cell>
        </row>
        <row r="314">
          <cell r="A314">
            <v>60010</v>
          </cell>
        </row>
        <row r="315">
          <cell r="A315">
            <v>60011</v>
          </cell>
        </row>
        <row r="316">
          <cell r="A316">
            <v>61011</v>
          </cell>
        </row>
        <row r="317">
          <cell r="A317">
            <v>60012</v>
          </cell>
        </row>
        <row r="318">
          <cell r="A318">
            <v>60013</v>
          </cell>
        </row>
        <row r="319">
          <cell r="A319">
            <v>60014</v>
          </cell>
        </row>
        <row r="320">
          <cell r="A320">
            <v>60015</v>
          </cell>
        </row>
        <row r="321">
          <cell r="A321">
            <v>60016</v>
          </cell>
        </row>
        <row r="322">
          <cell r="A322">
            <v>60017</v>
          </cell>
        </row>
        <row r="323">
          <cell r="A323">
            <v>60018</v>
          </cell>
        </row>
        <row r="324">
          <cell r="A324">
            <v>60019</v>
          </cell>
        </row>
        <row r="325">
          <cell r="A325">
            <v>60020</v>
          </cell>
        </row>
        <row r="326">
          <cell r="A326">
            <v>60025</v>
          </cell>
        </row>
        <row r="327">
          <cell r="A327">
            <v>60026</v>
          </cell>
        </row>
        <row r="328">
          <cell r="A328">
            <v>60027</v>
          </cell>
        </row>
        <row r="329">
          <cell r="A329">
            <v>60028</v>
          </cell>
        </row>
        <row r="330">
          <cell r="A330">
            <v>65525</v>
          </cell>
        </row>
        <row r="331">
          <cell r="A331">
            <v>65526</v>
          </cell>
        </row>
        <row r="332">
          <cell r="A332">
            <v>65527</v>
          </cell>
        </row>
        <row r="333">
          <cell r="A333">
            <v>65528</v>
          </cell>
        </row>
        <row r="334">
          <cell r="A334">
            <v>65529</v>
          </cell>
        </row>
        <row r="335">
          <cell r="A335">
            <v>65530</v>
          </cell>
        </row>
        <row r="336">
          <cell r="A336">
            <v>65531</v>
          </cell>
        </row>
        <row r="337">
          <cell r="A337">
            <v>65532</v>
          </cell>
        </row>
        <row r="338">
          <cell r="A338">
            <v>65533</v>
          </cell>
        </row>
        <row r="339">
          <cell r="A339">
            <v>65534</v>
          </cell>
        </row>
        <row r="340">
          <cell r="A340">
            <v>65535</v>
          </cell>
        </row>
        <row r="341">
          <cell r="A341">
            <v>60021</v>
          </cell>
        </row>
        <row r="342">
          <cell r="A342">
            <v>60022</v>
          </cell>
        </row>
        <row r="343">
          <cell r="A343">
            <v>60023</v>
          </cell>
        </row>
        <row r="344">
          <cell r="A344">
            <v>60024</v>
          </cell>
        </row>
      </sheetData>
      <sheetData sheetId="3">
        <row r="1">
          <cell r="A1" t="str">
            <v>ID</v>
          </cell>
          <cell r="D1" t="str">
            <v>name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  <cell r="B3">
            <v>3</v>
          </cell>
          <cell r="C3">
            <v>0</v>
          </cell>
          <cell r="D3" t="str">
            <v>チュートリアル</v>
          </cell>
          <cell r="E3" t="str">
            <v>チュートリアル</v>
          </cell>
          <cell r="F3">
            <v>1</v>
          </cell>
          <cell r="G3" t="str">
            <v>ja</v>
          </cell>
          <cell r="H3" t="str">
            <v>はじめてのクラッシュ</v>
          </cell>
          <cell r="I3" t="str">
            <v>チュートリアル</v>
          </cell>
          <cell r="J3" t="str">
            <v>NULL</v>
          </cell>
          <cell r="K3">
            <v>1</v>
          </cell>
          <cell r="L3">
            <v>25</v>
          </cell>
          <cell r="M3">
            <v>1</v>
          </cell>
          <cell r="N3">
            <v>1</v>
          </cell>
          <cell r="O3">
            <v>1</v>
          </cell>
          <cell r="P3">
            <v>1</v>
          </cell>
          <cell r="Q3">
            <v>1</v>
          </cell>
          <cell r="R3">
            <v>3</v>
          </cell>
          <cell r="S3" t="str">
            <v>none</v>
          </cell>
          <cell r="T3">
            <v>0</v>
          </cell>
          <cell r="U3" t="str">
            <v>NULL</v>
          </cell>
          <cell r="V3" t="str">
            <v>NULL</v>
          </cell>
          <cell r="W3" t="str">
            <v/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 t="str">
            <v>anytime</v>
          </cell>
          <cell r="AC3">
            <v>1</v>
          </cell>
          <cell r="AD3">
            <v>6</v>
          </cell>
          <cell r="AE3" t="str">
            <v>everyone</v>
          </cell>
        </row>
        <row r="4">
          <cell r="A4" t="str">
            <v>0_2</v>
          </cell>
          <cell r="B4">
            <v>3</v>
          </cell>
          <cell r="C4">
            <v>0</v>
          </cell>
          <cell r="D4" t="str">
            <v>チュートリアル</v>
          </cell>
          <cell r="E4" t="str">
            <v>チュートリアル</v>
          </cell>
          <cell r="F4">
            <v>2</v>
          </cell>
          <cell r="G4" t="str">
            <v>ja</v>
          </cell>
          <cell r="H4" t="str">
            <v>練習でクラッシュ！</v>
          </cell>
          <cell r="I4" t="str">
            <v>チュートリアル</v>
          </cell>
          <cell r="J4" t="str">
            <v>NULL</v>
          </cell>
          <cell r="K4">
            <v>1</v>
          </cell>
          <cell r="L4">
            <v>25</v>
          </cell>
          <cell r="M4">
            <v>1</v>
          </cell>
          <cell r="N4">
            <v>1</v>
          </cell>
          <cell r="O4">
            <v>1</v>
          </cell>
          <cell r="P4">
            <v>1</v>
          </cell>
          <cell r="Q4">
            <v>1</v>
          </cell>
          <cell r="R4">
            <v>3</v>
          </cell>
          <cell r="S4" t="str">
            <v>none</v>
          </cell>
          <cell r="T4">
            <v>0</v>
          </cell>
          <cell r="U4">
            <v>0</v>
          </cell>
          <cell r="V4">
            <v>1</v>
          </cell>
          <cell r="W4" t="str">
            <v>はじめてのクラッシュ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 t="str">
            <v>anytime</v>
          </cell>
          <cell r="AC4">
            <v>2</v>
          </cell>
          <cell r="AD4">
            <v>6</v>
          </cell>
          <cell r="AE4" t="str">
            <v>everyone</v>
          </cell>
        </row>
        <row r="5">
          <cell r="A5" t="str">
            <v>1_1</v>
          </cell>
          <cell r="B5">
            <v>3</v>
          </cell>
          <cell r="C5">
            <v>1</v>
          </cell>
          <cell r="D5" t="str">
            <v>1．ALICEの入り口</v>
          </cell>
          <cell r="E5" t="str">
            <v>混色DL0</v>
          </cell>
          <cell r="F5">
            <v>1</v>
          </cell>
          <cell r="G5" t="str">
            <v>ja</v>
          </cell>
          <cell r="H5" t="str">
            <v>1-1. はじまりの外壁</v>
          </cell>
          <cell r="I5" t="str">
            <v>教育</v>
          </cell>
          <cell r="J5" t="str">
            <v>NULL</v>
          </cell>
          <cell r="K5">
            <v>3</v>
          </cell>
          <cell r="L5">
            <v>140</v>
          </cell>
          <cell r="M5">
            <v>1</v>
          </cell>
          <cell r="N5">
            <v>1</v>
          </cell>
          <cell r="O5">
            <v>1</v>
          </cell>
          <cell r="P5">
            <v>1</v>
          </cell>
          <cell r="Q5">
            <v>1</v>
          </cell>
          <cell r="R5">
            <v>3</v>
          </cell>
          <cell r="S5" t="str">
            <v>none</v>
          </cell>
          <cell r="T5">
            <v>0</v>
          </cell>
          <cell r="U5">
            <v>0</v>
          </cell>
          <cell r="V5">
            <v>2</v>
          </cell>
          <cell r="W5" t="str">
            <v>練習でクラッシュ！</v>
          </cell>
          <cell r="X5">
            <v>1</v>
          </cell>
          <cell r="Y5">
            <v>1</v>
          </cell>
          <cell r="Z5">
            <v>1</v>
          </cell>
          <cell r="AA5">
            <v>1</v>
          </cell>
          <cell r="AB5" t="str">
            <v>anytime</v>
          </cell>
          <cell r="AC5">
            <v>1</v>
          </cell>
          <cell r="AD5">
            <v>6</v>
          </cell>
          <cell r="AE5" t="str">
            <v>everyone</v>
          </cell>
        </row>
        <row r="6">
          <cell r="A6" t="str">
            <v>1_2</v>
          </cell>
          <cell r="B6">
            <v>3</v>
          </cell>
          <cell r="C6">
            <v>1</v>
          </cell>
          <cell r="D6" t="str">
            <v>1．ALICEの入り口</v>
          </cell>
          <cell r="E6" t="str">
            <v>混色DL0</v>
          </cell>
          <cell r="F6">
            <v>2</v>
          </cell>
          <cell r="G6" t="str">
            <v>ja</v>
          </cell>
          <cell r="H6" t="str">
            <v>1-2. 手荒い出迎え</v>
          </cell>
          <cell r="I6" t="str">
            <v>教育</v>
          </cell>
          <cell r="J6" t="str">
            <v>NULL</v>
          </cell>
          <cell r="K6">
            <v>4</v>
          </cell>
          <cell r="L6">
            <v>180</v>
          </cell>
          <cell r="M6">
            <v>1</v>
          </cell>
          <cell r="N6">
            <v>1</v>
          </cell>
          <cell r="O6">
            <v>1</v>
          </cell>
          <cell r="P6">
            <v>1</v>
          </cell>
          <cell r="Q6">
            <v>1</v>
          </cell>
          <cell r="R6">
            <v>3</v>
          </cell>
          <cell r="S6" t="str">
            <v>none</v>
          </cell>
          <cell r="T6">
            <v>0</v>
          </cell>
          <cell r="U6">
            <v>1</v>
          </cell>
          <cell r="V6">
            <v>1</v>
          </cell>
          <cell r="W6" t="str">
            <v>1-1. はじまりの外壁</v>
          </cell>
          <cell r="X6">
            <v>1</v>
          </cell>
          <cell r="Y6">
            <v>1</v>
          </cell>
          <cell r="Z6">
            <v>1</v>
          </cell>
          <cell r="AA6">
            <v>1</v>
          </cell>
          <cell r="AB6" t="str">
            <v>anytime</v>
          </cell>
          <cell r="AC6">
            <v>1</v>
          </cell>
          <cell r="AD6">
            <v>6</v>
          </cell>
          <cell r="AE6" t="str">
            <v>everyone</v>
          </cell>
        </row>
        <row r="7">
          <cell r="A7" t="str">
            <v>1_3</v>
          </cell>
          <cell r="B7">
            <v>3</v>
          </cell>
          <cell r="C7">
            <v>1</v>
          </cell>
          <cell r="D7" t="str">
            <v>1．ALICEの入り口</v>
          </cell>
          <cell r="E7" t="str">
            <v>混色DL0</v>
          </cell>
          <cell r="F7">
            <v>3</v>
          </cell>
          <cell r="G7" t="str">
            <v>ja</v>
          </cell>
          <cell r="H7" t="str">
            <v>1-3. ゲートの番犬</v>
          </cell>
          <cell r="I7" t="str">
            <v>教育</v>
          </cell>
          <cell r="J7" t="str">
            <v>NULL</v>
          </cell>
          <cell r="K7">
            <v>5</v>
          </cell>
          <cell r="L7">
            <v>220</v>
          </cell>
          <cell r="M7">
            <v>1</v>
          </cell>
          <cell r="N7">
            <v>1</v>
          </cell>
          <cell r="O7">
            <v>1</v>
          </cell>
          <cell r="P7">
            <v>1</v>
          </cell>
          <cell r="Q7">
            <v>1</v>
          </cell>
          <cell r="R7">
            <v>3</v>
          </cell>
          <cell r="S7" t="str">
            <v>none</v>
          </cell>
          <cell r="T7">
            <v>0</v>
          </cell>
          <cell r="U7">
            <v>1</v>
          </cell>
          <cell r="V7">
            <v>2</v>
          </cell>
          <cell r="W7" t="str">
            <v>1-2. 手荒い出迎え</v>
          </cell>
          <cell r="X7">
            <v>1</v>
          </cell>
          <cell r="Y7">
            <v>1</v>
          </cell>
          <cell r="Z7">
            <v>1</v>
          </cell>
          <cell r="AA7">
            <v>1</v>
          </cell>
          <cell r="AB7" t="str">
            <v>anytime</v>
          </cell>
          <cell r="AC7">
            <v>1</v>
          </cell>
          <cell r="AD7">
            <v>6</v>
          </cell>
          <cell r="AE7" t="str">
            <v>everyone</v>
          </cell>
        </row>
        <row r="8">
          <cell r="A8" t="str">
            <v>1_4</v>
          </cell>
          <cell r="B8">
            <v>3</v>
          </cell>
          <cell r="C8">
            <v>1</v>
          </cell>
          <cell r="D8" t="str">
            <v>1．ALICEの入り口</v>
          </cell>
          <cell r="E8" t="str">
            <v>混色DL0</v>
          </cell>
          <cell r="F8">
            <v>4</v>
          </cell>
          <cell r="G8" t="str">
            <v>ja</v>
          </cell>
          <cell r="H8" t="str">
            <v>1-4. 【1回のみ】ボーナスステージ</v>
          </cell>
          <cell r="I8" t="str">
            <v>ボーナス</v>
          </cell>
          <cell r="J8">
            <v>333</v>
          </cell>
          <cell r="K8">
            <v>1</v>
          </cell>
          <cell r="L8">
            <v>1</v>
          </cell>
          <cell r="M8">
            <v>1</v>
          </cell>
          <cell r="N8">
            <v>1</v>
          </cell>
          <cell r="O8">
            <v>1</v>
          </cell>
          <cell r="P8">
            <v>1</v>
          </cell>
          <cell r="Q8">
            <v>1</v>
          </cell>
          <cell r="R8">
            <v>3</v>
          </cell>
          <cell r="S8" t="str">
            <v>none</v>
          </cell>
          <cell r="T8">
            <v>0</v>
          </cell>
          <cell r="U8">
            <v>1</v>
          </cell>
          <cell r="V8">
            <v>3</v>
          </cell>
          <cell r="W8" t="str">
            <v>1-3. ゲートの番犬</v>
          </cell>
          <cell r="X8">
            <v>1</v>
          </cell>
          <cell r="Y8">
            <v>1</v>
          </cell>
          <cell r="Z8">
            <v>1</v>
          </cell>
          <cell r="AA8">
            <v>1</v>
          </cell>
          <cell r="AB8" t="str">
            <v>once</v>
          </cell>
          <cell r="AC8">
            <v>1</v>
          </cell>
          <cell r="AD8">
            <v>6</v>
          </cell>
          <cell r="AE8" t="str">
            <v>singleonly</v>
          </cell>
        </row>
        <row r="9">
          <cell r="A9" t="str">
            <v>2_1</v>
          </cell>
          <cell r="B9">
            <v>3</v>
          </cell>
          <cell r="C9">
            <v>2</v>
          </cell>
          <cell r="D9" t="str">
            <v>2．火之柄神社</v>
          </cell>
          <cell r="E9" t="str">
            <v>赤DL1</v>
          </cell>
          <cell r="F9">
            <v>1</v>
          </cell>
          <cell r="G9" t="str">
            <v>ja</v>
          </cell>
          <cell r="H9" t="str">
            <v>2-1. 悪戯な炎</v>
          </cell>
          <cell r="J9" t="str">
            <v>NULL</v>
          </cell>
          <cell r="K9">
            <v>3</v>
          </cell>
          <cell r="L9">
            <v>160</v>
          </cell>
          <cell r="M9">
            <v>1</v>
          </cell>
          <cell r="N9">
            <v>1</v>
          </cell>
          <cell r="O9">
            <v>1</v>
          </cell>
          <cell r="P9">
            <v>1</v>
          </cell>
          <cell r="Q9">
            <v>1</v>
          </cell>
          <cell r="R9">
            <v>3</v>
          </cell>
          <cell r="S9" t="str">
            <v>none</v>
          </cell>
          <cell r="T9">
            <v>0</v>
          </cell>
          <cell r="U9">
            <v>1</v>
          </cell>
          <cell r="V9">
            <v>4</v>
          </cell>
          <cell r="W9" t="str">
            <v>1-4. 【1回のみ】ボーナスステージ</v>
          </cell>
          <cell r="X9">
            <v>1</v>
          </cell>
          <cell r="Y9">
            <v>0</v>
          </cell>
          <cell r="Z9">
            <v>0</v>
          </cell>
          <cell r="AA9">
            <v>0</v>
          </cell>
          <cell r="AB9" t="str">
            <v>anytime</v>
          </cell>
          <cell r="AC9">
            <v>2</v>
          </cell>
          <cell r="AD9">
            <v>6</v>
          </cell>
          <cell r="AE9" t="str">
            <v>everyone</v>
          </cell>
        </row>
        <row r="10">
          <cell r="A10" t="str">
            <v>2_2</v>
          </cell>
          <cell r="B10">
            <v>3</v>
          </cell>
          <cell r="C10">
            <v>2</v>
          </cell>
          <cell r="D10" t="str">
            <v>2．火之柄神社</v>
          </cell>
          <cell r="E10" t="str">
            <v>赤DL1</v>
          </cell>
          <cell r="F10">
            <v>2</v>
          </cell>
          <cell r="G10" t="str">
            <v>ja</v>
          </cell>
          <cell r="H10" t="str">
            <v>2-2. 火線のファンタジスタ</v>
          </cell>
          <cell r="J10" t="str">
            <v>NULL</v>
          </cell>
          <cell r="K10">
            <v>4</v>
          </cell>
          <cell r="L10">
            <v>200</v>
          </cell>
          <cell r="M10">
            <v>1</v>
          </cell>
          <cell r="N10">
            <v>1</v>
          </cell>
          <cell r="O10">
            <v>1</v>
          </cell>
          <cell r="P10">
            <v>1</v>
          </cell>
          <cell r="Q10">
            <v>1</v>
          </cell>
          <cell r="R10">
            <v>3</v>
          </cell>
          <cell r="S10" t="str">
            <v>none</v>
          </cell>
          <cell r="T10">
            <v>0</v>
          </cell>
          <cell r="U10">
            <v>2</v>
          </cell>
          <cell r="V10">
            <v>1</v>
          </cell>
          <cell r="W10" t="str">
            <v>2-1. 悪戯な炎</v>
          </cell>
          <cell r="X10">
            <v>1</v>
          </cell>
          <cell r="Y10">
            <v>0</v>
          </cell>
          <cell r="Z10">
            <v>0</v>
          </cell>
          <cell r="AA10">
            <v>0</v>
          </cell>
          <cell r="AB10" t="str">
            <v>anytime</v>
          </cell>
          <cell r="AC10">
            <v>2</v>
          </cell>
          <cell r="AD10">
            <v>6</v>
          </cell>
          <cell r="AE10" t="str">
            <v>everyone</v>
          </cell>
        </row>
        <row r="11">
          <cell r="A11" t="str">
            <v>2_3</v>
          </cell>
          <cell r="B11">
            <v>3</v>
          </cell>
          <cell r="C11">
            <v>2</v>
          </cell>
          <cell r="D11" t="str">
            <v>2．火之柄神社</v>
          </cell>
          <cell r="E11" t="str">
            <v>赤DL1</v>
          </cell>
          <cell r="F11">
            <v>3</v>
          </cell>
          <cell r="G11" t="str">
            <v>ja</v>
          </cell>
          <cell r="H11" t="str">
            <v>2-3. 妖炎の誘い</v>
          </cell>
          <cell r="J11" t="str">
            <v>NULL</v>
          </cell>
          <cell r="K11">
            <v>5</v>
          </cell>
          <cell r="L11">
            <v>240</v>
          </cell>
          <cell r="M11">
            <v>1</v>
          </cell>
          <cell r="N11">
            <v>1</v>
          </cell>
          <cell r="O11">
            <v>1</v>
          </cell>
          <cell r="P11">
            <v>1</v>
          </cell>
          <cell r="Q11">
            <v>1</v>
          </cell>
          <cell r="R11">
            <v>3</v>
          </cell>
          <cell r="S11" t="str">
            <v>none</v>
          </cell>
          <cell r="T11">
            <v>0</v>
          </cell>
          <cell r="U11">
            <v>2</v>
          </cell>
          <cell r="V11">
            <v>2</v>
          </cell>
          <cell r="W11" t="str">
            <v>2-2. 火線のファンタジスタ</v>
          </cell>
          <cell r="X11">
            <v>1</v>
          </cell>
          <cell r="Y11">
            <v>0</v>
          </cell>
          <cell r="Z11">
            <v>0</v>
          </cell>
          <cell r="AA11">
            <v>0</v>
          </cell>
          <cell r="AB11" t="str">
            <v>anytime</v>
          </cell>
          <cell r="AC11">
            <v>2</v>
          </cell>
          <cell r="AD11">
            <v>6</v>
          </cell>
          <cell r="AE11" t="str">
            <v>everyone</v>
          </cell>
        </row>
        <row r="12">
          <cell r="A12" t="str">
            <v>2_4</v>
          </cell>
          <cell r="B12">
            <v>3</v>
          </cell>
          <cell r="C12">
            <v>2</v>
          </cell>
          <cell r="D12" t="str">
            <v>2．火之柄神社</v>
          </cell>
          <cell r="E12" t="str">
            <v>赤DL1</v>
          </cell>
          <cell r="F12">
            <v>4</v>
          </cell>
          <cell r="G12" t="str">
            <v>ja</v>
          </cell>
          <cell r="H12" t="str">
            <v>2-4. 【1回のみ】ボーナスステージ</v>
          </cell>
          <cell r="I12" t="str">
            <v>ボーナス</v>
          </cell>
          <cell r="J12">
            <v>117</v>
          </cell>
          <cell r="K12">
            <v>1</v>
          </cell>
          <cell r="L12">
            <v>1</v>
          </cell>
          <cell r="M12">
            <v>1</v>
          </cell>
          <cell r="N12">
            <v>1</v>
          </cell>
          <cell r="O12">
            <v>1</v>
          </cell>
          <cell r="P12">
            <v>1</v>
          </cell>
          <cell r="Q12">
            <v>1</v>
          </cell>
          <cell r="R12">
            <v>3</v>
          </cell>
          <cell r="S12" t="str">
            <v>none</v>
          </cell>
          <cell r="T12">
            <v>0</v>
          </cell>
          <cell r="U12">
            <v>2</v>
          </cell>
          <cell r="V12">
            <v>3</v>
          </cell>
          <cell r="W12" t="str">
            <v>2-3. 妖炎の誘い</v>
          </cell>
          <cell r="X12">
            <v>1</v>
          </cell>
          <cell r="Y12">
            <v>0</v>
          </cell>
          <cell r="Z12">
            <v>0</v>
          </cell>
          <cell r="AA12">
            <v>0</v>
          </cell>
          <cell r="AB12" t="str">
            <v>once</v>
          </cell>
          <cell r="AC12">
            <v>2</v>
          </cell>
          <cell r="AD12">
            <v>6</v>
          </cell>
          <cell r="AE12" t="str">
            <v>singleonly</v>
          </cell>
        </row>
        <row r="13">
          <cell r="A13" t="str">
            <v>3_1</v>
          </cell>
          <cell r="B13">
            <v>3</v>
          </cell>
          <cell r="C13">
            <v>3</v>
          </cell>
          <cell r="D13" t="str">
            <v>3．グリーンモール</v>
          </cell>
          <cell r="E13" t="str">
            <v>緑DL1</v>
          </cell>
          <cell r="F13">
            <v>1</v>
          </cell>
          <cell r="G13" t="str">
            <v>ja</v>
          </cell>
          <cell r="H13" t="str">
            <v>3-1. 緑の警備員</v>
          </cell>
          <cell r="J13" t="str">
            <v>NULL</v>
          </cell>
          <cell r="K13">
            <v>4</v>
          </cell>
          <cell r="L13">
            <v>160</v>
          </cell>
          <cell r="M13">
            <v>1</v>
          </cell>
          <cell r="N13">
            <v>1</v>
          </cell>
          <cell r="O13">
            <v>1</v>
          </cell>
          <cell r="P13">
            <v>1</v>
          </cell>
          <cell r="Q13">
            <v>1</v>
          </cell>
          <cell r="R13">
            <v>3</v>
          </cell>
          <cell r="S13" t="str">
            <v>none</v>
          </cell>
          <cell r="T13">
            <v>0</v>
          </cell>
          <cell r="U13">
            <v>2</v>
          </cell>
          <cell r="V13">
            <v>4</v>
          </cell>
          <cell r="W13" t="str">
            <v>2-4. 【1回のみ】ボーナスステージ</v>
          </cell>
          <cell r="X13">
            <v>0</v>
          </cell>
          <cell r="Y13">
            <v>0</v>
          </cell>
          <cell r="Z13">
            <v>1</v>
          </cell>
          <cell r="AA13">
            <v>0</v>
          </cell>
          <cell r="AB13" t="str">
            <v>anytime</v>
          </cell>
          <cell r="AC13">
            <v>3</v>
          </cell>
          <cell r="AD13">
            <v>6</v>
          </cell>
          <cell r="AE13" t="str">
            <v>everyone</v>
          </cell>
        </row>
        <row r="14">
          <cell r="A14" t="str">
            <v>3_2</v>
          </cell>
          <cell r="B14">
            <v>3</v>
          </cell>
          <cell r="C14">
            <v>3</v>
          </cell>
          <cell r="D14" t="str">
            <v>3．グリーンモール</v>
          </cell>
          <cell r="E14" t="str">
            <v>緑DL1</v>
          </cell>
          <cell r="F14">
            <v>2</v>
          </cell>
          <cell r="G14" t="str">
            <v>ja</v>
          </cell>
          <cell r="H14" t="str">
            <v>3-2. 買い物好きの刺客</v>
          </cell>
          <cell r="J14" t="str">
            <v>NULL</v>
          </cell>
          <cell r="K14">
            <v>5</v>
          </cell>
          <cell r="L14">
            <v>200</v>
          </cell>
          <cell r="M14">
            <v>1</v>
          </cell>
          <cell r="N14">
            <v>1</v>
          </cell>
          <cell r="O14">
            <v>1</v>
          </cell>
          <cell r="P14">
            <v>1</v>
          </cell>
          <cell r="Q14">
            <v>1</v>
          </cell>
          <cell r="R14">
            <v>3</v>
          </cell>
          <cell r="S14" t="str">
            <v>none</v>
          </cell>
          <cell r="T14">
            <v>0</v>
          </cell>
          <cell r="U14">
            <v>3</v>
          </cell>
          <cell r="V14">
            <v>1</v>
          </cell>
          <cell r="W14" t="str">
            <v>3-1. 緑の警備員</v>
          </cell>
          <cell r="X14">
            <v>0</v>
          </cell>
          <cell r="Y14">
            <v>0</v>
          </cell>
          <cell r="Z14">
            <v>1</v>
          </cell>
          <cell r="AA14">
            <v>0</v>
          </cell>
          <cell r="AB14" t="str">
            <v>anytime</v>
          </cell>
          <cell r="AC14">
            <v>3</v>
          </cell>
          <cell r="AD14">
            <v>6</v>
          </cell>
          <cell r="AE14" t="str">
            <v>everyone</v>
          </cell>
        </row>
        <row r="15">
          <cell r="A15" t="str">
            <v>3_3</v>
          </cell>
          <cell r="B15">
            <v>3</v>
          </cell>
          <cell r="C15">
            <v>3</v>
          </cell>
          <cell r="D15" t="str">
            <v>3．グリーンモール</v>
          </cell>
          <cell r="E15" t="str">
            <v>緑DL1</v>
          </cell>
          <cell r="F15">
            <v>3</v>
          </cell>
          <cell r="G15" t="str">
            <v>ja</v>
          </cell>
          <cell r="H15" t="str">
            <v>3-3. 舞い散る木の葉</v>
          </cell>
          <cell r="J15" t="str">
            <v>NULL</v>
          </cell>
          <cell r="K15">
            <v>6</v>
          </cell>
          <cell r="L15">
            <v>240</v>
          </cell>
          <cell r="M15">
            <v>1</v>
          </cell>
          <cell r="N15">
            <v>1</v>
          </cell>
          <cell r="O15">
            <v>1</v>
          </cell>
          <cell r="P15">
            <v>1</v>
          </cell>
          <cell r="Q15">
            <v>1</v>
          </cell>
          <cell r="R15">
            <v>3</v>
          </cell>
          <cell r="S15" t="str">
            <v>none</v>
          </cell>
          <cell r="T15">
            <v>0</v>
          </cell>
          <cell r="U15">
            <v>3</v>
          </cell>
          <cell r="V15">
            <v>2</v>
          </cell>
          <cell r="W15" t="str">
            <v>3-2. 買い物好きの刺客</v>
          </cell>
          <cell r="X15">
            <v>0</v>
          </cell>
          <cell r="Y15">
            <v>0</v>
          </cell>
          <cell r="Z15">
            <v>1</v>
          </cell>
          <cell r="AA15">
            <v>0</v>
          </cell>
          <cell r="AB15" t="str">
            <v>anytime</v>
          </cell>
          <cell r="AC15">
            <v>3</v>
          </cell>
          <cell r="AD15">
            <v>6</v>
          </cell>
          <cell r="AE15" t="str">
            <v>everyone</v>
          </cell>
        </row>
        <row r="16">
          <cell r="A16" t="str">
            <v>3_4</v>
          </cell>
          <cell r="B16">
            <v>3</v>
          </cell>
          <cell r="C16">
            <v>3</v>
          </cell>
          <cell r="D16" t="str">
            <v>3．グリーンモール</v>
          </cell>
          <cell r="E16" t="str">
            <v>緑DL1</v>
          </cell>
          <cell r="F16">
            <v>4</v>
          </cell>
          <cell r="G16" t="str">
            <v>ja</v>
          </cell>
          <cell r="H16" t="str">
            <v>3-4. 【1回のみ】ボーナスステージ</v>
          </cell>
          <cell r="I16" t="str">
            <v>ボーナス</v>
          </cell>
          <cell r="J16">
            <v>337</v>
          </cell>
          <cell r="K16">
            <v>1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1</v>
          </cell>
          <cell r="Q16">
            <v>1</v>
          </cell>
          <cell r="R16">
            <v>3</v>
          </cell>
          <cell r="S16" t="str">
            <v>none</v>
          </cell>
          <cell r="T16">
            <v>0</v>
          </cell>
          <cell r="U16">
            <v>3</v>
          </cell>
          <cell r="V16">
            <v>3</v>
          </cell>
          <cell r="W16" t="str">
            <v>3-3. 舞い散る木の葉</v>
          </cell>
          <cell r="X16">
            <v>0</v>
          </cell>
          <cell r="Y16">
            <v>0</v>
          </cell>
          <cell r="Z16">
            <v>1</v>
          </cell>
          <cell r="AA16">
            <v>0</v>
          </cell>
          <cell r="AB16" t="str">
            <v>once</v>
          </cell>
          <cell r="AC16">
            <v>3</v>
          </cell>
          <cell r="AD16">
            <v>6</v>
          </cell>
          <cell r="AE16" t="str">
            <v>singleonly</v>
          </cell>
        </row>
        <row r="17">
          <cell r="A17" t="str">
            <v>4_1</v>
          </cell>
          <cell r="B17">
            <v>3</v>
          </cell>
          <cell r="C17">
            <v>4</v>
          </cell>
          <cell r="D17" t="str">
            <v>4．イエロープラント</v>
          </cell>
          <cell r="E17" t="str">
            <v>黄DL1</v>
          </cell>
          <cell r="F17">
            <v>1</v>
          </cell>
          <cell r="G17" t="str">
            <v>ja</v>
          </cell>
          <cell r="H17" t="str">
            <v>4-1. 花弁にひそむ妖精</v>
          </cell>
          <cell r="J17" t="str">
            <v>NULL</v>
          </cell>
          <cell r="K17">
            <v>4</v>
          </cell>
          <cell r="L17">
            <v>180</v>
          </cell>
          <cell r="M17">
            <v>1</v>
          </cell>
          <cell r="N17">
            <v>1</v>
          </cell>
          <cell r="O17">
            <v>1</v>
          </cell>
          <cell r="P17">
            <v>1</v>
          </cell>
          <cell r="Q17">
            <v>1</v>
          </cell>
          <cell r="R17">
            <v>3</v>
          </cell>
          <cell r="S17" t="str">
            <v>none</v>
          </cell>
          <cell r="T17">
            <v>0</v>
          </cell>
          <cell r="U17">
            <v>3</v>
          </cell>
          <cell r="V17">
            <v>4</v>
          </cell>
          <cell r="W17" t="str">
            <v>3-4. 【1回のみ】ボーナスステージ</v>
          </cell>
          <cell r="X17">
            <v>0</v>
          </cell>
          <cell r="Y17">
            <v>0</v>
          </cell>
          <cell r="Z17">
            <v>0</v>
          </cell>
          <cell r="AA17">
            <v>1</v>
          </cell>
          <cell r="AB17" t="str">
            <v>anytime</v>
          </cell>
          <cell r="AC17">
            <v>4</v>
          </cell>
          <cell r="AD17">
            <v>6</v>
          </cell>
          <cell r="AE17" t="str">
            <v>everyone</v>
          </cell>
        </row>
        <row r="18">
          <cell r="A18" t="str">
            <v>4_2</v>
          </cell>
          <cell r="B18">
            <v>3</v>
          </cell>
          <cell r="C18">
            <v>4</v>
          </cell>
          <cell r="D18" t="str">
            <v>4．イエロープラント</v>
          </cell>
          <cell r="E18" t="str">
            <v>黄DL1</v>
          </cell>
          <cell r="F18">
            <v>2</v>
          </cell>
          <cell r="G18" t="str">
            <v>ja</v>
          </cell>
          <cell r="H18" t="str">
            <v>4-2. 振りかざされる木槌</v>
          </cell>
          <cell r="J18" t="str">
            <v>NULL</v>
          </cell>
          <cell r="K18">
            <v>5</v>
          </cell>
          <cell r="L18">
            <v>220</v>
          </cell>
          <cell r="M18">
            <v>1</v>
          </cell>
          <cell r="N18">
            <v>1</v>
          </cell>
          <cell r="O18">
            <v>1</v>
          </cell>
          <cell r="P18">
            <v>1</v>
          </cell>
          <cell r="Q18">
            <v>1</v>
          </cell>
          <cell r="R18">
            <v>3</v>
          </cell>
          <cell r="S18" t="str">
            <v>none</v>
          </cell>
          <cell r="T18">
            <v>0</v>
          </cell>
          <cell r="U18">
            <v>4</v>
          </cell>
          <cell r="V18">
            <v>1</v>
          </cell>
          <cell r="W18" t="str">
            <v>4-1. 花弁にひそむ妖精</v>
          </cell>
          <cell r="X18">
            <v>0</v>
          </cell>
          <cell r="Y18">
            <v>0</v>
          </cell>
          <cell r="Z18">
            <v>0</v>
          </cell>
          <cell r="AA18">
            <v>1</v>
          </cell>
          <cell r="AB18" t="str">
            <v>anytime</v>
          </cell>
          <cell r="AC18">
            <v>4</v>
          </cell>
          <cell r="AD18">
            <v>6</v>
          </cell>
          <cell r="AE18" t="str">
            <v>everyone</v>
          </cell>
        </row>
        <row r="19">
          <cell r="A19" t="str">
            <v>4_3</v>
          </cell>
          <cell r="B19">
            <v>3</v>
          </cell>
          <cell r="C19">
            <v>4</v>
          </cell>
          <cell r="D19" t="str">
            <v>4．イエロープラント</v>
          </cell>
          <cell r="E19" t="str">
            <v>黄DL1</v>
          </cell>
          <cell r="F19">
            <v>3</v>
          </cell>
          <cell r="G19" t="str">
            <v>ja</v>
          </cell>
          <cell r="H19" t="str">
            <v>4-3. 晩夏の狐</v>
          </cell>
          <cell r="J19" t="str">
            <v>NULL</v>
          </cell>
          <cell r="K19">
            <v>6</v>
          </cell>
          <cell r="L19">
            <v>260</v>
          </cell>
          <cell r="M19">
            <v>1</v>
          </cell>
          <cell r="N19">
            <v>1</v>
          </cell>
          <cell r="O19">
            <v>1</v>
          </cell>
          <cell r="P19">
            <v>1</v>
          </cell>
          <cell r="Q19">
            <v>1</v>
          </cell>
          <cell r="R19">
            <v>3</v>
          </cell>
          <cell r="S19" t="str">
            <v>none</v>
          </cell>
          <cell r="T19">
            <v>0</v>
          </cell>
          <cell r="U19">
            <v>4</v>
          </cell>
          <cell r="V19">
            <v>2</v>
          </cell>
          <cell r="W19" t="str">
            <v>4-2. 振りかざされる木槌</v>
          </cell>
          <cell r="X19">
            <v>0</v>
          </cell>
          <cell r="Y19">
            <v>0</v>
          </cell>
          <cell r="Z19">
            <v>0</v>
          </cell>
          <cell r="AA19">
            <v>1</v>
          </cell>
          <cell r="AB19" t="str">
            <v>anytime</v>
          </cell>
          <cell r="AC19">
            <v>4</v>
          </cell>
          <cell r="AD19">
            <v>6</v>
          </cell>
          <cell r="AE19" t="str">
            <v>everyone</v>
          </cell>
        </row>
        <row r="20">
          <cell r="A20" t="str">
            <v>4_4</v>
          </cell>
          <cell r="B20">
            <v>3</v>
          </cell>
          <cell r="C20">
            <v>4</v>
          </cell>
          <cell r="D20" t="str">
            <v>4．イエロープラント</v>
          </cell>
          <cell r="E20" t="str">
            <v>黄DL1</v>
          </cell>
          <cell r="F20">
            <v>4</v>
          </cell>
          <cell r="G20" t="str">
            <v>ja</v>
          </cell>
          <cell r="H20" t="str">
            <v>4-4. 【1回のみ】ボーナスステージ</v>
          </cell>
          <cell r="I20" t="str">
            <v>ボーナス</v>
          </cell>
          <cell r="J20">
            <v>345</v>
          </cell>
          <cell r="K20">
            <v>1</v>
          </cell>
          <cell r="L20">
            <v>1</v>
          </cell>
          <cell r="M20">
            <v>1</v>
          </cell>
          <cell r="N20">
            <v>1</v>
          </cell>
          <cell r="O20">
            <v>1</v>
          </cell>
          <cell r="P20">
            <v>1</v>
          </cell>
          <cell r="Q20">
            <v>1</v>
          </cell>
          <cell r="R20">
            <v>3</v>
          </cell>
          <cell r="S20" t="str">
            <v>none</v>
          </cell>
          <cell r="T20">
            <v>0</v>
          </cell>
          <cell r="U20">
            <v>4</v>
          </cell>
          <cell r="V20">
            <v>3</v>
          </cell>
          <cell r="W20" t="str">
            <v>4-3. 晩夏の狐</v>
          </cell>
          <cell r="X20">
            <v>0</v>
          </cell>
          <cell r="Y20">
            <v>0</v>
          </cell>
          <cell r="Z20">
            <v>0</v>
          </cell>
          <cell r="AA20">
            <v>1</v>
          </cell>
          <cell r="AB20" t="str">
            <v>once</v>
          </cell>
          <cell r="AC20">
            <v>4</v>
          </cell>
          <cell r="AD20">
            <v>6</v>
          </cell>
          <cell r="AE20" t="str">
            <v>singleonly</v>
          </cell>
        </row>
        <row r="21">
          <cell r="A21" t="str">
            <v>5_1</v>
          </cell>
          <cell r="B21">
            <v>3</v>
          </cell>
          <cell r="C21">
            <v>5</v>
          </cell>
          <cell r="D21" t="str">
            <v>5．ウォーターランド</v>
          </cell>
          <cell r="E21" t="str">
            <v>青DL1</v>
          </cell>
          <cell r="F21">
            <v>1</v>
          </cell>
          <cell r="G21" t="str">
            <v>ja</v>
          </cell>
          <cell r="H21" t="str">
            <v>5-1. 水面を凍らす咆哮</v>
          </cell>
          <cell r="J21" t="str">
            <v>NULL</v>
          </cell>
          <cell r="K21">
            <v>5</v>
          </cell>
          <cell r="L21">
            <v>240</v>
          </cell>
          <cell r="M21">
            <v>1</v>
          </cell>
          <cell r="N21">
            <v>1</v>
          </cell>
          <cell r="O21">
            <v>1</v>
          </cell>
          <cell r="P21">
            <v>1</v>
          </cell>
          <cell r="Q21">
            <v>1</v>
          </cell>
          <cell r="R21">
            <v>3</v>
          </cell>
          <cell r="S21" t="str">
            <v>none</v>
          </cell>
          <cell r="T21">
            <v>0</v>
          </cell>
          <cell r="U21">
            <v>4</v>
          </cell>
          <cell r="V21">
            <v>4</v>
          </cell>
          <cell r="W21" t="str">
            <v>4-4. 【1回のみ】ボーナスステージ</v>
          </cell>
          <cell r="X21">
            <v>0</v>
          </cell>
          <cell r="Y21">
            <v>1</v>
          </cell>
          <cell r="Z21">
            <v>0</v>
          </cell>
          <cell r="AA21">
            <v>0</v>
          </cell>
          <cell r="AB21" t="str">
            <v>anytime</v>
          </cell>
          <cell r="AC21">
            <v>5</v>
          </cell>
          <cell r="AD21">
            <v>6</v>
          </cell>
          <cell r="AE21" t="str">
            <v>everyone</v>
          </cell>
        </row>
        <row r="22">
          <cell r="A22" t="str">
            <v>5_2</v>
          </cell>
          <cell r="B22">
            <v>3</v>
          </cell>
          <cell r="C22">
            <v>5</v>
          </cell>
          <cell r="D22" t="str">
            <v>5．ウォーターランド</v>
          </cell>
          <cell r="E22" t="str">
            <v>青DL1</v>
          </cell>
          <cell r="F22">
            <v>2</v>
          </cell>
          <cell r="G22" t="str">
            <v>ja</v>
          </cell>
          <cell r="H22" t="str">
            <v>5-2. 波をさばく剣豪</v>
          </cell>
          <cell r="J22" t="str">
            <v>NULL</v>
          </cell>
          <cell r="K22">
            <v>6</v>
          </cell>
          <cell r="L22">
            <v>280</v>
          </cell>
          <cell r="M22">
            <v>1</v>
          </cell>
          <cell r="N22">
            <v>1</v>
          </cell>
          <cell r="O22">
            <v>1</v>
          </cell>
          <cell r="P22">
            <v>1</v>
          </cell>
          <cell r="Q22">
            <v>1</v>
          </cell>
          <cell r="R22">
            <v>3</v>
          </cell>
          <cell r="S22" t="str">
            <v>none</v>
          </cell>
          <cell r="T22">
            <v>0</v>
          </cell>
          <cell r="U22">
            <v>5</v>
          </cell>
          <cell r="V22">
            <v>1</v>
          </cell>
          <cell r="W22" t="str">
            <v>5-1. 水面を凍らす咆哮</v>
          </cell>
          <cell r="X22">
            <v>0</v>
          </cell>
          <cell r="Y22">
            <v>1</v>
          </cell>
          <cell r="Z22">
            <v>0</v>
          </cell>
          <cell r="AA22">
            <v>0</v>
          </cell>
          <cell r="AB22" t="str">
            <v>anytime</v>
          </cell>
          <cell r="AC22">
            <v>5</v>
          </cell>
          <cell r="AD22">
            <v>6</v>
          </cell>
          <cell r="AE22" t="str">
            <v>everyone</v>
          </cell>
        </row>
        <row r="23">
          <cell r="A23" t="str">
            <v>5_3</v>
          </cell>
          <cell r="B23">
            <v>3</v>
          </cell>
          <cell r="C23">
            <v>5</v>
          </cell>
          <cell r="D23" t="str">
            <v>5．ウォーターランド</v>
          </cell>
          <cell r="E23" t="str">
            <v>青DL1</v>
          </cell>
          <cell r="F23">
            <v>3</v>
          </cell>
          <cell r="G23" t="str">
            <v>ja</v>
          </cell>
          <cell r="H23" t="str">
            <v>5-3. 水天一碧の凪刀</v>
          </cell>
          <cell r="J23" t="str">
            <v>NULL</v>
          </cell>
          <cell r="K23">
            <v>7</v>
          </cell>
          <cell r="L23">
            <v>320</v>
          </cell>
          <cell r="M23">
            <v>1</v>
          </cell>
          <cell r="N23">
            <v>1</v>
          </cell>
          <cell r="O23">
            <v>1</v>
          </cell>
          <cell r="P23">
            <v>1</v>
          </cell>
          <cell r="Q23">
            <v>1</v>
          </cell>
          <cell r="R23">
            <v>3</v>
          </cell>
          <cell r="S23" t="str">
            <v>none</v>
          </cell>
          <cell r="T23">
            <v>0</v>
          </cell>
          <cell r="U23">
            <v>5</v>
          </cell>
          <cell r="V23">
            <v>2</v>
          </cell>
          <cell r="W23" t="str">
            <v>5-2. 波をさばく剣豪</v>
          </cell>
          <cell r="X23">
            <v>0</v>
          </cell>
          <cell r="Y23">
            <v>1</v>
          </cell>
          <cell r="Z23">
            <v>0</v>
          </cell>
          <cell r="AA23">
            <v>0</v>
          </cell>
          <cell r="AB23" t="str">
            <v>anytime</v>
          </cell>
          <cell r="AC23">
            <v>5</v>
          </cell>
          <cell r="AD23">
            <v>6</v>
          </cell>
          <cell r="AE23" t="str">
            <v>everyone</v>
          </cell>
        </row>
        <row r="24">
          <cell r="A24" t="str">
            <v>5_4</v>
          </cell>
          <cell r="B24">
            <v>3</v>
          </cell>
          <cell r="C24">
            <v>5</v>
          </cell>
          <cell r="D24" t="str">
            <v>5．ウォーターランド</v>
          </cell>
          <cell r="E24" t="str">
            <v>青DL1</v>
          </cell>
          <cell r="F24">
            <v>4</v>
          </cell>
          <cell r="G24" t="str">
            <v>ja</v>
          </cell>
          <cell r="H24" t="str">
            <v>5-4. 【1回のみ】ボーナスステージ</v>
          </cell>
          <cell r="I24" t="str">
            <v>ボーナス</v>
          </cell>
          <cell r="J24">
            <v>341</v>
          </cell>
          <cell r="K24">
            <v>1</v>
          </cell>
          <cell r="L24">
            <v>1</v>
          </cell>
          <cell r="M24">
            <v>1</v>
          </cell>
          <cell r="N24">
            <v>1</v>
          </cell>
          <cell r="O24">
            <v>1</v>
          </cell>
          <cell r="P24">
            <v>1</v>
          </cell>
          <cell r="Q24">
            <v>1</v>
          </cell>
          <cell r="R24">
            <v>3</v>
          </cell>
          <cell r="S24" t="str">
            <v>none</v>
          </cell>
          <cell r="T24">
            <v>0</v>
          </cell>
          <cell r="U24">
            <v>5</v>
          </cell>
          <cell r="V24">
            <v>3</v>
          </cell>
          <cell r="W24" t="str">
            <v>5-3. 水天一碧の凪刀</v>
          </cell>
          <cell r="X24">
            <v>0</v>
          </cell>
          <cell r="Y24">
            <v>1</v>
          </cell>
          <cell r="Z24">
            <v>0</v>
          </cell>
          <cell r="AA24">
            <v>0</v>
          </cell>
          <cell r="AB24" t="str">
            <v>once</v>
          </cell>
          <cell r="AC24">
            <v>5</v>
          </cell>
          <cell r="AD24">
            <v>6</v>
          </cell>
          <cell r="AE24" t="str">
            <v>singleonly</v>
          </cell>
        </row>
        <row r="25">
          <cell r="A25" t="str">
            <v>6_1</v>
          </cell>
          <cell r="B25">
            <v>3</v>
          </cell>
          <cell r="C25">
            <v>6</v>
          </cell>
          <cell r="D25" t="str">
            <v>6．ドリームパーク</v>
          </cell>
          <cell r="E25" t="str">
            <v>混色DL1</v>
          </cell>
          <cell r="F25">
            <v>1</v>
          </cell>
          <cell r="G25" t="str">
            <v>ja</v>
          </cell>
          <cell r="H25" t="str">
            <v>6-1. 虚構の国</v>
          </cell>
          <cell r="J25" t="str">
            <v>NULL</v>
          </cell>
          <cell r="K25">
            <v>8</v>
          </cell>
          <cell r="L25">
            <v>360</v>
          </cell>
          <cell r="M25">
            <v>1</v>
          </cell>
          <cell r="N25">
            <v>1</v>
          </cell>
          <cell r="O25">
            <v>1</v>
          </cell>
          <cell r="P25">
            <v>1</v>
          </cell>
          <cell r="Q25">
            <v>1</v>
          </cell>
          <cell r="R25">
            <v>3</v>
          </cell>
          <cell r="S25" t="str">
            <v>none</v>
          </cell>
          <cell r="T25">
            <v>0</v>
          </cell>
          <cell r="U25">
            <v>5</v>
          </cell>
          <cell r="V25">
            <v>4</v>
          </cell>
          <cell r="W25" t="str">
            <v>5-4. 【1回のみ】ボーナスステージ</v>
          </cell>
          <cell r="X25">
            <v>1</v>
          </cell>
          <cell r="Y25">
            <v>1</v>
          </cell>
          <cell r="Z25">
            <v>1</v>
          </cell>
          <cell r="AA25">
            <v>1</v>
          </cell>
          <cell r="AB25" t="str">
            <v>anytime</v>
          </cell>
          <cell r="AC25">
            <v>6</v>
          </cell>
          <cell r="AD25">
            <v>6</v>
          </cell>
          <cell r="AE25" t="str">
            <v>everyone</v>
          </cell>
        </row>
        <row r="26">
          <cell r="A26" t="str">
            <v>6_2</v>
          </cell>
          <cell r="B26">
            <v>3</v>
          </cell>
          <cell r="C26">
            <v>6</v>
          </cell>
          <cell r="D26" t="str">
            <v>6．ドリームパーク</v>
          </cell>
          <cell r="E26" t="str">
            <v>混色DL1</v>
          </cell>
          <cell r="F26">
            <v>2</v>
          </cell>
          <cell r="G26" t="str">
            <v>ja</v>
          </cell>
          <cell r="H26" t="str">
            <v>6-2. 夢の国の洗礼</v>
          </cell>
          <cell r="J26" t="str">
            <v>NULL</v>
          </cell>
          <cell r="K26">
            <v>8</v>
          </cell>
          <cell r="L26">
            <v>410</v>
          </cell>
          <cell r="M26">
            <v>1</v>
          </cell>
          <cell r="N26">
            <v>1</v>
          </cell>
          <cell r="O26">
            <v>1</v>
          </cell>
          <cell r="P26">
            <v>1</v>
          </cell>
          <cell r="Q26">
            <v>1</v>
          </cell>
          <cell r="R26">
            <v>3</v>
          </cell>
          <cell r="S26" t="str">
            <v>none</v>
          </cell>
          <cell r="T26">
            <v>0</v>
          </cell>
          <cell r="U26">
            <v>6</v>
          </cell>
          <cell r="V26">
            <v>1</v>
          </cell>
          <cell r="W26" t="str">
            <v>6-1. 虚構の国</v>
          </cell>
          <cell r="X26">
            <v>1</v>
          </cell>
          <cell r="Y26">
            <v>1</v>
          </cell>
          <cell r="Z26">
            <v>1</v>
          </cell>
          <cell r="AA26">
            <v>1</v>
          </cell>
          <cell r="AB26" t="str">
            <v>anytime</v>
          </cell>
          <cell r="AC26">
            <v>6</v>
          </cell>
          <cell r="AD26">
            <v>6</v>
          </cell>
          <cell r="AE26" t="str">
            <v>everyone</v>
          </cell>
        </row>
        <row r="27">
          <cell r="A27" t="str">
            <v>6_3</v>
          </cell>
          <cell r="B27">
            <v>3</v>
          </cell>
          <cell r="C27">
            <v>6</v>
          </cell>
          <cell r="D27" t="str">
            <v>6．ドリームパーク</v>
          </cell>
          <cell r="E27" t="str">
            <v>混色DL1</v>
          </cell>
          <cell r="F27">
            <v>3</v>
          </cell>
          <cell r="G27" t="str">
            <v>ja</v>
          </cell>
          <cell r="H27" t="str">
            <v>6-3. 正体不明のきぐるみ</v>
          </cell>
          <cell r="J27" t="str">
            <v>NULL</v>
          </cell>
          <cell r="K27">
            <v>9</v>
          </cell>
          <cell r="L27">
            <v>460</v>
          </cell>
          <cell r="M27">
            <v>1</v>
          </cell>
          <cell r="N27">
            <v>1</v>
          </cell>
          <cell r="O27">
            <v>1</v>
          </cell>
          <cell r="P27">
            <v>1</v>
          </cell>
          <cell r="Q27">
            <v>1</v>
          </cell>
          <cell r="R27">
            <v>3</v>
          </cell>
          <cell r="S27" t="str">
            <v>none</v>
          </cell>
          <cell r="T27">
            <v>0</v>
          </cell>
          <cell r="U27">
            <v>6</v>
          </cell>
          <cell r="V27">
            <v>2</v>
          </cell>
          <cell r="W27" t="str">
            <v>6-2. 夢の国の洗礼</v>
          </cell>
          <cell r="X27">
            <v>1</v>
          </cell>
          <cell r="Y27">
            <v>1</v>
          </cell>
          <cell r="Z27">
            <v>1</v>
          </cell>
          <cell r="AA27">
            <v>1</v>
          </cell>
          <cell r="AB27" t="str">
            <v>anytime</v>
          </cell>
          <cell r="AC27">
            <v>6</v>
          </cell>
          <cell r="AD27">
            <v>6</v>
          </cell>
          <cell r="AE27" t="str">
            <v>everyone</v>
          </cell>
        </row>
        <row r="28">
          <cell r="A28" t="str">
            <v>6_4</v>
          </cell>
          <cell r="B28">
            <v>3</v>
          </cell>
          <cell r="C28">
            <v>6</v>
          </cell>
          <cell r="D28" t="str">
            <v>6．ドリームパーク</v>
          </cell>
          <cell r="E28" t="str">
            <v>混色DL1</v>
          </cell>
          <cell r="F28">
            <v>4</v>
          </cell>
          <cell r="G28" t="str">
            <v>ja</v>
          </cell>
          <cell r="H28" t="str">
            <v>6-4. 悪夢へのスイッチ</v>
          </cell>
          <cell r="J28" t="str">
            <v>NULL</v>
          </cell>
          <cell r="K28">
            <v>9</v>
          </cell>
          <cell r="L28">
            <v>510</v>
          </cell>
          <cell r="M28">
            <v>1</v>
          </cell>
          <cell r="N28">
            <v>1</v>
          </cell>
          <cell r="O28">
            <v>1</v>
          </cell>
          <cell r="P28">
            <v>1</v>
          </cell>
          <cell r="Q28">
            <v>1</v>
          </cell>
          <cell r="R28">
            <v>3</v>
          </cell>
          <cell r="S28" t="str">
            <v>none</v>
          </cell>
          <cell r="T28">
            <v>0</v>
          </cell>
          <cell r="U28">
            <v>6</v>
          </cell>
          <cell r="V28">
            <v>3</v>
          </cell>
          <cell r="W28" t="str">
            <v>6-3. 正体不明のきぐるみ</v>
          </cell>
          <cell r="X28">
            <v>1</v>
          </cell>
          <cell r="Y28">
            <v>1</v>
          </cell>
          <cell r="Z28">
            <v>1</v>
          </cell>
          <cell r="AA28">
            <v>1</v>
          </cell>
          <cell r="AB28" t="str">
            <v>anytime</v>
          </cell>
          <cell r="AC28">
            <v>6</v>
          </cell>
          <cell r="AD28">
            <v>6</v>
          </cell>
          <cell r="AE28" t="str">
            <v>everyone</v>
          </cell>
        </row>
        <row r="29">
          <cell r="A29" t="str">
            <v>6_5</v>
          </cell>
          <cell r="B29">
            <v>3</v>
          </cell>
          <cell r="C29">
            <v>6</v>
          </cell>
          <cell r="D29" t="str">
            <v>6．ドリームパーク</v>
          </cell>
          <cell r="E29" t="str">
            <v>混色DL1</v>
          </cell>
          <cell r="F29">
            <v>5</v>
          </cell>
          <cell r="G29" t="str">
            <v>ja</v>
          </cell>
          <cell r="H29" t="str">
            <v>6-5. 来園者の末路</v>
          </cell>
          <cell r="J29" t="str">
            <v>NULL</v>
          </cell>
          <cell r="K29">
            <v>10</v>
          </cell>
          <cell r="L29">
            <v>680</v>
          </cell>
          <cell r="M29">
            <v>1</v>
          </cell>
          <cell r="N29">
            <v>1</v>
          </cell>
          <cell r="O29">
            <v>1</v>
          </cell>
          <cell r="P29">
            <v>1</v>
          </cell>
          <cell r="Q29">
            <v>1</v>
          </cell>
          <cell r="R29">
            <v>3</v>
          </cell>
          <cell r="S29" t="str">
            <v>none</v>
          </cell>
          <cell r="T29">
            <v>0</v>
          </cell>
          <cell r="U29">
            <v>6</v>
          </cell>
          <cell r="V29">
            <v>4</v>
          </cell>
          <cell r="W29" t="str">
            <v>6-4. 悪夢へのスイッチ</v>
          </cell>
          <cell r="X29">
            <v>1</v>
          </cell>
          <cell r="Y29">
            <v>1</v>
          </cell>
          <cell r="Z29">
            <v>1</v>
          </cell>
          <cell r="AA29">
            <v>1</v>
          </cell>
          <cell r="AB29" t="str">
            <v>anytime</v>
          </cell>
          <cell r="AC29">
            <v>6</v>
          </cell>
          <cell r="AD29">
            <v>6</v>
          </cell>
          <cell r="AE29" t="str">
            <v>everyone</v>
          </cell>
        </row>
        <row r="30">
          <cell r="A30" t="str">
            <v>6_6</v>
          </cell>
          <cell r="B30">
            <v>3</v>
          </cell>
          <cell r="C30">
            <v>6</v>
          </cell>
          <cell r="D30" t="str">
            <v>6．ドリームパーク</v>
          </cell>
          <cell r="E30" t="str">
            <v>混色DL1</v>
          </cell>
          <cell r="F30">
            <v>6</v>
          </cell>
          <cell r="G30" t="str">
            <v>ja</v>
          </cell>
          <cell r="H30" t="str">
            <v>6-6. 【1回のみ】ボーナスステージ</v>
          </cell>
          <cell r="I30" t="str">
            <v>ボーナス</v>
          </cell>
          <cell r="J30">
            <v>125</v>
          </cell>
          <cell r="K30">
            <v>1</v>
          </cell>
          <cell r="L30">
            <v>1</v>
          </cell>
          <cell r="M30">
            <v>1</v>
          </cell>
          <cell r="N30">
            <v>1</v>
          </cell>
          <cell r="O30">
            <v>1</v>
          </cell>
          <cell r="P30">
            <v>1</v>
          </cell>
          <cell r="Q30">
            <v>1</v>
          </cell>
          <cell r="R30">
            <v>3</v>
          </cell>
          <cell r="S30" t="str">
            <v>none</v>
          </cell>
          <cell r="T30">
            <v>0</v>
          </cell>
          <cell r="U30">
            <v>6</v>
          </cell>
          <cell r="V30">
            <v>5</v>
          </cell>
          <cell r="W30" t="str">
            <v>6-5. 来園者の末路</v>
          </cell>
          <cell r="X30">
            <v>1</v>
          </cell>
          <cell r="Y30">
            <v>1</v>
          </cell>
          <cell r="Z30">
            <v>1</v>
          </cell>
          <cell r="AA30">
            <v>1</v>
          </cell>
          <cell r="AB30" t="str">
            <v>once</v>
          </cell>
          <cell r="AC30">
            <v>6</v>
          </cell>
          <cell r="AD30">
            <v>6</v>
          </cell>
          <cell r="AE30" t="str">
            <v>singleonly</v>
          </cell>
        </row>
        <row r="31">
          <cell r="A31" t="str">
            <v>7_1</v>
          </cell>
          <cell r="B31">
            <v>3</v>
          </cell>
          <cell r="C31">
            <v>7</v>
          </cell>
          <cell r="D31" t="str">
            <v>7．ローガ密林</v>
          </cell>
          <cell r="E31" t="str">
            <v>緑DL2</v>
          </cell>
          <cell r="F31">
            <v>1</v>
          </cell>
          <cell r="G31" t="str">
            <v>ja</v>
          </cell>
          <cell r="H31" t="str">
            <v>7-1. 密林の防衛者</v>
          </cell>
          <cell r="J31" t="str">
            <v>NULL</v>
          </cell>
          <cell r="K31">
            <v>6</v>
          </cell>
          <cell r="L31">
            <v>320</v>
          </cell>
          <cell r="M31">
            <v>1</v>
          </cell>
          <cell r="N31">
            <v>1</v>
          </cell>
          <cell r="O31">
            <v>1</v>
          </cell>
          <cell r="P31">
            <v>1</v>
          </cell>
          <cell r="Q31">
            <v>1</v>
          </cell>
          <cell r="R31">
            <v>3</v>
          </cell>
          <cell r="S31" t="str">
            <v>none</v>
          </cell>
          <cell r="T31">
            <v>0</v>
          </cell>
          <cell r="U31">
            <v>6</v>
          </cell>
          <cell r="V31">
            <v>6</v>
          </cell>
          <cell r="W31" t="str">
            <v>6-6. 【1回のみ】ボーナスステージ</v>
          </cell>
          <cell r="X31">
            <v>0</v>
          </cell>
          <cell r="Y31">
            <v>0</v>
          </cell>
          <cell r="Z31">
            <v>1</v>
          </cell>
          <cell r="AA31">
            <v>0</v>
          </cell>
          <cell r="AB31" t="str">
            <v>anytime</v>
          </cell>
          <cell r="AC31">
            <v>7</v>
          </cell>
          <cell r="AD31">
            <v>6</v>
          </cell>
          <cell r="AE31" t="str">
            <v>everyone</v>
          </cell>
        </row>
        <row r="32">
          <cell r="A32" t="str">
            <v>7_2</v>
          </cell>
          <cell r="B32">
            <v>3</v>
          </cell>
          <cell r="C32">
            <v>7</v>
          </cell>
          <cell r="D32" t="str">
            <v>7．ローガ密林</v>
          </cell>
          <cell r="E32" t="str">
            <v>緑DL2</v>
          </cell>
          <cell r="F32">
            <v>2</v>
          </cell>
          <cell r="G32" t="str">
            <v>ja</v>
          </cell>
          <cell r="H32" t="str">
            <v>7-2. さまよう怪影</v>
          </cell>
          <cell r="J32" t="str">
            <v>NULL</v>
          </cell>
          <cell r="K32">
            <v>6</v>
          </cell>
          <cell r="L32">
            <v>360</v>
          </cell>
          <cell r="M32">
            <v>1</v>
          </cell>
          <cell r="N32">
            <v>1</v>
          </cell>
          <cell r="O32">
            <v>1</v>
          </cell>
          <cell r="P32">
            <v>1</v>
          </cell>
          <cell r="Q32">
            <v>1</v>
          </cell>
          <cell r="R32">
            <v>3</v>
          </cell>
          <cell r="S32" t="str">
            <v>none</v>
          </cell>
          <cell r="T32">
            <v>0</v>
          </cell>
          <cell r="U32">
            <v>7</v>
          </cell>
          <cell r="V32">
            <v>1</v>
          </cell>
          <cell r="W32" t="str">
            <v>7-1. 密林の防衛者</v>
          </cell>
          <cell r="X32">
            <v>0</v>
          </cell>
          <cell r="Y32">
            <v>0</v>
          </cell>
          <cell r="Z32">
            <v>1</v>
          </cell>
          <cell r="AA32">
            <v>0</v>
          </cell>
          <cell r="AB32" t="str">
            <v>anytime</v>
          </cell>
          <cell r="AC32">
            <v>7</v>
          </cell>
          <cell r="AD32">
            <v>6</v>
          </cell>
          <cell r="AE32" t="str">
            <v>everyone</v>
          </cell>
        </row>
        <row r="33">
          <cell r="A33" t="str">
            <v>7_3</v>
          </cell>
          <cell r="B33">
            <v>3</v>
          </cell>
          <cell r="C33">
            <v>7</v>
          </cell>
          <cell r="D33" t="str">
            <v>7．ローガ密林</v>
          </cell>
          <cell r="E33" t="str">
            <v>緑DL2</v>
          </cell>
          <cell r="F33">
            <v>3</v>
          </cell>
          <cell r="G33" t="str">
            <v>ja</v>
          </cell>
          <cell r="H33" t="str">
            <v>7-3. 野生児の急襲</v>
          </cell>
          <cell r="J33" t="str">
            <v>NULL</v>
          </cell>
          <cell r="K33">
            <v>7</v>
          </cell>
          <cell r="L33">
            <v>400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3</v>
          </cell>
          <cell r="S33" t="str">
            <v>none</v>
          </cell>
          <cell r="T33">
            <v>0</v>
          </cell>
          <cell r="U33">
            <v>7</v>
          </cell>
          <cell r="V33">
            <v>2</v>
          </cell>
          <cell r="W33" t="str">
            <v>7-2. さまよう怪影</v>
          </cell>
          <cell r="X33">
            <v>0</v>
          </cell>
          <cell r="Y33">
            <v>0</v>
          </cell>
          <cell r="Z33">
            <v>1</v>
          </cell>
          <cell r="AA33">
            <v>0</v>
          </cell>
          <cell r="AB33" t="str">
            <v>anytime</v>
          </cell>
          <cell r="AC33">
            <v>7</v>
          </cell>
          <cell r="AD33">
            <v>6</v>
          </cell>
          <cell r="AE33" t="str">
            <v>everyone</v>
          </cell>
        </row>
        <row r="34">
          <cell r="A34" t="str">
            <v>7_4</v>
          </cell>
          <cell r="B34">
            <v>3</v>
          </cell>
          <cell r="C34">
            <v>7</v>
          </cell>
          <cell r="D34" t="str">
            <v>7．ローガ密林</v>
          </cell>
          <cell r="E34" t="str">
            <v>緑DL2</v>
          </cell>
          <cell r="F34">
            <v>4</v>
          </cell>
          <cell r="G34" t="str">
            <v>ja</v>
          </cell>
          <cell r="H34" t="str">
            <v>7-4. この森通せんぼ</v>
          </cell>
          <cell r="J34" t="str">
            <v>NULL</v>
          </cell>
          <cell r="K34">
            <v>8</v>
          </cell>
          <cell r="L34">
            <v>440</v>
          </cell>
          <cell r="M34">
            <v>1</v>
          </cell>
          <cell r="N34">
            <v>1</v>
          </cell>
          <cell r="O34">
            <v>1</v>
          </cell>
          <cell r="P34">
            <v>1</v>
          </cell>
          <cell r="Q34">
            <v>1</v>
          </cell>
          <cell r="R34">
            <v>3</v>
          </cell>
          <cell r="S34" t="str">
            <v>none</v>
          </cell>
          <cell r="T34">
            <v>0</v>
          </cell>
          <cell r="U34">
            <v>7</v>
          </cell>
          <cell r="V34">
            <v>3</v>
          </cell>
          <cell r="W34" t="str">
            <v>7-3. 野生児の急襲</v>
          </cell>
          <cell r="X34">
            <v>0</v>
          </cell>
          <cell r="Y34">
            <v>0</v>
          </cell>
          <cell r="Z34">
            <v>1</v>
          </cell>
          <cell r="AA34">
            <v>0</v>
          </cell>
          <cell r="AB34" t="str">
            <v>anytime</v>
          </cell>
          <cell r="AC34">
            <v>7</v>
          </cell>
          <cell r="AD34">
            <v>6</v>
          </cell>
          <cell r="AE34" t="str">
            <v>everyone</v>
          </cell>
        </row>
        <row r="35">
          <cell r="A35" t="str">
            <v>7_5</v>
          </cell>
          <cell r="B35">
            <v>3</v>
          </cell>
          <cell r="C35">
            <v>7</v>
          </cell>
          <cell r="D35" t="str">
            <v>7．ローガ密林</v>
          </cell>
          <cell r="E35" t="str">
            <v>緑DL2</v>
          </cell>
          <cell r="F35">
            <v>5</v>
          </cell>
          <cell r="G35" t="str">
            <v>ja</v>
          </cell>
          <cell r="H35" t="str">
            <v>7-5. 聖なる巨岩</v>
          </cell>
          <cell r="J35" t="str">
            <v>NULL</v>
          </cell>
          <cell r="K35">
            <v>10</v>
          </cell>
          <cell r="L35">
            <v>620</v>
          </cell>
          <cell r="M35">
            <v>1</v>
          </cell>
          <cell r="N35">
            <v>1</v>
          </cell>
          <cell r="O35">
            <v>1</v>
          </cell>
          <cell r="P35">
            <v>1</v>
          </cell>
          <cell r="Q35">
            <v>1</v>
          </cell>
          <cell r="R35">
            <v>3</v>
          </cell>
          <cell r="S35" t="str">
            <v>none</v>
          </cell>
          <cell r="T35">
            <v>0</v>
          </cell>
          <cell r="U35">
            <v>7</v>
          </cell>
          <cell r="V35">
            <v>4</v>
          </cell>
          <cell r="W35" t="str">
            <v>7-4. この森通せんぼ</v>
          </cell>
          <cell r="X35">
            <v>0</v>
          </cell>
          <cell r="Y35">
            <v>0</v>
          </cell>
          <cell r="Z35">
            <v>1</v>
          </cell>
          <cell r="AA35">
            <v>0</v>
          </cell>
          <cell r="AB35" t="str">
            <v>anytime</v>
          </cell>
          <cell r="AC35">
            <v>7</v>
          </cell>
          <cell r="AD35">
            <v>6</v>
          </cell>
          <cell r="AE35" t="str">
            <v>everyone</v>
          </cell>
        </row>
        <row r="36">
          <cell r="A36" t="str">
            <v>7_6</v>
          </cell>
          <cell r="B36">
            <v>3</v>
          </cell>
          <cell r="C36">
            <v>7</v>
          </cell>
          <cell r="D36" t="str">
            <v>7．ローガ密林</v>
          </cell>
          <cell r="E36" t="str">
            <v>緑DL2</v>
          </cell>
          <cell r="F36">
            <v>6</v>
          </cell>
          <cell r="G36" t="str">
            <v>ja</v>
          </cell>
          <cell r="H36" t="str">
            <v>7-6. 【1回のみ】ボーナスステージ</v>
          </cell>
          <cell r="I36" t="str">
            <v>ボーナス</v>
          </cell>
          <cell r="J36">
            <v>337</v>
          </cell>
          <cell r="K36">
            <v>1</v>
          </cell>
          <cell r="L36">
            <v>1</v>
          </cell>
          <cell r="M36">
            <v>1</v>
          </cell>
          <cell r="N36">
            <v>1</v>
          </cell>
          <cell r="O36">
            <v>1</v>
          </cell>
          <cell r="P36">
            <v>1</v>
          </cell>
          <cell r="Q36">
            <v>1</v>
          </cell>
          <cell r="R36">
            <v>3</v>
          </cell>
          <cell r="S36" t="str">
            <v>none</v>
          </cell>
          <cell r="T36">
            <v>0</v>
          </cell>
          <cell r="U36">
            <v>7</v>
          </cell>
          <cell r="V36">
            <v>5</v>
          </cell>
          <cell r="W36" t="str">
            <v>7-5. 聖なる巨岩</v>
          </cell>
          <cell r="X36">
            <v>0</v>
          </cell>
          <cell r="Y36">
            <v>0</v>
          </cell>
          <cell r="Z36">
            <v>1</v>
          </cell>
          <cell r="AA36">
            <v>0</v>
          </cell>
          <cell r="AB36" t="str">
            <v>once</v>
          </cell>
          <cell r="AC36">
            <v>7</v>
          </cell>
          <cell r="AD36">
            <v>6</v>
          </cell>
          <cell r="AE36" t="str">
            <v>singleonly</v>
          </cell>
        </row>
        <row r="37">
          <cell r="A37" t="str">
            <v>8_1</v>
          </cell>
          <cell r="B37">
            <v>3</v>
          </cell>
          <cell r="C37">
            <v>8</v>
          </cell>
          <cell r="D37" t="str">
            <v>8．ヴィクリー砂漠</v>
          </cell>
          <cell r="E37" t="str">
            <v>黄DL2</v>
          </cell>
          <cell r="F37">
            <v>1</v>
          </cell>
          <cell r="G37" t="str">
            <v>ja</v>
          </cell>
          <cell r="H37" t="str">
            <v>8-1. 黄砂のスピードスター</v>
          </cell>
          <cell r="J37" t="str">
            <v>NULL</v>
          </cell>
          <cell r="K37">
            <v>6</v>
          </cell>
          <cell r="L37">
            <v>480</v>
          </cell>
          <cell r="M37">
            <v>1</v>
          </cell>
          <cell r="N37">
            <v>1</v>
          </cell>
          <cell r="O37">
            <v>1</v>
          </cell>
          <cell r="P37">
            <v>1</v>
          </cell>
          <cell r="Q37">
            <v>1</v>
          </cell>
          <cell r="R37">
            <v>3</v>
          </cell>
          <cell r="S37" t="str">
            <v>none</v>
          </cell>
          <cell r="T37">
            <v>0</v>
          </cell>
          <cell r="U37">
            <v>7</v>
          </cell>
          <cell r="V37">
            <v>6</v>
          </cell>
          <cell r="W37" t="str">
            <v>7-6. 【1回のみ】ボーナスステージ</v>
          </cell>
          <cell r="X37">
            <v>0</v>
          </cell>
          <cell r="Y37">
            <v>0</v>
          </cell>
          <cell r="Z37">
            <v>0</v>
          </cell>
          <cell r="AA37">
            <v>1</v>
          </cell>
          <cell r="AB37" t="str">
            <v>anytime</v>
          </cell>
          <cell r="AC37">
            <v>8</v>
          </cell>
          <cell r="AD37">
            <v>6</v>
          </cell>
          <cell r="AE37" t="str">
            <v>everyone</v>
          </cell>
        </row>
        <row r="38">
          <cell r="A38" t="str">
            <v>8_2</v>
          </cell>
          <cell r="B38">
            <v>3</v>
          </cell>
          <cell r="C38">
            <v>8</v>
          </cell>
          <cell r="D38" t="str">
            <v>8．ヴィクリー砂漠</v>
          </cell>
          <cell r="E38" t="str">
            <v>黄DL2</v>
          </cell>
          <cell r="F38">
            <v>2</v>
          </cell>
          <cell r="G38" t="str">
            <v>ja</v>
          </cell>
          <cell r="H38" t="str">
            <v>8-2. 遭難の仕掛け人</v>
          </cell>
          <cell r="J38" t="str">
            <v>NULL</v>
          </cell>
          <cell r="K38">
            <v>6</v>
          </cell>
          <cell r="L38">
            <v>520</v>
          </cell>
          <cell r="M38">
            <v>1</v>
          </cell>
          <cell r="N38">
            <v>1</v>
          </cell>
          <cell r="O38">
            <v>1</v>
          </cell>
          <cell r="P38">
            <v>1</v>
          </cell>
          <cell r="Q38">
            <v>1</v>
          </cell>
          <cell r="R38">
            <v>3</v>
          </cell>
          <cell r="S38" t="str">
            <v>none</v>
          </cell>
          <cell r="T38">
            <v>0</v>
          </cell>
          <cell r="U38">
            <v>8</v>
          </cell>
          <cell r="V38">
            <v>1</v>
          </cell>
          <cell r="W38" t="str">
            <v>8-1. 黄砂のスピードスター</v>
          </cell>
          <cell r="X38">
            <v>0</v>
          </cell>
          <cell r="Y38">
            <v>0</v>
          </cell>
          <cell r="Z38">
            <v>0</v>
          </cell>
          <cell r="AA38">
            <v>1</v>
          </cell>
          <cell r="AB38" t="str">
            <v>anytime</v>
          </cell>
          <cell r="AC38">
            <v>8</v>
          </cell>
          <cell r="AD38">
            <v>6</v>
          </cell>
          <cell r="AE38" t="str">
            <v>everyone</v>
          </cell>
        </row>
        <row r="39">
          <cell r="A39" t="str">
            <v>8_3</v>
          </cell>
          <cell r="B39">
            <v>3</v>
          </cell>
          <cell r="C39">
            <v>8</v>
          </cell>
          <cell r="D39" t="str">
            <v>8．ヴィクリー砂漠</v>
          </cell>
          <cell r="E39" t="str">
            <v>黄DL2</v>
          </cell>
          <cell r="F39">
            <v>3</v>
          </cell>
          <cell r="G39" t="str">
            <v>ja</v>
          </cell>
          <cell r="H39" t="str">
            <v>8-3. 逃げ場無き狩場</v>
          </cell>
          <cell r="J39" t="str">
            <v>NULL</v>
          </cell>
          <cell r="K39">
            <v>7</v>
          </cell>
          <cell r="L39">
            <v>560</v>
          </cell>
          <cell r="M39">
            <v>1</v>
          </cell>
          <cell r="N39">
            <v>1</v>
          </cell>
          <cell r="O39">
            <v>1</v>
          </cell>
          <cell r="P39">
            <v>1</v>
          </cell>
          <cell r="Q39">
            <v>1</v>
          </cell>
          <cell r="R39">
            <v>3</v>
          </cell>
          <cell r="S39" t="str">
            <v>none</v>
          </cell>
          <cell r="T39">
            <v>0</v>
          </cell>
          <cell r="U39">
            <v>8</v>
          </cell>
          <cell r="V39">
            <v>2</v>
          </cell>
          <cell r="W39" t="str">
            <v>8-2. 遭難の仕掛け人</v>
          </cell>
          <cell r="X39">
            <v>0</v>
          </cell>
          <cell r="Y39">
            <v>0</v>
          </cell>
          <cell r="Z39">
            <v>0</v>
          </cell>
          <cell r="AA39">
            <v>1</v>
          </cell>
          <cell r="AB39" t="str">
            <v>anytime</v>
          </cell>
          <cell r="AC39">
            <v>8</v>
          </cell>
          <cell r="AD39">
            <v>6</v>
          </cell>
          <cell r="AE39" t="str">
            <v>everyone</v>
          </cell>
        </row>
        <row r="40">
          <cell r="A40" t="str">
            <v>8_4</v>
          </cell>
          <cell r="B40">
            <v>3</v>
          </cell>
          <cell r="C40">
            <v>8</v>
          </cell>
          <cell r="D40" t="str">
            <v>8．ヴィクリー砂漠</v>
          </cell>
          <cell r="E40" t="str">
            <v>黄DL2</v>
          </cell>
          <cell r="F40">
            <v>4</v>
          </cell>
          <cell r="G40" t="str">
            <v>ja</v>
          </cell>
          <cell r="H40" t="str">
            <v>8-4. スピードスターの真髄</v>
          </cell>
          <cell r="J40" t="str">
            <v>NULL</v>
          </cell>
          <cell r="K40">
            <v>8</v>
          </cell>
          <cell r="L40">
            <v>600</v>
          </cell>
          <cell r="M40">
            <v>1</v>
          </cell>
          <cell r="N40">
            <v>1</v>
          </cell>
          <cell r="O40">
            <v>1</v>
          </cell>
          <cell r="P40">
            <v>1</v>
          </cell>
          <cell r="Q40">
            <v>1</v>
          </cell>
          <cell r="R40">
            <v>3</v>
          </cell>
          <cell r="S40" t="str">
            <v>none</v>
          </cell>
          <cell r="T40">
            <v>0</v>
          </cell>
          <cell r="U40">
            <v>8</v>
          </cell>
          <cell r="V40">
            <v>3</v>
          </cell>
          <cell r="W40" t="str">
            <v>8-3. 逃げ場無き狩場</v>
          </cell>
          <cell r="X40">
            <v>0</v>
          </cell>
          <cell r="Y40">
            <v>0</v>
          </cell>
          <cell r="Z40">
            <v>0</v>
          </cell>
          <cell r="AA40">
            <v>1</v>
          </cell>
          <cell r="AB40" t="str">
            <v>anytime</v>
          </cell>
          <cell r="AC40">
            <v>8</v>
          </cell>
          <cell r="AD40">
            <v>6</v>
          </cell>
          <cell r="AE40" t="str">
            <v>everyone</v>
          </cell>
        </row>
        <row r="41">
          <cell r="A41" t="str">
            <v>8_5</v>
          </cell>
          <cell r="B41">
            <v>3</v>
          </cell>
          <cell r="C41">
            <v>8</v>
          </cell>
          <cell r="D41" t="str">
            <v>8．ヴィクリー砂漠</v>
          </cell>
          <cell r="E41" t="str">
            <v>黄DL2</v>
          </cell>
          <cell r="F41">
            <v>5</v>
          </cell>
          <cell r="G41" t="str">
            <v>ja</v>
          </cell>
          <cell r="H41" t="str">
            <v>8-5. 聖なる渇牙</v>
          </cell>
          <cell r="J41" t="str">
            <v>NULL</v>
          </cell>
          <cell r="K41">
            <v>10</v>
          </cell>
          <cell r="L41">
            <v>820</v>
          </cell>
          <cell r="M41">
            <v>1</v>
          </cell>
          <cell r="N41">
            <v>1</v>
          </cell>
          <cell r="O41">
            <v>1</v>
          </cell>
          <cell r="P41">
            <v>1</v>
          </cell>
          <cell r="Q41">
            <v>1</v>
          </cell>
          <cell r="R41">
            <v>3</v>
          </cell>
          <cell r="S41" t="str">
            <v>none</v>
          </cell>
          <cell r="T41">
            <v>0</v>
          </cell>
          <cell r="U41">
            <v>8</v>
          </cell>
          <cell r="V41">
            <v>4</v>
          </cell>
          <cell r="W41" t="str">
            <v>8-4. スピードスターの真髄</v>
          </cell>
          <cell r="X41">
            <v>0</v>
          </cell>
          <cell r="Y41">
            <v>0</v>
          </cell>
          <cell r="Z41">
            <v>0</v>
          </cell>
          <cell r="AA41">
            <v>1</v>
          </cell>
          <cell r="AB41" t="str">
            <v>anytime</v>
          </cell>
          <cell r="AC41">
            <v>8</v>
          </cell>
          <cell r="AD41">
            <v>6</v>
          </cell>
          <cell r="AE41" t="str">
            <v>everyone</v>
          </cell>
        </row>
        <row r="42">
          <cell r="A42" t="str">
            <v>8_6</v>
          </cell>
          <cell r="B42">
            <v>3</v>
          </cell>
          <cell r="C42">
            <v>8</v>
          </cell>
          <cell r="D42" t="str">
            <v>8．ヴィクリー砂漠</v>
          </cell>
          <cell r="E42" t="str">
            <v>黄DL2</v>
          </cell>
          <cell r="F42">
            <v>6</v>
          </cell>
          <cell r="G42" t="str">
            <v>ja</v>
          </cell>
          <cell r="H42" t="str">
            <v>8-6.【1回のみ】ボーナスステージ</v>
          </cell>
          <cell r="I42" t="str">
            <v>ボーナス</v>
          </cell>
          <cell r="J42">
            <v>345</v>
          </cell>
          <cell r="K42">
            <v>1</v>
          </cell>
          <cell r="L42">
            <v>1</v>
          </cell>
          <cell r="M42">
            <v>1</v>
          </cell>
          <cell r="N42">
            <v>1</v>
          </cell>
          <cell r="O42">
            <v>1</v>
          </cell>
          <cell r="P42">
            <v>1</v>
          </cell>
          <cell r="Q42">
            <v>1</v>
          </cell>
          <cell r="R42">
            <v>3</v>
          </cell>
          <cell r="S42" t="str">
            <v>none</v>
          </cell>
          <cell r="T42">
            <v>0</v>
          </cell>
          <cell r="U42">
            <v>8</v>
          </cell>
          <cell r="V42">
            <v>5</v>
          </cell>
          <cell r="W42" t="str">
            <v>8-5. 聖なる渇牙</v>
          </cell>
          <cell r="X42">
            <v>0</v>
          </cell>
          <cell r="Y42">
            <v>0</v>
          </cell>
          <cell r="Z42">
            <v>0</v>
          </cell>
          <cell r="AA42">
            <v>1</v>
          </cell>
          <cell r="AB42" t="str">
            <v>once</v>
          </cell>
          <cell r="AC42">
            <v>8</v>
          </cell>
          <cell r="AD42">
            <v>6</v>
          </cell>
          <cell r="AE42" t="str">
            <v>singleonly</v>
          </cell>
        </row>
        <row r="43">
          <cell r="A43" t="str">
            <v>9_1</v>
          </cell>
          <cell r="B43">
            <v>3</v>
          </cell>
          <cell r="C43">
            <v>9</v>
          </cell>
          <cell r="D43" t="str">
            <v>9．ラバーズ氷河</v>
          </cell>
          <cell r="E43" t="str">
            <v>青DL2</v>
          </cell>
          <cell r="F43">
            <v>1</v>
          </cell>
          <cell r="G43" t="str">
            <v>ja</v>
          </cell>
          <cell r="H43" t="str">
            <v>9-1. 春を待つ奏者</v>
          </cell>
          <cell r="J43" t="str">
            <v>NULL</v>
          </cell>
          <cell r="K43">
            <v>7</v>
          </cell>
          <cell r="L43">
            <v>620</v>
          </cell>
          <cell r="M43">
            <v>1</v>
          </cell>
          <cell r="N43">
            <v>1</v>
          </cell>
          <cell r="O43">
            <v>1</v>
          </cell>
          <cell r="P43">
            <v>1</v>
          </cell>
          <cell r="Q43">
            <v>1</v>
          </cell>
          <cell r="R43">
            <v>3</v>
          </cell>
          <cell r="S43" t="str">
            <v>none</v>
          </cell>
          <cell r="T43">
            <v>0</v>
          </cell>
          <cell r="U43">
            <v>8</v>
          </cell>
          <cell r="V43">
            <v>6</v>
          </cell>
          <cell r="W43" t="str">
            <v>8-6.【1回のみ】ボーナスステージ</v>
          </cell>
          <cell r="X43">
            <v>0</v>
          </cell>
          <cell r="Y43">
            <v>1</v>
          </cell>
          <cell r="Z43">
            <v>0</v>
          </cell>
          <cell r="AA43">
            <v>0</v>
          </cell>
          <cell r="AB43" t="str">
            <v>anytime</v>
          </cell>
          <cell r="AC43">
            <v>9</v>
          </cell>
          <cell r="AD43">
            <v>6</v>
          </cell>
          <cell r="AE43" t="str">
            <v>everyone</v>
          </cell>
        </row>
        <row r="44">
          <cell r="A44" t="str">
            <v>9_2</v>
          </cell>
          <cell r="B44">
            <v>3</v>
          </cell>
          <cell r="C44">
            <v>9</v>
          </cell>
          <cell r="D44" t="str">
            <v>9．ラバーズ氷河</v>
          </cell>
          <cell r="E44" t="str">
            <v>青DL2</v>
          </cell>
          <cell r="F44">
            <v>2</v>
          </cell>
          <cell r="G44" t="str">
            <v>ja</v>
          </cell>
          <cell r="H44" t="str">
            <v>9-2. 氷結への案内</v>
          </cell>
          <cell r="J44" t="str">
            <v>NULL</v>
          </cell>
          <cell r="K44">
            <v>7</v>
          </cell>
          <cell r="L44">
            <v>680</v>
          </cell>
          <cell r="M44">
            <v>1</v>
          </cell>
          <cell r="N44">
            <v>1</v>
          </cell>
          <cell r="O44">
            <v>1</v>
          </cell>
          <cell r="P44">
            <v>1</v>
          </cell>
          <cell r="Q44">
            <v>1</v>
          </cell>
          <cell r="R44">
            <v>3</v>
          </cell>
          <cell r="S44" t="str">
            <v>none</v>
          </cell>
          <cell r="T44">
            <v>0</v>
          </cell>
          <cell r="U44">
            <v>9</v>
          </cell>
          <cell r="V44">
            <v>1</v>
          </cell>
          <cell r="W44" t="str">
            <v>9-1. 春を待つ奏者</v>
          </cell>
          <cell r="X44">
            <v>0</v>
          </cell>
          <cell r="Y44">
            <v>1</v>
          </cell>
          <cell r="Z44">
            <v>0</v>
          </cell>
          <cell r="AA44">
            <v>0</v>
          </cell>
          <cell r="AB44" t="str">
            <v>anytime</v>
          </cell>
          <cell r="AC44">
            <v>9</v>
          </cell>
          <cell r="AD44">
            <v>6</v>
          </cell>
          <cell r="AE44" t="str">
            <v>everyone</v>
          </cell>
        </row>
        <row r="45">
          <cell r="A45" t="str">
            <v>9_3</v>
          </cell>
          <cell r="B45">
            <v>3</v>
          </cell>
          <cell r="C45">
            <v>9</v>
          </cell>
          <cell r="D45" t="str">
            <v>9．ラバーズ氷河</v>
          </cell>
          <cell r="E45" t="str">
            <v>青DL2</v>
          </cell>
          <cell r="F45">
            <v>3</v>
          </cell>
          <cell r="G45" t="str">
            <v>ja</v>
          </cell>
          <cell r="H45" t="str">
            <v>9-3. 大いなる狼拳</v>
          </cell>
          <cell r="J45" t="str">
            <v>NULL</v>
          </cell>
          <cell r="K45">
            <v>8</v>
          </cell>
          <cell r="L45">
            <v>740</v>
          </cell>
          <cell r="M45">
            <v>1</v>
          </cell>
          <cell r="N45">
            <v>1</v>
          </cell>
          <cell r="O45">
            <v>1</v>
          </cell>
          <cell r="P45">
            <v>1</v>
          </cell>
          <cell r="Q45">
            <v>1</v>
          </cell>
          <cell r="R45">
            <v>3</v>
          </cell>
          <cell r="S45" t="str">
            <v>none</v>
          </cell>
          <cell r="T45">
            <v>0</v>
          </cell>
          <cell r="U45">
            <v>9</v>
          </cell>
          <cell r="V45">
            <v>2</v>
          </cell>
          <cell r="W45" t="str">
            <v>9-2. 氷結への案内</v>
          </cell>
          <cell r="X45">
            <v>0</v>
          </cell>
          <cell r="Y45">
            <v>1</v>
          </cell>
          <cell r="Z45">
            <v>0</v>
          </cell>
          <cell r="AA45">
            <v>0</v>
          </cell>
          <cell r="AB45" t="str">
            <v>anytime</v>
          </cell>
          <cell r="AC45">
            <v>9</v>
          </cell>
          <cell r="AD45">
            <v>6</v>
          </cell>
          <cell r="AE45" t="str">
            <v>everyone</v>
          </cell>
        </row>
        <row r="46">
          <cell r="A46" t="str">
            <v>9_4</v>
          </cell>
          <cell r="B46">
            <v>3</v>
          </cell>
          <cell r="C46">
            <v>9</v>
          </cell>
          <cell r="D46" t="str">
            <v>9．ラバーズ氷河</v>
          </cell>
          <cell r="E46" t="str">
            <v>青DL2</v>
          </cell>
          <cell r="F46">
            <v>4</v>
          </cell>
          <cell r="G46" t="str">
            <v>ja</v>
          </cell>
          <cell r="H46" t="str">
            <v>9-4. 溶けゆく氷塊</v>
          </cell>
          <cell r="J46" t="str">
            <v>NULL</v>
          </cell>
          <cell r="K46">
            <v>9</v>
          </cell>
          <cell r="L46">
            <v>800</v>
          </cell>
          <cell r="M46">
            <v>1</v>
          </cell>
          <cell r="N46">
            <v>1</v>
          </cell>
          <cell r="O46">
            <v>1</v>
          </cell>
          <cell r="P46">
            <v>1</v>
          </cell>
          <cell r="Q46">
            <v>1</v>
          </cell>
          <cell r="R46">
            <v>3</v>
          </cell>
          <cell r="S46" t="str">
            <v>none</v>
          </cell>
          <cell r="T46">
            <v>0</v>
          </cell>
          <cell r="U46">
            <v>9</v>
          </cell>
          <cell r="V46">
            <v>3</v>
          </cell>
          <cell r="W46" t="str">
            <v>9-3. 大いなる狼拳</v>
          </cell>
          <cell r="X46">
            <v>0</v>
          </cell>
          <cell r="Y46">
            <v>1</v>
          </cell>
          <cell r="Z46">
            <v>0</v>
          </cell>
          <cell r="AA46">
            <v>0</v>
          </cell>
          <cell r="AB46" t="str">
            <v>anytime</v>
          </cell>
          <cell r="AC46">
            <v>9</v>
          </cell>
          <cell r="AD46">
            <v>6</v>
          </cell>
          <cell r="AE46" t="str">
            <v>everyone</v>
          </cell>
        </row>
        <row r="47">
          <cell r="A47" t="str">
            <v>9_5</v>
          </cell>
          <cell r="B47">
            <v>3</v>
          </cell>
          <cell r="C47">
            <v>9</v>
          </cell>
          <cell r="D47" t="str">
            <v>9．ラバーズ氷河</v>
          </cell>
          <cell r="E47" t="str">
            <v>青DL2</v>
          </cell>
          <cell r="F47">
            <v>5</v>
          </cell>
          <cell r="G47" t="str">
            <v>ja</v>
          </cell>
          <cell r="H47" t="str">
            <v>9-5. 聖なる渦爪</v>
          </cell>
          <cell r="J47" t="str">
            <v>NULL</v>
          </cell>
          <cell r="K47">
            <v>13</v>
          </cell>
          <cell r="L47">
            <v>980</v>
          </cell>
          <cell r="M47">
            <v>1</v>
          </cell>
          <cell r="N47">
            <v>1</v>
          </cell>
          <cell r="O47">
            <v>1</v>
          </cell>
          <cell r="P47">
            <v>1</v>
          </cell>
          <cell r="Q47">
            <v>1</v>
          </cell>
          <cell r="R47">
            <v>3</v>
          </cell>
          <cell r="S47" t="str">
            <v>none</v>
          </cell>
          <cell r="T47">
            <v>0</v>
          </cell>
          <cell r="U47">
            <v>9</v>
          </cell>
          <cell r="V47">
            <v>4</v>
          </cell>
          <cell r="W47" t="str">
            <v>9-4. 溶けゆく氷塊</v>
          </cell>
          <cell r="X47">
            <v>0</v>
          </cell>
          <cell r="Y47">
            <v>1</v>
          </cell>
          <cell r="Z47">
            <v>0</v>
          </cell>
          <cell r="AA47">
            <v>0</v>
          </cell>
          <cell r="AB47" t="str">
            <v>anytime</v>
          </cell>
          <cell r="AC47">
            <v>9</v>
          </cell>
          <cell r="AD47">
            <v>6</v>
          </cell>
          <cell r="AE47" t="str">
            <v>everyone</v>
          </cell>
        </row>
        <row r="48">
          <cell r="A48" t="str">
            <v>9_6</v>
          </cell>
          <cell r="B48">
            <v>3</v>
          </cell>
          <cell r="C48">
            <v>9</v>
          </cell>
          <cell r="D48" t="str">
            <v>9．ラバーズ氷河</v>
          </cell>
          <cell r="E48" t="str">
            <v>青DL2</v>
          </cell>
          <cell r="F48">
            <v>6</v>
          </cell>
          <cell r="G48" t="str">
            <v>ja</v>
          </cell>
          <cell r="H48" t="str">
            <v>9-6. 【1回のみ】ボーナスステージ</v>
          </cell>
          <cell r="I48" t="str">
            <v>ボーナス</v>
          </cell>
          <cell r="J48">
            <v>341</v>
          </cell>
          <cell r="K48">
            <v>1</v>
          </cell>
          <cell r="L48">
            <v>1</v>
          </cell>
          <cell r="M48">
            <v>1</v>
          </cell>
          <cell r="N48">
            <v>1</v>
          </cell>
          <cell r="O48">
            <v>1</v>
          </cell>
          <cell r="P48">
            <v>1</v>
          </cell>
          <cell r="Q48">
            <v>1</v>
          </cell>
          <cell r="R48">
            <v>3</v>
          </cell>
          <cell r="S48" t="str">
            <v>none</v>
          </cell>
          <cell r="T48">
            <v>0</v>
          </cell>
          <cell r="U48">
            <v>9</v>
          </cell>
          <cell r="V48">
            <v>5</v>
          </cell>
          <cell r="W48" t="str">
            <v>9-5. 聖なる渦爪</v>
          </cell>
          <cell r="X48">
            <v>0</v>
          </cell>
          <cell r="Y48">
            <v>1</v>
          </cell>
          <cell r="Z48">
            <v>0</v>
          </cell>
          <cell r="AA48">
            <v>0</v>
          </cell>
          <cell r="AB48" t="str">
            <v>once</v>
          </cell>
          <cell r="AC48">
            <v>9</v>
          </cell>
          <cell r="AD48">
            <v>6</v>
          </cell>
          <cell r="AE48" t="str">
            <v>singleonly</v>
          </cell>
        </row>
        <row r="49">
          <cell r="A49" t="str">
            <v>10_1</v>
          </cell>
          <cell r="B49">
            <v>3</v>
          </cell>
          <cell r="C49">
            <v>10</v>
          </cell>
          <cell r="D49" t="str">
            <v>10．奥散水の紅葉岩</v>
          </cell>
          <cell r="E49" t="str">
            <v>赤DL2</v>
          </cell>
          <cell r="F49">
            <v>1</v>
          </cell>
          <cell r="G49" t="str">
            <v>ja</v>
          </cell>
          <cell r="H49" t="str">
            <v>10-1. ほろ酔い紅葉狩り</v>
          </cell>
          <cell r="J49" t="str">
            <v>NULL</v>
          </cell>
          <cell r="K49">
            <v>8</v>
          </cell>
          <cell r="L49">
            <v>680</v>
          </cell>
          <cell r="M49">
            <v>1</v>
          </cell>
          <cell r="N49">
            <v>1</v>
          </cell>
          <cell r="O49">
            <v>1</v>
          </cell>
          <cell r="P49">
            <v>1</v>
          </cell>
          <cell r="Q49">
            <v>1</v>
          </cell>
          <cell r="R49">
            <v>3</v>
          </cell>
          <cell r="S49" t="str">
            <v>none</v>
          </cell>
          <cell r="T49">
            <v>0</v>
          </cell>
          <cell r="U49">
            <v>9</v>
          </cell>
          <cell r="V49">
            <v>6</v>
          </cell>
          <cell r="W49" t="str">
            <v>9-6. 【1回のみ】ボーナスステージ</v>
          </cell>
          <cell r="X49">
            <v>1</v>
          </cell>
          <cell r="Y49">
            <v>0</v>
          </cell>
          <cell r="Z49">
            <v>0</v>
          </cell>
          <cell r="AA49">
            <v>0</v>
          </cell>
          <cell r="AB49" t="str">
            <v>anytime</v>
          </cell>
          <cell r="AC49">
            <v>10</v>
          </cell>
          <cell r="AD49">
            <v>6</v>
          </cell>
          <cell r="AE49" t="str">
            <v>everyone</v>
          </cell>
        </row>
        <row r="50">
          <cell r="A50" t="str">
            <v>10_2</v>
          </cell>
          <cell r="B50">
            <v>3</v>
          </cell>
          <cell r="C50">
            <v>10</v>
          </cell>
          <cell r="D50" t="str">
            <v>10．奥散水の紅葉岩</v>
          </cell>
          <cell r="E50" t="str">
            <v>赤DL2</v>
          </cell>
          <cell r="F50">
            <v>2</v>
          </cell>
          <cell r="G50" t="str">
            <v>ja</v>
          </cell>
          <cell r="H50" t="str">
            <v>10-2. 岩陰からの襲来</v>
          </cell>
          <cell r="J50" t="str">
            <v>NULL</v>
          </cell>
          <cell r="K50">
            <v>8</v>
          </cell>
          <cell r="L50">
            <v>740</v>
          </cell>
          <cell r="M50">
            <v>1</v>
          </cell>
          <cell r="N50">
            <v>1</v>
          </cell>
          <cell r="O50">
            <v>1</v>
          </cell>
          <cell r="P50">
            <v>1</v>
          </cell>
          <cell r="Q50">
            <v>1</v>
          </cell>
          <cell r="R50">
            <v>3</v>
          </cell>
          <cell r="S50" t="str">
            <v>none</v>
          </cell>
          <cell r="T50">
            <v>0</v>
          </cell>
          <cell r="U50">
            <v>10</v>
          </cell>
          <cell r="V50">
            <v>1</v>
          </cell>
          <cell r="W50" t="str">
            <v>10-1. ほろ酔い紅葉狩り</v>
          </cell>
          <cell r="X50">
            <v>1</v>
          </cell>
          <cell r="Y50">
            <v>0</v>
          </cell>
          <cell r="Z50">
            <v>0</v>
          </cell>
          <cell r="AA50">
            <v>0</v>
          </cell>
          <cell r="AB50" t="str">
            <v>anytime</v>
          </cell>
          <cell r="AC50">
            <v>10</v>
          </cell>
          <cell r="AD50">
            <v>6</v>
          </cell>
          <cell r="AE50" t="str">
            <v>everyone</v>
          </cell>
        </row>
        <row r="51">
          <cell r="A51" t="str">
            <v>10_3</v>
          </cell>
          <cell r="B51">
            <v>3</v>
          </cell>
          <cell r="C51">
            <v>10</v>
          </cell>
          <cell r="D51" t="str">
            <v>10．奥散水の紅葉岩</v>
          </cell>
          <cell r="E51" t="str">
            <v>赤DL2</v>
          </cell>
          <cell r="F51">
            <v>3</v>
          </cell>
          <cell r="G51" t="str">
            <v>ja</v>
          </cell>
          <cell r="H51" t="str">
            <v>10-3. ３つの眼孔</v>
          </cell>
          <cell r="J51" t="str">
            <v>NULL</v>
          </cell>
          <cell r="K51">
            <v>9</v>
          </cell>
          <cell r="L51">
            <v>800</v>
          </cell>
          <cell r="M51">
            <v>1</v>
          </cell>
          <cell r="N51">
            <v>1</v>
          </cell>
          <cell r="O51">
            <v>1</v>
          </cell>
          <cell r="P51">
            <v>1</v>
          </cell>
          <cell r="Q51">
            <v>1</v>
          </cell>
          <cell r="R51">
            <v>3</v>
          </cell>
          <cell r="S51" t="str">
            <v>none</v>
          </cell>
          <cell r="T51">
            <v>0</v>
          </cell>
          <cell r="U51">
            <v>10</v>
          </cell>
          <cell r="V51">
            <v>2</v>
          </cell>
          <cell r="W51" t="str">
            <v>10-2. 岩陰からの襲来</v>
          </cell>
          <cell r="X51">
            <v>1</v>
          </cell>
          <cell r="Y51">
            <v>0</v>
          </cell>
          <cell r="Z51">
            <v>0</v>
          </cell>
          <cell r="AA51">
            <v>0</v>
          </cell>
          <cell r="AB51" t="str">
            <v>anytime</v>
          </cell>
          <cell r="AC51">
            <v>10</v>
          </cell>
          <cell r="AD51">
            <v>6</v>
          </cell>
          <cell r="AE51" t="str">
            <v>everyone</v>
          </cell>
        </row>
        <row r="52">
          <cell r="A52" t="str">
            <v>10_4</v>
          </cell>
          <cell r="B52">
            <v>3</v>
          </cell>
          <cell r="C52">
            <v>10</v>
          </cell>
          <cell r="D52" t="str">
            <v>10．奥散水の紅葉岩</v>
          </cell>
          <cell r="E52" t="str">
            <v>赤DL2</v>
          </cell>
          <cell r="F52">
            <v>4</v>
          </cell>
          <cell r="G52" t="str">
            <v>ja</v>
          </cell>
          <cell r="H52" t="str">
            <v>10-4. 覚醒の泥酔者</v>
          </cell>
          <cell r="J52" t="str">
            <v>NULL</v>
          </cell>
          <cell r="K52">
            <v>9</v>
          </cell>
          <cell r="L52">
            <v>860</v>
          </cell>
          <cell r="M52">
            <v>1</v>
          </cell>
          <cell r="N52">
            <v>1</v>
          </cell>
          <cell r="O52">
            <v>1</v>
          </cell>
          <cell r="P52">
            <v>1</v>
          </cell>
          <cell r="Q52">
            <v>1</v>
          </cell>
          <cell r="R52">
            <v>3</v>
          </cell>
          <cell r="S52" t="str">
            <v>none</v>
          </cell>
          <cell r="T52">
            <v>0</v>
          </cell>
          <cell r="U52">
            <v>10</v>
          </cell>
          <cell r="V52">
            <v>3</v>
          </cell>
          <cell r="W52" t="str">
            <v>10-3. ３つの眼孔</v>
          </cell>
          <cell r="X52">
            <v>1</v>
          </cell>
          <cell r="Y52">
            <v>0</v>
          </cell>
          <cell r="Z52">
            <v>0</v>
          </cell>
          <cell r="AA52">
            <v>0</v>
          </cell>
          <cell r="AB52" t="str">
            <v>anytime</v>
          </cell>
          <cell r="AC52">
            <v>10</v>
          </cell>
          <cell r="AD52">
            <v>6</v>
          </cell>
          <cell r="AE52" t="str">
            <v>everyone</v>
          </cell>
        </row>
        <row r="53">
          <cell r="A53" t="str">
            <v>10_5</v>
          </cell>
          <cell r="B53">
            <v>3</v>
          </cell>
          <cell r="C53">
            <v>10</v>
          </cell>
          <cell r="D53" t="str">
            <v>10．奥散水の紅葉岩</v>
          </cell>
          <cell r="E53" t="str">
            <v>赤DL2</v>
          </cell>
          <cell r="F53">
            <v>5</v>
          </cell>
          <cell r="G53" t="str">
            <v>ja</v>
          </cell>
          <cell r="H53" t="str">
            <v>10-5. 聖なる炎翼</v>
          </cell>
          <cell r="J53" t="str">
            <v>NULL</v>
          </cell>
          <cell r="K53">
            <v>13</v>
          </cell>
          <cell r="L53">
            <v>1140</v>
          </cell>
          <cell r="M53">
            <v>1</v>
          </cell>
          <cell r="N53">
            <v>1</v>
          </cell>
          <cell r="O53">
            <v>1</v>
          </cell>
          <cell r="P53">
            <v>1</v>
          </cell>
          <cell r="Q53">
            <v>1</v>
          </cell>
          <cell r="R53">
            <v>3</v>
          </cell>
          <cell r="S53" t="str">
            <v>none</v>
          </cell>
          <cell r="T53">
            <v>0</v>
          </cell>
          <cell r="U53">
            <v>10</v>
          </cell>
          <cell r="V53">
            <v>4</v>
          </cell>
          <cell r="W53" t="str">
            <v>10-4. 覚醒の泥酔者</v>
          </cell>
          <cell r="X53">
            <v>1</v>
          </cell>
          <cell r="Y53">
            <v>0</v>
          </cell>
          <cell r="Z53">
            <v>0</v>
          </cell>
          <cell r="AA53">
            <v>0</v>
          </cell>
          <cell r="AB53" t="str">
            <v>anytime</v>
          </cell>
          <cell r="AC53">
            <v>10</v>
          </cell>
          <cell r="AD53">
            <v>6</v>
          </cell>
          <cell r="AE53" t="str">
            <v>everyone</v>
          </cell>
        </row>
        <row r="54">
          <cell r="A54" t="str">
            <v>10_6</v>
          </cell>
          <cell r="B54">
            <v>3</v>
          </cell>
          <cell r="C54">
            <v>10</v>
          </cell>
          <cell r="D54" t="str">
            <v>10．奥散水の紅葉岩</v>
          </cell>
          <cell r="E54" t="str">
            <v>赤DL2</v>
          </cell>
          <cell r="F54">
            <v>6</v>
          </cell>
          <cell r="G54" t="str">
            <v>ja</v>
          </cell>
          <cell r="H54" t="str">
            <v>10-6. 【1回のみ】ボーナスステージ</v>
          </cell>
          <cell r="I54" t="str">
            <v>ボーナス</v>
          </cell>
          <cell r="J54">
            <v>333</v>
          </cell>
          <cell r="K54">
            <v>1</v>
          </cell>
          <cell r="L54">
            <v>1</v>
          </cell>
          <cell r="M54">
            <v>1</v>
          </cell>
          <cell r="N54">
            <v>1</v>
          </cell>
          <cell r="O54">
            <v>1</v>
          </cell>
          <cell r="P54">
            <v>1</v>
          </cell>
          <cell r="Q54">
            <v>1</v>
          </cell>
          <cell r="R54">
            <v>3</v>
          </cell>
          <cell r="S54" t="str">
            <v>none</v>
          </cell>
          <cell r="T54">
            <v>0</v>
          </cell>
          <cell r="U54">
            <v>10</v>
          </cell>
          <cell r="V54">
            <v>5</v>
          </cell>
          <cell r="W54" t="str">
            <v>10-5. 聖なる炎翼</v>
          </cell>
          <cell r="X54">
            <v>1</v>
          </cell>
          <cell r="Y54">
            <v>0</v>
          </cell>
          <cell r="Z54">
            <v>0</v>
          </cell>
          <cell r="AA54">
            <v>0</v>
          </cell>
          <cell r="AB54" t="str">
            <v>once</v>
          </cell>
          <cell r="AC54">
            <v>10</v>
          </cell>
          <cell r="AD54">
            <v>6</v>
          </cell>
          <cell r="AE54" t="str">
            <v>singleonly</v>
          </cell>
        </row>
        <row r="55">
          <cell r="A55" t="str">
            <v>11_1</v>
          </cell>
          <cell r="B55">
            <v>3</v>
          </cell>
          <cell r="C55">
            <v>11</v>
          </cell>
          <cell r="D55" t="str">
            <v>11．ディープソート戦場跡</v>
          </cell>
          <cell r="E55" t="str">
            <v>混色DL2</v>
          </cell>
          <cell r="F55">
            <v>1</v>
          </cell>
          <cell r="G55" t="str">
            <v>ja</v>
          </cell>
          <cell r="H55" t="str">
            <v>11-1. 記憶の扉</v>
          </cell>
          <cell r="J55" t="str">
            <v>NULL</v>
          </cell>
          <cell r="K55">
            <v>7</v>
          </cell>
          <cell r="L55">
            <v>860</v>
          </cell>
          <cell r="M55">
            <v>1</v>
          </cell>
          <cell r="N55">
            <v>1</v>
          </cell>
          <cell r="O55">
            <v>1</v>
          </cell>
          <cell r="P55">
            <v>1</v>
          </cell>
          <cell r="Q55">
            <v>1</v>
          </cell>
          <cell r="R55">
            <v>3</v>
          </cell>
          <cell r="S55" t="str">
            <v>none</v>
          </cell>
          <cell r="T55">
            <v>0</v>
          </cell>
          <cell r="U55">
            <v>10</v>
          </cell>
          <cell r="V55">
            <v>6</v>
          </cell>
          <cell r="W55" t="str">
            <v>10-6. 【1回のみ】ボーナスステージ</v>
          </cell>
          <cell r="X55">
            <v>1</v>
          </cell>
          <cell r="Y55">
            <v>1</v>
          </cell>
          <cell r="Z55">
            <v>1</v>
          </cell>
          <cell r="AA55">
            <v>1</v>
          </cell>
          <cell r="AB55" t="str">
            <v>anytime</v>
          </cell>
          <cell r="AC55">
            <v>11</v>
          </cell>
          <cell r="AD55">
            <v>6</v>
          </cell>
          <cell r="AE55" t="str">
            <v>everyone</v>
          </cell>
        </row>
        <row r="56">
          <cell r="A56" t="str">
            <v>11_2</v>
          </cell>
          <cell r="B56">
            <v>3</v>
          </cell>
          <cell r="C56">
            <v>11</v>
          </cell>
          <cell r="D56" t="str">
            <v>11．ディープソート戦場跡</v>
          </cell>
          <cell r="E56" t="str">
            <v>混色DL2</v>
          </cell>
          <cell r="F56">
            <v>2</v>
          </cell>
          <cell r="G56" t="str">
            <v>ja</v>
          </cell>
          <cell r="H56" t="str">
            <v>11-2. 兵どもの夢の跡</v>
          </cell>
          <cell r="J56" t="str">
            <v>NULL</v>
          </cell>
          <cell r="K56">
            <v>7</v>
          </cell>
          <cell r="L56">
            <v>900</v>
          </cell>
          <cell r="M56">
            <v>1</v>
          </cell>
          <cell r="N56">
            <v>1</v>
          </cell>
          <cell r="O56">
            <v>1</v>
          </cell>
          <cell r="P56">
            <v>1</v>
          </cell>
          <cell r="Q56">
            <v>1</v>
          </cell>
          <cell r="R56">
            <v>3</v>
          </cell>
          <cell r="S56" t="str">
            <v>none</v>
          </cell>
          <cell r="T56">
            <v>0</v>
          </cell>
          <cell r="U56">
            <v>11</v>
          </cell>
          <cell r="V56">
            <v>1</v>
          </cell>
          <cell r="W56" t="str">
            <v>11-1. 記憶の扉</v>
          </cell>
          <cell r="X56">
            <v>1</v>
          </cell>
          <cell r="Y56">
            <v>1</v>
          </cell>
          <cell r="Z56">
            <v>1</v>
          </cell>
          <cell r="AA56">
            <v>1</v>
          </cell>
          <cell r="AB56" t="str">
            <v>anytime</v>
          </cell>
          <cell r="AC56">
            <v>11</v>
          </cell>
          <cell r="AD56">
            <v>6</v>
          </cell>
          <cell r="AE56" t="str">
            <v>everyone</v>
          </cell>
        </row>
        <row r="57">
          <cell r="A57" t="str">
            <v>11_3</v>
          </cell>
          <cell r="B57">
            <v>3</v>
          </cell>
          <cell r="C57">
            <v>11</v>
          </cell>
          <cell r="D57" t="str">
            <v>11．ディープソート戦場跡</v>
          </cell>
          <cell r="E57" t="str">
            <v>混色DL2</v>
          </cell>
          <cell r="F57">
            <v>3</v>
          </cell>
          <cell r="G57" t="str">
            <v>ja</v>
          </cell>
          <cell r="H57" t="str">
            <v>11-3. 繰り返される戦争</v>
          </cell>
          <cell r="J57" t="str">
            <v>NULL</v>
          </cell>
          <cell r="K57">
            <v>8</v>
          </cell>
          <cell r="L57">
            <v>1020</v>
          </cell>
          <cell r="M57">
            <v>1</v>
          </cell>
          <cell r="N57">
            <v>1</v>
          </cell>
          <cell r="O57">
            <v>1</v>
          </cell>
          <cell r="P57">
            <v>1</v>
          </cell>
          <cell r="Q57">
            <v>1</v>
          </cell>
          <cell r="R57">
            <v>3</v>
          </cell>
          <cell r="S57" t="str">
            <v>none</v>
          </cell>
          <cell r="T57">
            <v>0</v>
          </cell>
          <cell r="U57">
            <v>11</v>
          </cell>
          <cell r="V57">
            <v>2</v>
          </cell>
          <cell r="W57" t="str">
            <v>11-2. 兵どもの夢の跡</v>
          </cell>
          <cell r="X57">
            <v>1</v>
          </cell>
          <cell r="Y57">
            <v>1</v>
          </cell>
          <cell r="Z57">
            <v>1</v>
          </cell>
          <cell r="AA57">
            <v>1</v>
          </cell>
          <cell r="AB57" t="str">
            <v>anytime</v>
          </cell>
          <cell r="AC57">
            <v>11</v>
          </cell>
          <cell r="AD57">
            <v>6</v>
          </cell>
          <cell r="AE57" t="str">
            <v>everyone</v>
          </cell>
        </row>
        <row r="58">
          <cell r="A58" t="str">
            <v>11_4</v>
          </cell>
          <cell r="B58">
            <v>3</v>
          </cell>
          <cell r="C58">
            <v>11</v>
          </cell>
          <cell r="D58" t="str">
            <v>11．ディープソート戦場跡</v>
          </cell>
          <cell r="E58" t="str">
            <v>混色DL2</v>
          </cell>
          <cell r="F58">
            <v>4</v>
          </cell>
          <cell r="G58" t="str">
            <v>ja</v>
          </cell>
          <cell r="H58" t="str">
            <v>11-4. チェックメイトへの布石</v>
          </cell>
          <cell r="J58" t="str">
            <v>NULL</v>
          </cell>
          <cell r="K58">
            <v>9</v>
          </cell>
          <cell r="L58">
            <v>1160</v>
          </cell>
          <cell r="M58">
            <v>1</v>
          </cell>
          <cell r="N58">
            <v>1</v>
          </cell>
          <cell r="O58">
            <v>1</v>
          </cell>
          <cell r="P58">
            <v>1</v>
          </cell>
          <cell r="Q58">
            <v>1</v>
          </cell>
          <cell r="R58">
            <v>3</v>
          </cell>
          <cell r="S58" t="str">
            <v>none</v>
          </cell>
          <cell r="T58">
            <v>0</v>
          </cell>
          <cell r="U58">
            <v>11</v>
          </cell>
          <cell r="V58">
            <v>3</v>
          </cell>
          <cell r="W58" t="str">
            <v>11-3. 繰り返される戦争</v>
          </cell>
          <cell r="X58">
            <v>1</v>
          </cell>
          <cell r="Y58">
            <v>1</v>
          </cell>
          <cell r="Z58">
            <v>1</v>
          </cell>
          <cell r="AA58">
            <v>1</v>
          </cell>
          <cell r="AB58" t="str">
            <v>anytime</v>
          </cell>
          <cell r="AC58">
            <v>11</v>
          </cell>
          <cell r="AD58">
            <v>6</v>
          </cell>
          <cell r="AE58" t="str">
            <v>everyone</v>
          </cell>
        </row>
        <row r="59">
          <cell r="A59" t="str">
            <v>11_5</v>
          </cell>
          <cell r="B59">
            <v>3</v>
          </cell>
          <cell r="C59">
            <v>11</v>
          </cell>
          <cell r="D59" t="str">
            <v>11．ディープソート戦場跡</v>
          </cell>
          <cell r="E59" t="str">
            <v>混色DL2</v>
          </cell>
          <cell r="F59">
            <v>5</v>
          </cell>
          <cell r="G59" t="str">
            <v>ja</v>
          </cell>
          <cell r="H59" t="str">
            <v>11-5. 訓練された生存者</v>
          </cell>
          <cell r="J59" t="str">
            <v>NULL</v>
          </cell>
          <cell r="K59">
            <v>15</v>
          </cell>
          <cell r="L59">
            <v>1400</v>
          </cell>
          <cell r="M59">
            <v>1</v>
          </cell>
          <cell r="N59">
            <v>1</v>
          </cell>
          <cell r="O59">
            <v>1</v>
          </cell>
          <cell r="P59">
            <v>1</v>
          </cell>
          <cell r="Q59">
            <v>1</v>
          </cell>
          <cell r="R59">
            <v>3</v>
          </cell>
          <cell r="S59" t="str">
            <v>none</v>
          </cell>
          <cell r="T59">
            <v>0</v>
          </cell>
          <cell r="U59">
            <v>11</v>
          </cell>
          <cell r="V59">
            <v>4</v>
          </cell>
          <cell r="W59" t="str">
            <v>11-4. チェックメイトへの布石</v>
          </cell>
          <cell r="X59">
            <v>1</v>
          </cell>
          <cell r="Y59">
            <v>1</v>
          </cell>
          <cell r="Z59">
            <v>1</v>
          </cell>
          <cell r="AA59">
            <v>1</v>
          </cell>
          <cell r="AB59" t="str">
            <v>anytime</v>
          </cell>
          <cell r="AC59">
            <v>11</v>
          </cell>
          <cell r="AD59">
            <v>6</v>
          </cell>
          <cell r="AE59" t="str">
            <v>everyone</v>
          </cell>
        </row>
        <row r="60">
          <cell r="A60" t="str">
            <v>11_6</v>
          </cell>
          <cell r="B60">
            <v>3</v>
          </cell>
          <cell r="C60">
            <v>11</v>
          </cell>
          <cell r="D60" t="str">
            <v>11．ディープソート戦場跡</v>
          </cell>
          <cell r="E60" t="str">
            <v>混色DL2</v>
          </cell>
          <cell r="F60">
            <v>6</v>
          </cell>
          <cell r="G60" t="str">
            <v>ja</v>
          </cell>
          <cell r="H60" t="str">
            <v>11-6. 【1回のみ】ボーナスステージ</v>
          </cell>
          <cell r="I60" t="str">
            <v>ボーナス</v>
          </cell>
          <cell r="J60">
            <v>125</v>
          </cell>
          <cell r="K60">
            <v>1</v>
          </cell>
          <cell r="L60">
            <v>1</v>
          </cell>
          <cell r="M60">
            <v>1</v>
          </cell>
          <cell r="N60">
            <v>1</v>
          </cell>
          <cell r="O60">
            <v>1</v>
          </cell>
          <cell r="P60">
            <v>1</v>
          </cell>
          <cell r="Q60">
            <v>1</v>
          </cell>
          <cell r="R60">
            <v>3</v>
          </cell>
          <cell r="S60" t="str">
            <v>none</v>
          </cell>
          <cell r="T60">
            <v>0</v>
          </cell>
          <cell r="U60">
            <v>11</v>
          </cell>
          <cell r="V60">
            <v>5</v>
          </cell>
          <cell r="W60" t="str">
            <v>11-5. 訓練された生存者</v>
          </cell>
          <cell r="X60">
            <v>1</v>
          </cell>
          <cell r="Y60">
            <v>1</v>
          </cell>
          <cell r="Z60">
            <v>1</v>
          </cell>
          <cell r="AA60">
            <v>1</v>
          </cell>
          <cell r="AB60" t="str">
            <v>once</v>
          </cell>
          <cell r="AC60">
            <v>11</v>
          </cell>
          <cell r="AD60">
            <v>6</v>
          </cell>
          <cell r="AE60" t="str">
            <v>singleonly</v>
          </cell>
        </row>
        <row r="61">
          <cell r="A61" t="str">
            <v>12_1</v>
          </cell>
          <cell r="B61">
            <v>3</v>
          </cell>
          <cell r="C61">
            <v>12</v>
          </cell>
          <cell r="D61" t="str">
            <v>12．電脳街アキハバラ2.0</v>
          </cell>
          <cell r="E61" t="str">
            <v>黄DL3</v>
          </cell>
          <cell r="F61">
            <v>1</v>
          </cell>
          <cell r="G61" t="str">
            <v>ja</v>
          </cell>
          <cell r="H61" t="str">
            <v>12-1. 電気街を駆ける働き者</v>
          </cell>
          <cell r="J61" t="str">
            <v>NULL</v>
          </cell>
          <cell r="K61">
            <v>8</v>
          </cell>
          <cell r="L61">
            <v>720</v>
          </cell>
          <cell r="M61">
            <v>1</v>
          </cell>
          <cell r="N61">
            <v>1</v>
          </cell>
          <cell r="O61">
            <v>1</v>
          </cell>
          <cell r="P61">
            <v>1</v>
          </cell>
          <cell r="Q61">
            <v>1</v>
          </cell>
          <cell r="R61">
            <v>3</v>
          </cell>
          <cell r="S61" t="str">
            <v>none</v>
          </cell>
          <cell r="T61">
            <v>0</v>
          </cell>
          <cell r="U61">
            <v>11</v>
          </cell>
          <cell r="V61">
            <v>6</v>
          </cell>
          <cell r="W61" t="str">
            <v>11-6. 【1回のみ】ボーナスステージ</v>
          </cell>
          <cell r="X61">
            <v>0</v>
          </cell>
          <cell r="Y61">
            <v>0</v>
          </cell>
          <cell r="Z61">
            <v>0</v>
          </cell>
          <cell r="AA61">
            <v>1</v>
          </cell>
          <cell r="AB61" t="str">
            <v>anytime</v>
          </cell>
          <cell r="AC61">
            <v>12</v>
          </cell>
          <cell r="AD61">
            <v>6</v>
          </cell>
          <cell r="AE61" t="str">
            <v>everyone</v>
          </cell>
        </row>
        <row r="62">
          <cell r="A62" t="str">
            <v>12_2</v>
          </cell>
          <cell r="B62">
            <v>3</v>
          </cell>
          <cell r="C62">
            <v>12</v>
          </cell>
          <cell r="D62" t="str">
            <v>12．電脳街アキハバラ2.0</v>
          </cell>
          <cell r="E62" t="str">
            <v>黄DL3</v>
          </cell>
          <cell r="F62">
            <v>2</v>
          </cell>
          <cell r="G62" t="str">
            <v>ja</v>
          </cell>
          <cell r="H62" t="str">
            <v>12-2. アーケードの迅雷</v>
          </cell>
          <cell r="J62" t="str">
            <v>NULL</v>
          </cell>
          <cell r="K62">
            <v>8</v>
          </cell>
          <cell r="L62">
            <v>760</v>
          </cell>
          <cell r="M62">
            <v>1</v>
          </cell>
          <cell r="N62">
            <v>1</v>
          </cell>
          <cell r="O62">
            <v>1</v>
          </cell>
          <cell r="P62">
            <v>1</v>
          </cell>
          <cell r="Q62">
            <v>1</v>
          </cell>
          <cell r="R62">
            <v>3</v>
          </cell>
          <cell r="S62" t="str">
            <v>none</v>
          </cell>
          <cell r="T62">
            <v>0</v>
          </cell>
          <cell r="U62">
            <v>12</v>
          </cell>
          <cell r="V62">
            <v>1</v>
          </cell>
          <cell r="W62" t="str">
            <v>12-1. 電気街を駆ける働き者</v>
          </cell>
          <cell r="X62">
            <v>0</v>
          </cell>
          <cell r="Y62">
            <v>0</v>
          </cell>
          <cell r="Z62">
            <v>0</v>
          </cell>
          <cell r="AA62">
            <v>1</v>
          </cell>
          <cell r="AB62" t="str">
            <v>anytime</v>
          </cell>
          <cell r="AC62">
            <v>12</v>
          </cell>
          <cell r="AD62">
            <v>6</v>
          </cell>
          <cell r="AE62" t="str">
            <v>everyone</v>
          </cell>
        </row>
        <row r="63">
          <cell r="A63" t="str">
            <v>12_3</v>
          </cell>
          <cell r="B63">
            <v>3</v>
          </cell>
          <cell r="C63">
            <v>12</v>
          </cell>
          <cell r="D63" t="str">
            <v>12．電脳街アキハバラ2.0</v>
          </cell>
          <cell r="E63" t="str">
            <v>黄DL3</v>
          </cell>
          <cell r="F63">
            <v>3</v>
          </cell>
          <cell r="G63" t="str">
            <v>ja</v>
          </cell>
          <cell r="H63" t="str">
            <v>12-3. 裏道の大鎌</v>
          </cell>
          <cell r="J63" t="str">
            <v>NULL</v>
          </cell>
          <cell r="K63">
            <v>9</v>
          </cell>
          <cell r="L63">
            <v>840</v>
          </cell>
          <cell r="M63">
            <v>1</v>
          </cell>
          <cell r="N63">
            <v>1</v>
          </cell>
          <cell r="O63">
            <v>1</v>
          </cell>
          <cell r="P63">
            <v>1</v>
          </cell>
          <cell r="Q63">
            <v>1</v>
          </cell>
          <cell r="R63">
            <v>3</v>
          </cell>
          <cell r="S63" t="str">
            <v>none</v>
          </cell>
          <cell r="T63">
            <v>0</v>
          </cell>
          <cell r="U63">
            <v>12</v>
          </cell>
          <cell r="V63">
            <v>2</v>
          </cell>
          <cell r="W63" t="str">
            <v>12-2. アーケードの迅雷</v>
          </cell>
          <cell r="X63">
            <v>0</v>
          </cell>
          <cell r="Y63">
            <v>0</v>
          </cell>
          <cell r="Z63">
            <v>0</v>
          </cell>
          <cell r="AA63">
            <v>1</v>
          </cell>
          <cell r="AB63" t="str">
            <v>anytime</v>
          </cell>
          <cell r="AC63">
            <v>12</v>
          </cell>
          <cell r="AD63">
            <v>6</v>
          </cell>
          <cell r="AE63" t="str">
            <v>everyone</v>
          </cell>
        </row>
        <row r="64">
          <cell r="A64" t="str">
            <v>12_4</v>
          </cell>
          <cell r="B64">
            <v>3</v>
          </cell>
          <cell r="C64">
            <v>12</v>
          </cell>
          <cell r="D64" t="str">
            <v>12．電脳街アキハバラ2.0</v>
          </cell>
          <cell r="E64" t="str">
            <v>黄DL3</v>
          </cell>
          <cell r="F64">
            <v>4</v>
          </cell>
          <cell r="G64" t="str">
            <v>ja</v>
          </cell>
          <cell r="H64" t="str">
            <v>12-4. トリック縦横無尽</v>
          </cell>
          <cell r="J64" t="str">
            <v>NULL</v>
          </cell>
          <cell r="K64">
            <v>10</v>
          </cell>
          <cell r="L64">
            <v>880</v>
          </cell>
          <cell r="M64">
            <v>1</v>
          </cell>
          <cell r="N64">
            <v>1</v>
          </cell>
          <cell r="O64">
            <v>1</v>
          </cell>
          <cell r="P64">
            <v>1</v>
          </cell>
          <cell r="Q64">
            <v>1</v>
          </cell>
          <cell r="R64">
            <v>3</v>
          </cell>
          <cell r="S64" t="str">
            <v>none</v>
          </cell>
          <cell r="T64">
            <v>0</v>
          </cell>
          <cell r="U64">
            <v>12</v>
          </cell>
          <cell r="V64">
            <v>3</v>
          </cell>
          <cell r="W64" t="str">
            <v>12-3. 裏道の大鎌</v>
          </cell>
          <cell r="X64">
            <v>0</v>
          </cell>
          <cell r="Y64">
            <v>0</v>
          </cell>
          <cell r="Z64">
            <v>0</v>
          </cell>
          <cell r="AA64">
            <v>1</v>
          </cell>
          <cell r="AB64" t="str">
            <v>anytime</v>
          </cell>
          <cell r="AC64">
            <v>12</v>
          </cell>
          <cell r="AD64">
            <v>6</v>
          </cell>
          <cell r="AE64" t="str">
            <v>everyone</v>
          </cell>
        </row>
        <row r="65">
          <cell r="A65" t="str">
            <v>12_5</v>
          </cell>
          <cell r="B65">
            <v>3</v>
          </cell>
          <cell r="C65">
            <v>12</v>
          </cell>
          <cell r="D65" t="str">
            <v>12．電脳街アキハバラ2.0</v>
          </cell>
          <cell r="E65" t="str">
            <v>黄DL3</v>
          </cell>
          <cell r="F65">
            <v>5</v>
          </cell>
          <cell r="G65" t="str">
            <v>ja</v>
          </cell>
          <cell r="H65" t="str">
            <v>12-5. 強蹴の働き者</v>
          </cell>
          <cell r="J65" t="str">
            <v>NULL</v>
          </cell>
          <cell r="K65">
            <v>14</v>
          </cell>
          <cell r="L65">
            <v>1120</v>
          </cell>
          <cell r="M65">
            <v>1</v>
          </cell>
          <cell r="N65">
            <v>1</v>
          </cell>
          <cell r="O65">
            <v>1</v>
          </cell>
          <cell r="P65">
            <v>1</v>
          </cell>
          <cell r="Q65">
            <v>1</v>
          </cell>
          <cell r="R65">
            <v>3</v>
          </cell>
          <cell r="S65" t="str">
            <v>none</v>
          </cell>
          <cell r="T65">
            <v>0</v>
          </cell>
          <cell r="U65">
            <v>12</v>
          </cell>
          <cell r="V65">
            <v>4</v>
          </cell>
          <cell r="W65" t="str">
            <v>12-4. トリック縦横無尽</v>
          </cell>
          <cell r="X65">
            <v>0</v>
          </cell>
          <cell r="Y65">
            <v>0</v>
          </cell>
          <cell r="Z65">
            <v>0</v>
          </cell>
          <cell r="AA65">
            <v>1</v>
          </cell>
          <cell r="AB65" t="str">
            <v>anytime</v>
          </cell>
          <cell r="AC65">
            <v>12</v>
          </cell>
          <cell r="AD65">
            <v>6</v>
          </cell>
          <cell r="AE65" t="str">
            <v>everyone</v>
          </cell>
        </row>
        <row r="66">
          <cell r="A66" t="str">
            <v>12_6</v>
          </cell>
          <cell r="B66">
            <v>3</v>
          </cell>
          <cell r="C66">
            <v>12</v>
          </cell>
          <cell r="D66" t="str">
            <v>12．電脳街アキハバラ2.0</v>
          </cell>
          <cell r="E66" t="str">
            <v>黄DL3</v>
          </cell>
          <cell r="F66">
            <v>6</v>
          </cell>
          <cell r="G66" t="str">
            <v>ja</v>
          </cell>
          <cell r="H66" t="str">
            <v>12-6. 【1回のみ】ボーナスステージ</v>
          </cell>
          <cell r="I66" t="str">
            <v>ボーナス</v>
          </cell>
          <cell r="J66">
            <v>346</v>
          </cell>
          <cell r="K66">
            <v>1</v>
          </cell>
          <cell r="L66">
            <v>1</v>
          </cell>
          <cell r="M66">
            <v>1</v>
          </cell>
          <cell r="N66">
            <v>1</v>
          </cell>
          <cell r="O66">
            <v>1</v>
          </cell>
          <cell r="P66">
            <v>1</v>
          </cell>
          <cell r="Q66">
            <v>1</v>
          </cell>
          <cell r="R66">
            <v>3</v>
          </cell>
          <cell r="S66" t="str">
            <v>none</v>
          </cell>
          <cell r="T66">
            <v>0</v>
          </cell>
          <cell r="U66">
            <v>12</v>
          </cell>
          <cell r="V66">
            <v>5</v>
          </cell>
          <cell r="W66" t="str">
            <v>12-5. 強蹴の働き者</v>
          </cell>
          <cell r="X66">
            <v>0</v>
          </cell>
          <cell r="Y66">
            <v>0</v>
          </cell>
          <cell r="Z66">
            <v>0</v>
          </cell>
          <cell r="AA66">
            <v>1</v>
          </cell>
          <cell r="AB66" t="str">
            <v>once</v>
          </cell>
          <cell r="AC66">
            <v>12</v>
          </cell>
          <cell r="AD66">
            <v>6</v>
          </cell>
          <cell r="AE66" t="str">
            <v>singleonly</v>
          </cell>
        </row>
        <row r="67">
          <cell r="A67" t="str">
            <v>13_1</v>
          </cell>
          <cell r="B67">
            <v>3</v>
          </cell>
          <cell r="C67">
            <v>13</v>
          </cell>
          <cell r="D67" t="str">
            <v>13．天空城マドーラ</v>
          </cell>
          <cell r="E67" t="str">
            <v>青DL3</v>
          </cell>
          <cell r="F67">
            <v>1</v>
          </cell>
          <cell r="G67" t="str">
            <v>ja</v>
          </cell>
          <cell r="H67" t="str">
            <v>13-1. 甘く切ないメロウ</v>
          </cell>
          <cell r="J67" t="str">
            <v>NULL</v>
          </cell>
          <cell r="K67">
            <v>8</v>
          </cell>
          <cell r="L67">
            <v>760</v>
          </cell>
          <cell r="M67">
            <v>1</v>
          </cell>
          <cell r="N67">
            <v>1</v>
          </cell>
          <cell r="O67">
            <v>1</v>
          </cell>
          <cell r="P67">
            <v>1</v>
          </cell>
          <cell r="Q67">
            <v>1</v>
          </cell>
          <cell r="R67">
            <v>3</v>
          </cell>
          <cell r="S67" t="str">
            <v>none</v>
          </cell>
          <cell r="T67">
            <v>0</v>
          </cell>
          <cell r="U67">
            <v>12</v>
          </cell>
          <cell r="V67">
            <v>6</v>
          </cell>
          <cell r="W67" t="str">
            <v>12-6. 【1回のみ】ボーナスステージ</v>
          </cell>
          <cell r="X67">
            <v>0</v>
          </cell>
          <cell r="Y67">
            <v>1</v>
          </cell>
          <cell r="Z67">
            <v>0</v>
          </cell>
          <cell r="AA67">
            <v>0</v>
          </cell>
          <cell r="AB67" t="str">
            <v>anytime</v>
          </cell>
          <cell r="AC67">
            <v>13</v>
          </cell>
          <cell r="AD67">
            <v>6</v>
          </cell>
          <cell r="AE67" t="str">
            <v>everyone</v>
          </cell>
        </row>
        <row r="68">
          <cell r="A68" t="str">
            <v>13_2</v>
          </cell>
          <cell r="B68">
            <v>3</v>
          </cell>
          <cell r="C68">
            <v>13</v>
          </cell>
          <cell r="D68" t="str">
            <v>13．天空城マドーラ</v>
          </cell>
          <cell r="E68" t="str">
            <v>青DL3</v>
          </cell>
          <cell r="F68">
            <v>2</v>
          </cell>
          <cell r="G68" t="str">
            <v>ja</v>
          </cell>
          <cell r="H68" t="str">
            <v>13-2. 天上の書家</v>
          </cell>
          <cell r="J68" t="str">
            <v>NULL</v>
          </cell>
          <cell r="K68">
            <v>8</v>
          </cell>
          <cell r="L68">
            <v>800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1</v>
          </cell>
          <cell r="R68">
            <v>3</v>
          </cell>
          <cell r="S68" t="str">
            <v>none</v>
          </cell>
          <cell r="T68">
            <v>0</v>
          </cell>
          <cell r="U68">
            <v>13</v>
          </cell>
          <cell r="V68">
            <v>1</v>
          </cell>
          <cell r="W68" t="str">
            <v>13-1. 甘く切ないメロウ</v>
          </cell>
          <cell r="X68">
            <v>0</v>
          </cell>
          <cell r="Y68">
            <v>1</v>
          </cell>
          <cell r="Z68">
            <v>0</v>
          </cell>
          <cell r="AA68">
            <v>0</v>
          </cell>
          <cell r="AB68" t="str">
            <v>anytime</v>
          </cell>
          <cell r="AC68">
            <v>13</v>
          </cell>
          <cell r="AD68">
            <v>6</v>
          </cell>
          <cell r="AE68" t="str">
            <v>everyone</v>
          </cell>
        </row>
        <row r="69">
          <cell r="A69" t="str">
            <v>13_3</v>
          </cell>
          <cell r="B69">
            <v>3</v>
          </cell>
          <cell r="C69">
            <v>13</v>
          </cell>
          <cell r="D69" t="str">
            <v>13．天空城マドーラ</v>
          </cell>
          <cell r="E69" t="str">
            <v>青DL3</v>
          </cell>
          <cell r="F69">
            <v>3</v>
          </cell>
          <cell r="G69" t="str">
            <v>ja</v>
          </cell>
          <cell r="H69" t="str">
            <v>13-3. 雲海の司令塔</v>
          </cell>
          <cell r="J69" t="str">
            <v>NULL</v>
          </cell>
          <cell r="K69">
            <v>9</v>
          </cell>
          <cell r="L69">
            <v>880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1</v>
          </cell>
          <cell r="R69">
            <v>3</v>
          </cell>
          <cell r="S69" t="str">
            <v>none</v>
          </cell>
          <cell r="T69">
            <v>0</v>
          </cell>
          <cell r="U69">
            <v>13</v>
          </cell>
          <cell r="V69">
            <v>2</v>
          </cell>
          <cell r="W69" t="str">
            <v>13-2. 天上の書家</v>
          </cell>
          <cell r="X69">
            <v>0</v>
          </cell>
          <cell r="Y69">
            <v>1</v>
          </cell>
          <cell r="Z69">
            <v>0</v>
          </cell>
          <cell r="AA69">
            <v>0</v>
          </cell>
          <cell r="AB69" t="str">
            <v>anytime</v>
          </cell>
          <cell r="AC69">
            <v>13</v>
          </cell>
          <cell r="AD69">
            <v>6</v>
          </cell>
          <cell r="AE69" t="str">
            <v>everyone</v>
          </cell>
        </row>
        <row r="70">
          <cell r="A70" t="str">
            <v>13_4</v>
          </cell>
          <cell r="B70">
            <v>3</v>
          </cell>
          <cell r="C70">
            <v>13</v>
          </cell>
          <cell r="D70" t="str">
            <v>13．天空城マドーラ</v>
          </cell>
          <cell r="E70" t="str">
            <v>青DL3</v>
          </cell>
          <cell r="F70">
            <v>4</v>
          </cell>
          <cell r="G70" t="str">
            <v>ja</v>
          </cell>
          <cell r="H70" t="str">
            <v>13-4. 生命吹き込む旋律</v>
          </cell>
          <cell r="J70" t="str">
            <v>NULL</v>
          </cell>
          <cell r="K70">
            <v>10</v>
          </cell>
          <cell r="L70">
            <v>920</v>
          </cell>
          <cell r="M70">
            <v>1</v>
          </cell>
          <cell r="N70">
            <v>1</v>
          </cell>
          <cell r="O70">
            <v>1</v>
          </cell>
          <cell r="P70">
            <v>1</v>
          </cell>
          <cell r="Q70">
            <v>1</v>
          </cell>
          <cell r="R70">
            <v>3</v>
          </cell>
          <cell r="S70" t="str">
            <v>none</v>
          </cell>
          <cell r="T70">
            <v>0</v>
          </cell>
          <cell r="U70">
            <v>13</v>
          </cell>
          <cell r="V70">
            <v>3</v>
          </cell>
          <cell r="W70" t="str">
            <v>13-3. 雲海の司令塔</v>
          </cell>
          <cell r="X70">
            <v>0</v>
          </cell>
          <cell r="Y70">
            <v>1</v>
          </cell>
          <cell r="Z70">
            <v>0</v>
          </cell>
          <cell r="AA70">
            <v>0</v>
          </cell>
          <cell r="AB70" t="str">
            <v>anytime</v>
          </cell>
          <cell r="AC70">
            <v>13</v>
          </cell>
          <cell r="AD70">
            <v>6</v>
          </cell>
          <cell r="AE70" t="str">
            <v>everyone</v>
          </cell>
        </row>
        <row r="71">
          <cell r="A71" t="str">
            <v>13_5</v>
          </cell>
          <cell r="B71">
            <v>3</v>
          </cell>
          <cell r="C71">
            <v>13</v>
          </cell>
          <cell r="D71" t="str">
            <v>13．天空城マドーラ</v>
          </cell>
          <cell r="E71" t="str">
            <v>青DL3</v>
          </cell>
          <cell r="F71">
            <v>5</v>
          </cell>
          <cell r="G71" t="str">
            <v>ja</v>
          </cell>
          <cell r="H71" t="str">
            <v>13-5. ローレライの導き</v>
          </cell>
          <cell r="J71" t="str">
            <v>NULL</v>
          </cell>
          <cell r="K71">
            <v>14</v>
          </cell>
          <cell r="L71">
            <v>1180</v>
          </cell>
          <cell r="M71">
            <v>1</v>
          </cell>
          <cell r="N71">
            <v>1</v>
          </cell>
          <cell r="O71">
            <v>1</v>
          </cell>
          <cell r="P71">
            <v>1</v>
          </cell>
          <cell r="Q71">
            <v>1</v>
          </cell>
          <cell r="R71">
            <v>3</v>
          </cell>
          <cell r="S71" t="str">
            <v>none</v>
          </cell>
          <cell r="T71">
            <v>0</v>
          </cell>
          <cell r="U71">
            <v>13</v>
          </cell>
          <cell r="V71">
            <v>4</v>
          </cell>
          <cell r="W71" t="str">
            <v>13-4. 生命吹き込む旋律</v>
          </cell>
          <cell r="X71">
            <v>0</v>
          </cell>
          <cell r="Y71">
            <v>1</v>
          </cell>
          <cell r="Z71">
            <v>0</v>
          </cell>
          <cell r="AA71">
            <v>0</v>
          </cell>
          <cell r="AB71" t="str">
            <v>anytime</v>
          </cell>
          <cell r="AC71">
            <v>13</v>
          </cell>
          <cell r="AD71">
            <v>6</v>
          </cell>
          <cell r="AE71" t="str">
            <v>everyone</v>
          </cell>
        </row>
        <row r="72">
          <cell r="A72" t="str">
            <v>13_6</v>
          </cell>
          <cell r="B72">
            <v>3</v>
          </cell>
          <cell r="C72">
            <v>13</v>
          </cell>
          <cell r="D72" t="str">
            <v>13．天空城マドーラ</v>
          </cell>
          <cell r="E72" t="str">
            <v>青DL3</v>
          </cell>
          <cell r="F72">
            <v>6</v>
          </cell>
          <cell r="G72" t="str">
            <v>ja</v>
          </cell>
          <cell r="H72" t="str">
            <v>13-6. 【1回のみ】ボーナスステージ</v>
          </cell>
          <cell r="I72" t="str">
            <v>ボーナス</v>
          </cell>
          <cell r="J72">
            <v>342</v>
          </cell>
          <cell r="K72">
            <v>1</v>
          </cell>
          <cell r="L72">
            <v>1</v>
          </cell>
          <cell r="M72">
            <v>1</v>
          </cell>
          <cell r="N72">
            <v>1</v>
          </cell>
          <cell r="O72">
            <v>1</v>
          </cell>
          <cell r="P72">
            <v>1</v>
          </cell>
          <cell r="Q72">
            <v>1</v>
          </cell>
          <cell r="R72">
            <v>3</v>
          </cell>
          <cell r="S72" t="str">
            <v>none</v>
          </cell>
          <cell r="T72">
            <v>0</v>
          </cell>
          <cell r="U72">
            <v>13</v>
          </cell>
          <cell r="V72">
            <v>5</v>
          </cell>
          <cell r="W72" t="str">
            <v>13-5. ローレライの導き</v>
          </cell>
          <cell r="X72">
            <v>0</v>
          </cell>
          <cell r="Y72">
            <v>1</v>
          </cell>
          <cell r="Z72">
            <v>0</v>
          </cell>
          <cell r="AA72">
            <v>0</v>
          </cell>
          <cell r="AB72" t="str">
            <v>once</v>
          </cell>
          <cell r="AC72">
            <v>13</v>
          </cell>
          <cell r="AD72">
            <v>6</v>
          </cell>
          <cell r="AE72" t="str">
            <v>singleonly</v>
          </cell>
        </row>
        <row r="73">
          <cell r="A73" t="str">
            <v>14_1</v>
          </cell>
          <cell r="B73">
            <v>3</v>
          </cell>
          <cell r="C73">
            <v>14</v>
          </cell>
          <cell r="D73" t="str">
            <v>14．機械都市マッシュ</v>
          </cell>
          <cell r="E73" t="str">
            <v>赤DL3</v>
          </cell>
          <cell r="F73">
            <v>1</v>
          </cell>
          <cell r="G73" t="str">
            <v>ja</v>
          </cell>
          <cell r="H73" t="str">
            <v>14-1. 爆煙を起こす者</v>
          </cell>
          <cell r="J73" t="str">
            <v>NULL</v>
          </cell>
          <cell r="K73">
            <v>8</v>
          </cell>
          <cell r="L73">
            <v>860</v>
          </cell>
          <cell r="M73">
            <v>1</v>
          </cell>
          <cell r="N73">
            <v>1</v>
          </cell>
          <cell r="O73">
            <v>1</v>
          </cell>
          <cell r="P73">
            <v>1</v>
          </cell>
          <cell r="Q73">
            <v>1</v>
          </cell>
          <cell r="R73">
            <v>3</v>
          </cell>
          <cell r="S73" t="str">
            <v>none</v>
          </cell>
          <cell r="T73">
            <v>0</v>
          </cell>
          <cell r="U73">
            <v>13</v>
          </cell>
          <cell r="V73">
            <v>6</v>
          </cell>
          <cell r="W73" t="str">
            <v>13-6. 【1回のみ】ボーナスステージ</v>
          </cell>
          <cell r="X73">
            <v>1</v>
          </cell>
          <cell r="Y73">
            <v>0</v>
          </cell>
          <cell r="Z73">
            <v>0</v>
          </cell>
          <cell r="AA73">
            <v>0</v>
          </cell>
          <cell r="AB73" t="str">
            <v>anytime</v>
          </cell>
          <cell r="AC73">
            <v>14</v>
          </cell>
          <cell r="AD73">
            <v>6</v>
          </cell>
          <cell r="AE73" t="str">
            <v>everyone</v>
          </cell>
        </row>
        <row r="74">
          <cell r="A74" t="str">
            <v>14_2</v>
          </cell>
          <cell r="B74">
            <v>3</v>
          </cell>
          <cell r="C74">
            <v>14</v>
          </cell>
          <cell r="D74" t="str">
            <v>14．機械都市マッシュ</v>
          </cell>
          <cell r="E74" t="str">
            <v>赤DL3</v>
          </cell>
          <cell r="F74">
            <v>2</v>
          </cell>
          <cell r="G74" t="str">
            <v>ja</v>
          </cell>
          <cell r="H74" t="str">
            <v>14-2. 燃える息</v>
          </cell>
          <cell r="J74" t="str">
            <v>NULL</v>
          </cell>
          <cell r="K74">
            <v>8</v>
          </cell>
          <cell r="L74">
            <v>900</v>
          </cell>
          <cell r="M74">
            <v>1</v>
          </cell>
          <cell r="N74">
            <v>1</v>
          </cell>
          <cell r="O74">
            <v>1</v>
          </cell>
          <cell r="P74">
            <v>1</v>
          </cell>
          <cell r="Q74">
            <v>1</v>
          </cell>
          <cell r="R74">
            <v>3</v>
          </cell>
          <cell r="S74" t="str">
            <v>none</v>
          </cell>
          <cell r="T74">
            <v>0</v>
          </cell>
          <cell r="U74">
            <v>14</v>
          </cell>
          <cell r="V74">
            <v>1</v>
          </cell>
          <cell r="W74" t="str">
            <v>14-1. 爆煙を起こす者</v>
          </cell>
          <cell r="X74">
            <v>1</v>
          </cell>
          <cell r="Y74">
            <v>0</v>
          </cell>
          <cell r="Z74">
            <v>0</v>
          </cell>
          <cell r="AA74">
            <v>0</v>
          </cell>
          <cell r="AB74" t="str">
            <v>anytime</v>
          </cell>
          <cell r="AC74">
            <v>14</v>
          </cell>
          <cell r="AD74">
            <v>6</v>
          </cell>
          <cell r="AE74" t="str">
            <v>everyone</v>
          </cell>
        </row>
        <row r="75">
          <cell r="A75" t="str">
            <v>14_3</v>
          </cell>
          <cell r="B75">
            <v>3</v>
          </cell>
          <cell r="C75">
            <v>14</v>
          </cell>
          <cell r="D75" t="str">
            <v>14．機械都市マッシュ</v>
          </cell>
          <cell r="E75" t="str">
            <v>赤DL3</v>
          </cell>
          <cell r="F75">
            <v>3</v>
          </cell>
          <cell r="G75" t="str">
            <v>ja</v>
          </cell>
          <cell r="H75" t="str">
            <v>14-3. 力隠す門番</v>
          </cell>
          <cell r="J75" t="str">
            <v>NULL</v>
          </cell>
          <cell r="K75">
            <v>9</v>
          </cell>
          <cell r="L75">
            <v>980</v>
          </cell>
          <cell r="M75">
            <v>1</v>
          </cell>
          <cell r="N75">
            <v>1</v>
          </cell>
          <cell r="O75">
            <v>1</v>
          </cell>
          <cell r="P75">
            <v>1</v>
          </cell>
          <cell r="Q75">
            <v>1</v>
          </cell>
          <cell r="R75">
            <v>3</v>
          </cell>
          <cell r="S75" t="str">
            <v>none</v>
          </cell>
          <cell r="T75">
            <v>0</v>
          </cell>
          <cell r="U75">
            <v>14</v>
          </cell>
          <cell r="V75">
            <v>2</v>
          </cell>
          <cell r="W75" t="str">
            <v>14-2. 燃える息</v>
          </cell>
          <cell r="X75">
            <v>1</v>
          </cell>
          <cell r="Y75">
            <v>0</v>
          </cell>
          <cell r="Z75">
            <v>0</v>
          </cell>
          <cell r="AA75">
            <v>0</v>
          </cell>
          <cell r="AB75" t="str">
            <v>anytime</v>
          </cell>
          <cell r="AC75">
            <v>14</v>
          </cell>
          <cell r="AD75">
            <v>6</v>
          </cell>
          <cell r="AE75" t="str">
            <v>everyone</v>
          </cell>
        </row>
        <row r="76">
          <cell r="A76" t="str">
            <v>14_4</v>
          </cell>
          <cell r="B76">
            <v>3</v>
          </cell>
          <cell r="C76">
            <v>14</v>
          </cell>
          <cell r="D76" t="str">
            <v>14．機械都市マッシュ</v>
          </cell>
          <cell r="E76" t="str">
            <v>赤DL3</v>
          </cell>
          <cell r="F76">
            <v>4</v>
          </cell>
          <cell r="G76" t="str">
            <v>ja</v>
          </cell>
          <cell r="H76" t="str">
            <v>14-4. 不規則な酒乱</v>
          </cell>
          <cell r="J76" t="str">
            <v>NULL</v>
          </cell>
          <cell r="K76">
            <v>10</v>
          </cell>
          <cell r="L76">
            <v>1060</v>
          </cell>
          <cell r="M76">
            <v>1</v>
          </cell>
          <cell r="N76">
            <v>1</v>
          </cell>
          <cell r="O76">
            <v>1</v>
          </cell>
          <cell r="P76">
            <v>1</v>
          </cell>
          <cell r="Q76">
            <v>1</v>
          </cell>
          <cell r="R76">
            <v>3</v>
          </cell>
          <cell r="S76" t="str">
            <v>none</v>
          </cell>
          <cell r="T76">
            <v>0</v>
          </cell>
          <cell r="U76">
            <v>14</v>
          </cell>
          <cell r="V76">
            <v>3</v>
          </cell>
          <cell r="W76" t="str">
            <v>14-3. 力隠す門番</v>
          </cell>
          <cell r="X76">
            <v>1</v>
          </cell>
          <cell r="Y76">
            <v>0</v>
          </cell>
          <cell r="Z76">
            <v>0</v>
          </cell>
          <cell r="AA76">
            <v>0</v>
          </cell>
          <cell r="AB76" t="str">
            <v>anytime</v>
          </cell>
          <cell r="AC76">
            <v>14</v>
          </cell>
          <cell r="AD76">
            <v>6</v>
          </cell>
          <cell r="AE76" t="str">
            <v>everyone</v>
          </cell>
        </row>
        <row r="77">
          <cell r="A77" t="str">
            <v>14_5</v>
          </cell>
          <cell r="B77">
            <v>3</v>
          </cell>
          <cell r="C77">
            <v>14</v>
          </cell>
          <cell r="D77" t="str">
            <v>14．機械都市マッシュ</v>
          </cell>
          <cell r="E77" t="str">
            <v>赤DL3</v>
          </cell>
          <cell r="F77">
            <v>5</v>
          </cell>
          <cell r="G77" t="str">
            <v>ja</v>
          </cell>
          <cell r="H77" t="str">
            <v>14-5. 重機駆ける逆徒</v>
          </cell>
          <cell r="J77" t="str">
            <v>NULL</v>
          </cell>
          <cell r="K77">
            <v>14</v>
          </cell>
          <cell r="L77">
            <v>1320</v>
          </cell>
          <cell r="M77">
            <v>1</v>
          </cell>
          <cell r="N77">
            <v>1</v>
          </cell>
          <cell r="O77">
            <v>1</v>
          </cell>
          <cell r="P77">
            <v>1</v>
          </cell>
          <cell r="Q77">
            <v>1</v>
          </cell>
          <cell r="R77">
            <v>3</v>
          </cell>
          <cell r="S77" t="str">
            <v>none</v>
          </cell>
          <cell r="T77">
            <v>0</v>
          </cell>
          <cell r="U77">
            <v>14</v>
          </cell>
          <cell r="V77">
            <v>4</v>
          </cell>
          <cell r="W77" t="str">
            <v>14-4. 不規則な酒乱</v>
          </cell>
          <cell r="X77">
            <v>1</v>
          </cell>
          <cell r="Y77">
            <v>0</v>
          </cell>
          <cell r="Z77">
            <v>0</v>
          </cell>
          <cell r="AA77">
            <v>0</v>
          </cell>
          <cell r="AB77" t="str">
            <v>anytime</v>
          </cell>
          <cell r="AC77">
            <v>14</v>
          </cell>
          <cell r="AD77">
            <v>6</v>
          </cell>
          <cell r="AE77" t="str">
            <v>everyone</v>
          </cell>
        </row>
        <row r="78">
          <cell r="A78" t="str">
            <v>14_6</v>
          </cell>
          <cell r="B78">
            <v>3</v>
          </cell>
          <cell r="C78">
            <v>14</v>
          </cell>
          <cell r="D78" t="str">
            <v>14．機械都市マッシュ</v>
          </cell>
          <cell r="E78" t="str">
            <v>赤DL3</v>
          </cell>
          <cell r="F78">
            <v>6</v>
          </cell>
          <cell r="G78" t="str">
            <v>ja</v>
          </cell>
          <cell r="H78" t="str">
            <v>14-6. 【1回のみ】ボーナスステージ</v>
          </cell>
          <cell r="I78" t="str">
            <v>ボーナス</v>
          </cell>
          <cell r="J78">
            <v>334</v>
          </cell>
          <cell r="K78">
            <v>1</v>
          </cell>
          <cell r="L78">
            <v>1</v>
          </cell>
          <cell r="M78">
            <v>1</v>
          </cell>
          <cell r="N78">
            <v>1</v>
          </cell>
          <cell r="O78">
            <v>1</v>
          </cell>
          <cell r="P78">
            <v>1</v>
          </cell>
          <cell r="Q78">
            <v>1</v>
          </cell>
          <cell r="R78">
            <v>3</v>
          </cell>
          <cell r="S78" t="str">
            <v>none</v>
          </cell>
          <cell r="T78">
            <v>0</v>
          </cell>
          <cell r="U78">
            <v>14</v>
          </cell>
          <cell r="V78">
            <v>5</v>
          </cell>
          <cell r="W78" t="str">
            <v>14-5. 重機駆ける逆徒</v>
          </cell>
          <cell r="X78">
            <v>1</v>
          </cell>
          <cell r="Y78">
            <v>0</v>
          </cell>
          <cell r="Z78">
            <v>0</v>
          </cell>
          <cell r="AA78">
            <v>0</v>
          </cell>
          <cell r="AB78" t="str">
            <v>once</v>
          </cell>
          <cell r="AC78">
            <v>14</v>
          </cell>
          <cell r="AD78">
            <v>6</v>
          </cell>
          <cell r="AE78" t="str">
            <v>singleonly</v>
          </cell>
        </row>
        <row r="79">
          <cell r="A79" t="str">
            <v>15_1</v>
          </cell>
          <cell r="B79">
            <v>3</v>
          </cell>
          <cell r="C79">
            <v>15</v>
          </cell>
          <cell r="D79" t="str">
            <v>15．ハイサイスタジアム</v>
          </cell>
          <cell r="E79" t="str">
            <v>緑DL3</v>
          </cell>
          <cell r="F79">
            <v>1</v>
          </cell>
          <cell r="G79" t="str">
            <v>ja</v>
          </cell>
          <cell r="H79" t="str">
            <v>15-1. 先駆けの乱打</v>
          </cell>
          <cell r="J79" t="str">
            <v>NULL</v>
          </cell>
          <cell r="K79">
            <v>8</v>
          </cell>
          <cell r="L79">
            <v>920</v>
          </cell>
          <cell r="M79">
            <v>1</v>
          </cell>
          <cell r="N79">
            <v>1</v>
          </cell>
          <cell r="O79">
            <v>1</v>
          </cell>
          <cell r="P79">
            <v>1</v>
          </cell>
          <cell r="Q79">
            <v>1</v>
          </cell>
          <cell r="R79">
            <v>3</v>
          </cell>
          <cell r="S79" t="str">
            <v>none</v>
          </cell>
          <cell r="T79">
            <v>0</v>
          </cell>
          <cell r="U79">
            <v>14</v>
          </cell>
          <cell r="V79">
            <v>6</v>
          </cell>
          <cell r="W79" t="str">
            <v>14-6. 【1回のみ】ボーナスステージ</v>
          </cell>
          <cell r="X79">
            <v>0</v>
          </cell>
          <cell r="Y79">
            <v>0</v>
          </cell>
          <cell r="Z79">
            <v>1</v>
          </cell>
          <cell r="AA79">
            <v>0</v>
          </cell>
          <cell r="AB79" t="str">
            <v>anytime</v>
          </cell>
          <cell r="AC79">
            <v>15</v>
          </cell>
          <cell r="AD79">
            <v>6</v>
          </cell>
          <cell r="AE79" t="str">
            <v>everyone</v>
          </cell>
        </row>
        <row r="80">
          <cell r="A80" t="str">
            <v>15_2</v>
          </cell>
          <cell r="B80">
            <v>3</v>
          </cell>
          <cell r="C80">
            <v>15</v>
          </cell>
          <cell r="D80" t="str">
            <v>15．ハイサイスタジアム</v>
          </cell>
          <cell r="E80" t="str">
            <v>緑DL3</v>
          </cell>
          <cell r="F80">
            <v>2</v>
          </cell>
          <cell r="G80" t="str">
            <v>ja</v>
          </cell>
          <cell r="H80" t="str">
            <v>15-2. 異星の参戦</v>
          </cell>
          <cell r="J80" t="str">
            <v>NULL</v>
          </cell>
          <cell r="K80">
            <v>8</v>
          </cell>
          <cell r="L80">
            <v>980</v>
          </cell>
          <cell r="M80">
            <v>1</v>
          </cell>
          <cell r="N80">
            <v>1</v>
          </cell>
          <cell r="O80">
            <v>1</v>
          </cell>
          <cell r="P80">
            <v>1</v>
          </cell>
          <cell r="Q80">
            <v>1</v>
          </cell>
          <cell r="R80">
            <v>3</v>
          </cell>
          <cell r="S80" t="str">
            <v>none</v>
          </cell>
          <cell r="T80">
            <v>0</v>
          </cell>
          <cell r="U80">
            <v>15</v>
          </cell>
          <cell r="V80">
            <v>1</v>
          </cell>
          <cell r="W80" t="str">
            <v>15-1. 先駆けの乱打</v>
          </cell>
          <cell r="X80">
            <v>0</v>
          </cell>
          <cell r="Y80">
            <v>0</v>
          </cell>
          <cell r="Z80">
            <v>1</v>
          </cell>
          <cell r="AA80">
            <v>0</v>
          </cell>
          <cell r="AB80" t="str">
            <v>anytime</v>
          </cell>
          <cell r="AC80">
            <v>15</v>
          </cell>
          <cell r="AD80">
            <v>6</v>
          </cell>
          <cell r="AE80" t="str">
            <v>everyone</v>
          </cell>
        </row>
        <row r="81">
          <cell r="A81" t="str">
            <v>15_3</v>
          </cell>
          <cell r="B81">
            <v>3</v>
          </cell>
          <cell r="C81">
            <v>15</v>
          </cell>
          <cell r="D81" t="str">
            <v>15．ハイサイスタジアム</v>
          </cell>
          <cell r="E81" t="str">
            <v>緑DL3</v>
          </cell>
          <cell r="F81">
            <v>3</v>
          </cell>
          <cell r="G81" t="str">
            <v>ja</v>
          </cell>
          <cell r="H81" t="str">
            <v>15-3. シューティングレンジの美女</v>
          </cell>
          <cell r="J81" t="str">
            <v>NULL</v>
          </cell>
          <cell r="K81">
            <v>9</v>
          </cell>
          <cell r="L81">
            <v>1060</v>
          </cell>
          <cell r="M81">
            <v>1</v>
          </cell>
          <cell r="N81">
            <v>1</v>
          </cell>
          <cell r="O81">
            <v>1</v>
          </cell>
          <cell r="P81">
            <v>1</v>
          </cell>
          <cell r="Q81">
            <v>1</v>
          </cell>
          <cell r="R81">
            <v>3</v>
          </cell>
          <cell r="S81" t="str">
            <v>none</v>
          </cell>
          <cell r="T81">
            <v>0</v>
          </cell>
          <cell r="U81">
            <v>15</v>
          </cell>
          <cell r="V81">
            <v>2</v>
          </cell>
          <cell r="W81" t="str">
            <v>15-2. 異星の参戦</v>
          </cell>
          <cell r="X81">
            <v>0</v>
          </cell>
          <cell r="Y81">
            <v>0</v>
          </cell>
          <cell r="Z81">
            <v>1</v>
          </cell>
          <cell r="AA81">
            <v>0</v>
          </cell>
          <cell r="AB81" t="str">
            <v>anytime</v>
          </cell>
          <cell r="AC81">
            <v>15</v>
          </cell>
          <cell r="AD81">
            <v>6</v>
          </cell>
          <cell r="AE81" t="str">
            <v>everyone</v>
          </cell>
        </row>
        <row r="82">
          <cell r="A82" t="str">
            <v>15_4</v>
          </cell>
          <cell r="B82">
            <v>3</v>
          </cell>
          <cell r="C82">
            <v>15</v>
          </cell>
          <cell r="D82" t="str">
            <v>15．ハイサイスタジアム</v>
          </cell>
          <cell r="E82" t="str">
            <v>緑DL3</v>
          </cell>
          <cell r="F82">
            <v>4</v>
          </cell>
          <cell r="G82" t="str">
            <v>ja</v>
          </cell>
          <cell r="H82" t="str">
            <v>15-4. 無邪気な来客</v>
          </cell>
          <cell r="J82" t="str">
            <v>NULL</v>
          </cell>
          <cell r="K82">
            <v>10</v>
          </cell>
          <cell r="L82">
            <v>1220</v>
          </cell>
          <cell r="M82">
            <v>1</v>
          </cell>
          <cell r="N82">
            <v>1</v>
          </cell>
          <cell r="O82">
            <v>1</v>
          </cell>
          <cell r="P82">
            <v>1</v>
          </cell>
          <cell r="Q82">
            <v>1</v>
          </cell>
          <cell r="R82">
            <v>3</v>
          </cell>
          <cell r="S82" t="str">
            <v>none</v>
          </cell>
          <cell r="T82">
            <v>0</v>
          </cell>
          <cell r="U82">
            <v>15</v>
          </cell>
          <cell r="V82">
            <v>3</v>
          </cell>
          <cell r="W82" t="str">
            <v>15-3. シューティングレンジの美女</v>
          </cell>
          <cell r="X82">
            <v>0</v>
          </cell>
          <cell r="Y82">
            <v>0</v>
          </cell>
          <cell r="Z82">
            <v>1</v>
          </cell>
          <cell r="AA82">
            <v>0</v>
          </cell>
          <cell r="AB82" t="str">
            <v>anytime</v>
          </cell>
          <cell r="AC82">
            <v>15</v>
          </cell>
          <cell r="AD82">
            <v>6</v>
          </cell>
          <cell r="AE82" t="str">
            <v>everyone</v>
          </cell>
        </row>
        <row r="83">
          <cell r="A83" t="str">
            <v>15_5</v>
          </cell>
          <cell r="B83">
            <v>3</v>
          </cell>
          <cell r="C83">
            <v>15</v>
          </cell>
          <cell r="D83" t="str">
            <v>15．ハイサイスタジアム</v>
          </cell>
          <cell r="E83" t="str">
            <v>緑DL3</v>
          </cell>
          <cell r="F83">
            <v>5</v>
          </cell>
          <cell r="G83" t="str">
            <v>ja</v>
          </cell>
          <cell r="H83" t="str">
            <v>15-5. 縁舞のメインイベント</v>
          </cell>
          <cell r="J83" t="str">
            <v>NULL</v>
          </cell>
          <cell r="K83">
            <v>14</v>
          </cell>
          <cell r="L83">
            <v>1510</v>
          </cell>
          <cell r="M83">
            <v>1</v>
          </cell>
          <cell r="N83">
            <v>1</v>
          </cell>
          <cell r="O83">
            <v>1</v>
          </cell>
          <cell r="P83">
            <v>1</v>
          </cell>
          <cell r="Q83">
            <v>1</v>
          </cell>
          <cell r="R83">
            <v>3</v>
          </cell>
          <cell r="S83" t="str">
            <v>none</v>
          </cell>
          <cell r="T83">
            <v>0</v>
          </cell>
          <cell r="U83">
            <v>15</v>
          </cell>
          <cell r="V83">
            <v>4</v>
          </cell>
          <cell r="W83" t="str">
            <v>15-4. 無邪気な来客</v>
          </cell>
          <cell r="X83">
            <v>0</v>
          </cell>
          <cell r="Y83">
            <v>0</v>
          </cell>
          <cell r="Z83">
            <v>1</v>
          </cell>
          <cell r="AA83">
            <v>0</v>
          </cell>
          <cell r="AB83" t="str">
            <v>anytime</v>
          </cell>
          <cell r="AC83">
            <v>15</v>
          </cell>
          <cell r="AD83">
            <v>6</v>
          </cell>
          <cell r="AE83" t="str">
            <v>everyone</v>
          </cell>
        </row>
        <row r="84">
          <cell r="A84" t="str">
            <v>15_6</v>
          </cell>
          <cell r="B84">
            <v>3</v>
          </cell>
          <cell r="C84">
            <v>15</v>
          </cell>
          <cell r="D84" t="str">
            <v>15．ハイサイスタジアム</v>
          </cell>
          <cell r="E84" t="str">
            <v>緑DL3</v>
          </cell>
          <cell r="F84">
            <v>6</v>
          </cell>
          <cell r="G84" t="str">
            <v>ja</v>
          </cell>
          <cell r="H84" t="str">
            <v>15-6. 【1回のみ】ボーナスステージ</v>
          </cell>
          <cell r="I84" t="str">
            <v>ボーナス</v>
          </cell>
          <cell r="J84">
            <v>338</v>
          </cell>
          <cell r="K84">
            <v>1</v>
          </cell>
          <cell r="L84">
            <v>1</v>
          </cell>
          <cell r="M84">
            <v>1</v>
          </cell>
          <cell r="N84">
            <v>1</v>
          </cell>
          <cell r="O84">
            <v>1</v>
          </cell>
          <cell r="P84">
            <v>1</v>
          </cell>
          <cell r="Q84">
            <v>1</v>
          </cell>
          <cell r="R84">
            <v>3</v>
          </cell>
          <cell r="S84" t="str">
            <v>none</v>
          </cell>
          <cell r="T84">
            <v>0</v>
          </cell>
          <cell r="U84">
            <v>15</v>
          </cell>
          <cell r="V84">
            <v>5</v>
          </cell>
          <cell r="W84" t="str">
            <v>15-5. 縁舞のメインイベント</v>
          </cell>
          <cell r="X84">
            <v>0</v>
          </cell>
          <cell r="Y84">
            <v>0</v>
          </cell>
          <cell r="Z84">
            <v>1</v>
          </cell>
          <cell r="AA84">
            <v>0</v>
          </cell>
          <cell r="AB84" t="str">
            <v>once</v>
          </cell>
          <cell r="AC84">
            <v>15</v>
          </cell>
          <cell r="AD84">
            <v>6</v>
          </cell>
          <cell r="AE84" t="str">
            <v>singleonly</v>
          </cell>
        </row>
        <row r="85">
          <cell r="A85" t="str">
            <v>16_1</v>
          </cell>
          <cell r="B85">
            <v>3</v>
          </cell>
          <cell r="C85">
            <v>16</v>
          </cell>
          <cell r="D85" t="str">
            <v>16．H&amp;Gスイートハウス</v>
          </cell>
          <cell r="E85" t="str">
            <v>混色DL3</v>
          </cell>
          <cell r="F85">
            <v>1</v>
          </cell>
          <cell r="G85" t="str">
            <v>ja</v>
          </cell>
          <cell r="H85" t="str">
            <v>16-1. 侵入スイートハウス</v>
          </cell>
          <cell r="J85" t="str">
            <v>NULL</v>
          </cell>
          <cell r="K85">
            <v>9</v>
          </cell>
          <cell r="L85">
            <v>1200</v>
          </cell>
          <cell r="M85">
            <v>1</v>
          </cell>
          <cell r="N85">
            <v>1</v>
          </cell>
          <cell r="O85">
            <v>1</v>
          </cell>
          <cell r="P85">
            <v>1</v>
          </cell>
          <cell r="Q85">
            <v>1</v>
          </cell>
          <cell r="R85">
            <v>3</v>
          </cell>
          <cell r="S85" t="str">
            <v>none</v>
          </cell>
          <cell r="T85">
            <v>0</v>
          </cell>
          <cell r="U85">
            <v>15</v>
          </cell>
          <cell r="V85">
            <v>6</v>
          </cell>
          <cell r="W85" t="str">
            <v>15-6. 【1回のみ】ボーナスステージ</v>
          </cell>
          <cell r="X85">
            <v>1</v>
          </cell>
          <cell r="Y85">
            <v>1</v>
          </cell>
          <cell r="Z85">
            <v>1</v>
          </cell>
          <cell r="AA85">
            <v>1</v>
          </cell>
          <cell r="AB85" t="str">
            <v>anytime</v>
          </cell>
          <cell r="AC85">
            <v>16</v>
          </cell>
          <cell r="AD85">
            <v>6</v>
          </cell>
          <cell r="AE85" t="str">
            <v>everyone</v>
          </cell>
        </row>
        <row r="86">
          <cell r="A86" t="str">
            <v>16_2</v>
          </cell>
          <cell r="B86">
            <v>3</v>
          </cell>
          <cell r="C86">
            <v>16</v>
          </cell>
          <cell r="D86" t="str">
            <v>16．H&amp;Gスイートハウス</v>
          </cell>
          <cell r="E86" t="str">
            <v>混色DL3</v>
          </cell>
          <cell r="F86">
            <v>2</v>
          </cell>
          <cell r="G86" t="str">
            <v>ja</v>
          </cell>
          <cell r="H86" t="str">
            <v>16-2. ベタつく扉</v>
          </cell>
          <cell r="J86" t="str">
            <v>NULL</v>
          </cell>
          <cell r="K86">
            <v>9</v>
          </cell>
          <cell r="L86">
            <v>1280</v>
          </cell>
          <cell r="M86">
            <v>1</v>
          </cell>
          <cell r="N86">
            <v>1</v>
          </cell>
          <cell r="O86">
            <v>1</v>
          </cell>
          <cell r="P86">
            <v>1</v>
          </cell>
          <cell r="Q86">
            <v>1</v>
          </cell>
          <cell r="R86">
            <v>3</v>
          </cell>
          <cell r="S86" t="str">
            <v>none</v>
          </cell>
          <cell r="T86">
            <v>0</v>
          </cell>
          <cell r="U86">
            <v>16</v>
          </cell>
          <cell r="V86">
            <v>1</v>
          </cell>
          <cell r="W86" t="str">
            <v>16-1. 侵入スイートハウス</v>
          </cell>
          <cell r="X86">
            <v>1</v>
          </cell>
          <cell r="Y86">
            <v>1</v>
          </cell>
          <cell r="Z86">
            <v>1</v>
          </cell>
          <cell r="AA86">
            <v>1</v>
          </cell>
          <cell r="AB86" t="str">
            <v>anytime</v>
          </cell>
          <cell r="AC86">
            <v>16</v>
          </cell>
          <cell r="AD86">
            <v>6</v>
          </cell>
          <cell r="AE86" t="str">
            <v>everyone</v>
          </cell>
        </row>
        <row r="87">
          <cell r="A87" t="str">
            <v>16_3</v>
          </cell>
          <cell r="B87">
            <v>3</v>
          </cell>
          <cell r="C87">
            <v>16</v>
          </cell>
          <cell r="D87" t="str">
            <v>16．H&amp;Gスイートハウス</v>
          </cell>
          <cell r="E87" t="str">
            <v>混色DL3</v>
          </cell>
          <cell r="F87">
            <v>3</v>
          </cell>
          <cell r="G87" t="str">
            <v>ja</v>
          </cell>
          <cell r="H87" t="str">
            <v>16-3. 甘くて危険な空間</v>
          </cell>
          <cell r="J87" t="str">
            <v>NULL</v>
          </cell>
          <cell r="K87">
            <v>10</v>
          </cell>
          <cell r="L87">
            <v>1360</v>
          </cell>
          <cell r="M87">
            <v>1</v>
          </cell>
          <cell r="N87">
            <v>1</v>
          </cell>
          <cell r="O87">
            <v>1</v>
          </cell>
          <cell r="P87">
            <v>1</v>
          </cell>
          <cell r="Q87">
            <v>1</v>
          </cell>
          <cell r="R87">
            <v>3</v>
          </cell>
          <cell r="S87" t="str">
            <v>none</v>
          </cell>
          <cell r="T87">
            <v>0</v>
          </cell>
          <cell r="U87">
            <v>16</v>
          </cell>
          <cell r="V87">
            <v>2</v>
          </cell>
          <cell r="W87" t="str">
            <v>16-2. ベタつく扉</v>
          </cell>
          <cell r="X87">
            <v>1</v>
          </cell>
          <cell r="Y87">
            <v>1</v>
          </cell>
          <cell r="Z87">
            <v>1</v>
          </cell>
          <cell r="AA87">
            <v>1</v>
          </cell>
          <cell r="AB87" t="str">
            <v>anytime</v>
          </cell>
          <cell r="AC87">
            <v>16</v>
          </cell>
          <cell r="AD87">
            <v>6</v>
          </cell>
          <cell r="AE87" t="str">
            <v>everyone</v>
          </cell>
        </row>
        <row r="88">
          <cell r="A88" t="str">
            <v>16_4</v>
          </cell>
          <cell r="B88">
            <v>3</v>
          </cell>
          <cell r="C88">
            <v>16</v>
          </cell>
          <cell r="D88" t="str">
            <v>16．H&amp;Gスイートハウス</v>
          </cell>
          <cell r="E88" t="str">
            <v>混色DL3</v>
          </cell>
          <cell r="F88">
            <v>4</v>
          </cell>
          <cell r="G88" t="str">
            <v>ja</v>
          </cell>
          <cell r="H88" t="str">
            <v>16-4. 戦慄のシュガーハイ</v>
          </cell>
          <cell r="J88" t="str">
            <v>NULL</v>
          </cell>
          <cell r="K88">
            <v>11</v>
          </cell>
          <cell r="L88">
            <v>1580</v>
          </cell>
          <cell r="M88">
            <v>1</v>
          </cell>
          <cell r="N88">
            <v>1</v>
          </cell>
          <cell r="O88">
            <v>1</v>
          </cell>
          <cell r="P88">
            <v>1</v>
          </cell>
          <cell r="Q88">
            <v>1</v>
          </cell>
          <cell r="R88">
            <v>3</v>
          </cell>
          <cell r="S88" t="str">
            <v>none</v>
          </cell>
          <cell r="T88">
            <v>0</v>
          </cell>
          <cell r="U88">
            <v>16</v>
          </cell>
          <cell r="V88">
            <v>3</v>
          </cell>
          <cell r="W88" t="str">
            <v>16-3. 甘くて危険な空間</v>
          </cell>
          <cell r="X88">
            <v>1</v>
          </cell>
          <cell r="Y88">
            <v>1</v>
          </cell>
          <cell r="Z88">
            <v>1</v>
          </cell>
          <cell r="AA88">
            <v>1</v>
          </cell>
          <cell r="AB88" t="str">
            <v>anytime</v>
          </cell>
          <cell r="AC88">
            <v>16</v>
          </cell>
          <cell r="AD88">
            <v>6</v>
          </cell>
          <cell r="AE88" t="str">
            <v>everyone</v>
          </cell>
        </row>
        <row r="89">
          <cell r="A89" t="str">
            <v>16_5</v>
          </cell>
          <cell r="B89">
            <v>3</v>
          </cell>
          <cell r="C89">
            <v>16</v>
          </cell>
          <cell r="D89" t="str">
            <v>16．H&amp;Gスイートハウス</v>
          </cell>
          <cell r="E89" t="str">
            <v>混色DL3</v>
          </cell>
          <cell r="F89">
            <v>5</v>
          </cell>
          <cell r="G89" t="str">
            <v>ja</v>
          </cell>
          <cell r="H89" t="str">
            <v>16-5. プディングに狂気を添えて</v>
          </cell>
          <cell r="J89" t="str">
            <v>NULL</v>
          </cell>
          <cell r="K89">
            <v>16</v>
          </cell>
          <cell r="L89">
            <v>2110</v>
          </cell>
          <cell r="M89">
            <v>1</v>
          </cell>
          <cell r="N89">
            <v>1</v>
          </cell>
          <cell r="O89">
            <v>1</v>
          </cell>
          <cell r="P89">
            <v>1</v>
          </cell>
          <cell r="Q89">
            <v>1</v>
          </cell>
          <cell r="R89">
            <v>3</v>
          </cell>
          <cell r="S89" t="str">
            <v>none</v>
          </cell>
          <cell r="T89">
            <v>0</v>
          </cell>
          <cell r="U89">
            <v>16</v>
          </cell>
          <cell r="V89">
            <v>4</v>
          </cell>
          <cell r="W89" t="str">
            <v>16-4. 戦慄のシュガーハイ</v>
          </cell>
          <cell r="X89">
            <v>1</v>
          </cell>
          <cell r="Y89">
            <v>1</v>
          </cell>
          <cell r="Z89">
            <v>1</v>
          </cell>
          <cell r="AA89">
            <v>1</v>
          </cell>
          <cell r="AB89" t="str">
            <v>anytime</v>
          </cell>
          <cell r="AC89">
            <v>16</v>
          </cell>
          <cell r="AD89">
            <v>6</v>
          </cell>
          <cell r="AE89" t="str">
            <v>everyone</v>
          </cell>
        </row>
        <row r="90">
          <cell r="A90" t="str">
            <v>16_6</v>
          </cell>
          <cell r="B90">
            <v>3</v>
          </cell>
          <cell r="C90">
            <v>16</v>
          </cell>
          <cell r="D90" t="str">
            <v>16．H&amp;Gスイートハウス</v>
          </cell>
          <cell r="E90" t="str">
            <v>混色DL3</v>
          </cell>
          <cell r="F90">
            <v>6</v>
          </cell>
          <cell r="G90" t="str">
            <v>ja</v>
          </cell>
          <cell r="H90" t="str">
            <v>16-6. 【1回のみ】ボーナスステージ</v>
          </cell>
          <cell r="I90" t="str">
            <v>ボーナス</v>
          </cell>
          <cell r="J90">
            <v>125</v>
          </cell>
          <cell r="K90">
            <v>1</v>
          </cell>
          <cell r="L90">
            <v>1</v>
          </cell>
          <cell r="M90">
            <v>1</v>
          </cell>
          <cell r="N90">
            <v>1</v>
          </cell>
          <cell r="O90">
            <v>1</v>
          </cell>
          <cell r="P90">
            <v>1</v>
          </cell>
          <cell r="Q90">
            <v>1</v>
          </cell>
          <cell r="R90">
            <v>3</v>
          </cell>
          <cell r="S90" t="str">
            <v>none</v>
          </cell>
          <cell r="T90">
            <v>0</v>
          </cell>
          <cell r="U90">
            <v>16</v>
          </cell>
          <cell r="V90">
            <v>5</v>
          </cell>
          <cell r="W90" t="str">
            <v>16-5. プディングに狂気を添えて</v>
          </cell>
          <cell r="X90">
            <v>1</v>
          </cell>
          <cell r="Y90">
            <v>1</v>
          </cell>
          <cell r="Z90">
            <v>1</v>
          </cell>
          <cell r="AA90">
            <v>1</v>
          </cell>
          <cell r="AB90" t="str">
            <v>once</v>
          </cell>
          <cell r="AC90">
            <v>16</v>
          </cell>
          <cell r="AD90">
            <v>6</v>
          </cell>
          <cell r="AE90" t="str">
            <v>singleonly</v>
          </cell>
        </row>
        <row r="91">
          <cell r="A91" t="str">
            <v>17_1</v>
          </cell>
          <cell r="B91">
            <v>3</v>
          </cell>
          <cell r="C91">
            <v>17</v>
          </cell>
          <cell r="D91" t="str">
            <v>17．エナリオス海中神殿</v>
          </cell>
          <cell r="E91" t="str">
            <v>青DL4</v>
          </cell>
          <cell r="F91">
            <v>1</v>
          </cell>
          <cell r="G91" t="str">
            <v>ja</v>
          </cell>
          <cell r="H91" t="str">
            <v>17-1. 見捨てられた神殿</v>
          </cell>
          <cell r="J91" t="str">
            <v>NULL</v>
          </cell>
          <cell r="K91">
            <v>9</v>
          </cell>
          <cell r="L91">
            <v>1020</v>
          </cell>
          <cell r="M91">
            <v>1</v>
          </cell>
          <cell r="N91">
            <v>1</v>
          </cell>
          <cell r="O91">
            <v>1</v>
          </cell>
          <cell r="P91">
            <v>1</v>
          </cell>
          <cell r="Q91">
            <v>1</v>
          </cell>
          <cell r="R91">
            <v>3</v>
          </cell>
          <cell r="S91" t="str">
            <v>none</v>
          </cell>
          <cell r="T91">
            <v>0</v>
          </cell>
          <cell r="U91">
            <v>16</v>
          </cell>
          <cell r="V91">
            <v>6</v>
          </cell>
          <cell r="W91" t="str">
            <v>16-6. 【1回のみ】ボーナスステージ</v>
          </cell>
          <cell r="X91">
            <v>0</v>
          </cell>
          <cell r="Y91">
            <v>1</v>
          </cell>
          <cell r="Z91">
            <v>0</v>
          </cell>
          <cell r="AA91">
            <v>0</v>
          </cell>
          <cell r="AB91" t="str">
            <v>anytime</v>
          </cell>
          <cell r="AC91">
            <v>17</v>
          </cell>
          <cell r="AD91">
            <v>6</v>
          </cell>
          <cell r="AE91" t="str">
            <v>everyone</v>
          </cell>
        </row>
        <row r="92">
          <cell r="A92" t="str">
            <v>17_2</v>
          </cell>
          <cell r="B92">
            <v>3</v>
          </cell>
          <cell r="C92">
            <v>17</v>
          </cell>
          <cell r="D92" t="str">
            <v>17．エナリオス海中神殿</v>
          </cell>
          <cell r="E92" t="str">
            <v>青DL4</v>
          </cell>
          <cell r="F92">
            <v>2</v>
          </cell>
          <cell r="G92" t="str">
            <v>ja</v>
          </cell>
          <cell r="H92" t="str">
            <v>17-2. 窒息クライシス</v>
          </cell>
          <cell r="J92" t="str">
            <v>NULL</v>
          </cell>
          <cell r="K92">
            <v>9</v>
          </cell>
          <cell r="L92">
            <v>1100</v>
          </cell>
          <cell r="M92">
            <v>1</v>
          </cell>
          <cell r="N92">
            <v>1</v>
          </cell>
          <cell r="O92">
            <v>1</v>
          </cell>
          <cell r="P92">
            <v>1</v>
          </cell>
          <cell r="Q92">
            <v>1</v>
          </cell>
          <cell r="R92">
            <v>3</v>
          </cell>
          <cell r="S92" t="str">
            <v>none</v>
          </cell>
          <cell r="T92">
            <v>0</v>
          </cell>
          <cell r="U92">
            <v>17</v>
          </cell>
          <cell r="V92">
            <v>1</v>
          </cell>
          <cell r="W92" t="str">
            <v>17-1. 見捨てられた神殿</v>
          </cell>
          <cell r="X92">
            <v>0</v>
          </cell>
          <cell r="Y92">
            <v>1</v>
          </cell>
          <cell r="Z92">
            <v>0</v>
          </cell>
          <cell r="AA92">
            <v>0</v>
          </cell>
          <cell r="AB92" t="str">
            <v>anytime</v>
          </cell>
          <cell r="AC92">
            <v>17</v>
          </cell>
          <cell r="AD92">
            <v>6</v>
          </cell>
          <cell r="AE92" t="str">
            <v>everyone</v>
          </cell>
        </row>
        <row r="93">
          <cell r="A93" t="str">
            <v>17_3</v>
          </cell>
          <cell r="B93">
            <v>3</v>
          </cell>
          <cell r="C93">
            <v>17</v>
          </cell>
          <cell r="D93" t="str">
            <v>17．エナリオス海中神殿</v>
          </cell>
          <cell r="E93" t="str">
            <v>青DL4</v>
          </cell>
          <cell r="F93">
            <v>3</v>
          </cell>
          <cell r="G93" t="str">
            <v>ja</v>
          </cell>
          <cell r="H93" t="str">
            <v>17-3. 激流の守護龍</v>
          </cell>
          <cell r="J93" t="str">
            <v>NULL</v>
          </cell>
          <cell r="K93">
            <v>10</v>
          </cell>
          <cell r="L93">
            <v>1150</v>
          </cell>
          <cell r="M93">
            <v>1</v>
          </cell>
          <cell r="N93">
            <v>1</v>
          </cell>
          <cell r="O93">
            <v>1</v>
          </cell>
          <cell r="P93">
            <v>1</v>
          </cell>
          <cell r="Q93">
            <v>1</v>
          </cell>
          <cell r="R93">
            <v>3</v>
          </cell>
          <cell r="S93" t="str">
            <v>none</v>
          </cell>
          <cell r="T93">
            <v>0</v>
          </cell>
          <cell r="U93">
            <v>17</v>
          </cell>
          <cell r="V93">
            <v>2</v>
          </cell>
          <cell r="W93" t="str">
            <v>17-2. 窒息クライシス</v>
          </cell>
          <cell r="X93">
            <v>0</v>
          </cell>
          <cell r="Y93">
            <v>1</v>
          </cell>
          <cell r="Z93">
            <v>0</v>
          </cell>
          <cell r="AA93">
            <v>0</v>
          </cell>
          <cell r="AB93" t="str">
            <v>anytime</v>
          </cell>
          <cell r="AC93">
            <v>17</v>
          </cell>
          <cell r="AD93">
            <v>6</v>
          </cell>
          <cell r="AE93" t="str">
            <v>everyone</v>
          </cell>
        </row>
        <row r="94">
          <cell r="A94" t="str">
            <v>17_4</v>
          </cell>
          <cell r="B94">
            <v>3</v>
          </cell>
          <cell r="C94">
            <v>17</v>
          </cell>
          <cell r="D94" t="str">
            <v>17．エナリオス海中神殿</v>
          </cell>
          <cell r="E94" t="str">
            <v>青DL4</v>
          </cell>
          <cell r="F94">
            <v>4</v>
          </cell>
          <cell r="G94" t="str">
            <v>ja</v>
          </cell>
          <cell r="H94" t="str">
            <v>17-4. 正確無比の弾道</v>
          </cell>
          <cell r="J94" t="str">
            <v>NULL</v>
          </cell>
          <cell r="K94">
            <v>11</v>
          </cell>
          <cell r="L94">
            <v>1320</v>
          </cell>
          <cell r="M94">
            <v>1</v>
          </cell>
          <cell r="N94">
            <v>1</v>
          </cell>
          <cell r="O94">
            <v>1</v>
          </cell>
          <cell r="P94">
            <v>1</v>
          </cell>
          <cell r="Q94">
            <v>1</v>
          </cell>
          <cell r="R94">
            <v>3</v>
          </cell>
          <cell r="S94" t="str">
            <v>none</v>
          </cell>
          <cell r="T94">
            <v>0</v>
          </cell>
          <cell r="U94">
            <v>17</v>
          </cell>
          <cell r="V94">
            <v>3</v>
          </cell>
          <cell r="W94" t="str">
            <v>17-3. 激流の守護龍</v>
          </cell>
          <cell r="X94">
            <v>0</v>
          </cell>
          <cell r="Y94">
            <v>1</v>
          </cell>
          <cell r="Z94">
            <v>0</v>
          </cell>
          <cell r="AA94">
            <v>0</v>
          </cell>
          <cell r="AB94" t="str">
            <v>anytime</v>
          </cell>
          <cell r="AC94">
            <v>17</v>
          </cell>
          <cell r="AD94">
            <v>6</v>
          </cell>
          <cell r="AE94" t="str">
            <v>everyone</v>
          </cell>
        </row>
        <row r="95">
          <cell r="A95" t="str">
            <v>17_5</v>
          </cell>
          <cell r="B95">
            <v>3</v>
          </cell>
          <cell r="C95">
            <v>17</v>
          </cell>
          <cell r="D95" t="str">
            <v>17．エナリオス海中神殿</v>
          </cell>
          <cell r="E95" t="str">
            <v>青DL4</v>
          </cell>
          <cell r="F95">
            <v>5</v>
          </cell>
          <cell r="G95" t="str">
            <v>ja</v>
          </cell>
          <cell r="H95" t="str">
            <v>17-5. 水面に映る月閃</v>
          </cell>
          <cell r="J95" t="str">
            <v>NULL</v>
          </cell>
          <cell r="K95">
            <v>15</v>
          </cell>
          <cell r="L95">
            <v>1650</v>
          </cell>
          <cell r="M95">
            <v>1</v>
          </cell>
          <cell r="N95">
            <v>1</v>
          </cell>
          <cell r="O95">
            <v>1</v>
          </cell>
          <cell r="P95">
            <v>1</v>
          </cell>
          <cell r="Q95">
            <v>1</v>
          </cell>
          <cell r="R95">
            <v>3</v>
          </cell>
          <cell r="S95" t="str">
            <v>none</v>
          </cell>
          <cell r="T95">
            <v>0</v>
          </cell>
          <cell r="U95">
            <v>17</v>
          </cell>
          <cell r="V95">
            <v>4</v>
          </cell>
          <cell r="W95" t="str">
            <v>17-4. 正確無比の弾道</v>
          </cell>
          <cell r="X95">
            <v>0</v>
          </cell>
          <cell r="Y95">
            <v>1</v>
          </cell>
          <cell r="Z95">
            <v>0</v>
          </cell>
          <cell r="AA95">
            <v>0</v>
          </cell>
          <cell r="AB95" t="str">
            <v>anytime</v>
          </cell>
          <cell r="AC95">
            <v>17</v>
          </cell>
          <cell r="AD95">
            <v>6</v>
          </cell>
          <cell r="AE95" t="str">
            <v>everyone</v>
          </cell>
        </row>
        <row r="96">
          <cell r="A96" t="str">
            <v>17_6</v>
          </cell>
          <cell r="B96">
            <v>3</v>
          </cell>
          <cell r="C96">
            <v>17</v>
          </cell>
          <cell r="D96" t="str">
            <v>17．エナリオス海中神殿</v>
          </cell>
          <cell r="E96" t="str">
            <v>青DL4</v>
          </cell>
          <cell r="F96">
            <v>6</v>
          </cell>
          <cell r="G96" t="str">
            <v>ja</v>
          </cell>
          <cell r="H96" t="str">
            <v>17-6. 【1回のみ】ボーナスステージ</v>
          </cell>
          <cell r="I96" t="str">
            <v>ボーナス</v>
          </cell>
          <cell r="J96">
            <v>342</v>
          </cell>
          <cell r="K96">
            <v>1</v>
          </cell>
          <cell r="L96">
            <v>1</v>
          </cell>
          <cell r="M96">
            <v>1</v>
          </cell>
          <cell r="N96">
            <v>1</v>
          </cell>
          <cell r="O96">
            <v>1</v>
          </cell>
          <cell r="P96">
            <v>1</v>
          </cell>
          <cell r="Q96">
            <v>1</v>
          </cell>
          <cell r="R96">
            <v>3</v>
          </cell>
          <cell r="S96" t="str">
            <v>none</v>
          </cell>
          <cell r="T96">
            <v>0</v>
          </cell>
          <cell r="U96">
            <v>17</v>
          </cell>
          <cell r="V96">
            <v>5</v>
          </cell>
          <cell r="W96" t="str">
            <v>17-5. 水面に映る月閃</v>
          </cell>
          <cell r="X96">
            <v>0</v>
          </cell>
          <cell r="Y96">
            <v>1</v>
          </cell>
          <cell r="Z96">
            <v>0</v>
          </cell>
          <cell r="AA96">
            <v>0</v>
          </cell>
          <cell r="AB96" t="str">
            <v>once</v>
          </cell>
          <cell r="AC96">
            <v>17</v>
          </cell>
          <cell r="AD96">
            <v>6</v>
          </cell>
          <cell r="AE96" t="str">
            <v>singleonly</v>
          </cell>
        </row>
        <row r="97">
          <cell r="A97" t="str">
            <v>18_1</v>
          </cell>
          <cell r="B97">
            <v>3</v>
          </cell>
          <cell r="C97">
            <v>18</v>
          </cell>
          <cell r="D97" t="str">
            <v>18．アリスボウル</v>
          </cell>
          <cell r="E97" t="str">
            <v>赤DL4</v>
          </cell>
          <cell r="F97">
            <v>1</v>
          </cell>
          <cell r="G97" t="str">
            <v>ja</v>
          </cell>
          <cell r="H97" t="str">
            <v>18-1. 幽閉されし者</v>
          </cell>
          <cell r="J97" t="str">
            <v>NULL</v>
          </cell>
          <cell r="K97">
            <v>9</v>
          </cell>
          <cell r="L97">
            <v>1040</v>
          </cell>
          <cell r="M97">
            <v>1</v>
          </cell>
          <cell r="N97">
            <v>1</v>
          </cell>
          <cell r="O97">
            <v>1</v>
          </cell>
          <cell r="P97">
            <v>1</v>
          </cell>
          <cell r="Q97">
            <v>1</v>
          </cell>
          <cell r="R97">
            <v>3</v>
          </cell>
          <cell r="S97" t="str">
            <v>none</v>
          </cell>
          <cell r="T97">
            <v>0</v>
          </cell>
          <cell r="U97">
            <v>17</v>
          </cell>
          <cell r="V97">
            <v>6</v>
          </cell>
          <cell r="W97" t="str">
            <v>17-6. 【1回のみ】ボーナスステージ</v>
          </cell>
          <cell r="X97">
            <v>1</v>
          </cell>
          <cell r="Y97">
            <v>0</v>
          </cell>
          <cell r="Z97">
            <v>0</v>
          </cell>
          <cell r="AA97">
            <v>0</v>
          </cell>
          <cell r="AB97" t="str">
            <v>anytime</v>
          </cell>
          <cell r="AC97">
            <v>18</v>
          </cell>
          <cell r="AD97">
            <v>6</v>
          </cell>
          <cell r="AE97" t="str">
            <v>everyone</v>
          </cell>
        </row>
        <row r="98">
          <cell r="A98" t="str">
            <v>18_2</v>
          </cell>
          <cell r="B98">
            <v>3</v>
          </cell>
          <cell r="C98">
            <v>18</v>
          </cell>
          <cell r="D98" t="str">
            <v>18．アリスボウル</v>
          </cell>
          <cell r="E98" t="str">
            <v>赤DL4</v>
          </cell>
          <cell r="F98">
            <v>2</v>
          </cell>
          <cell r="G98" t="str">
            <v>ja</v>
          </cell>
          <cell r="H98" t="str">
            <v>18-2. ストライクへの道</v>
          </cell>
          <cell r="J98" t="str">
            <v>NULL</v>
          </cell>
          <cell r="K98">
            <v>9</v>
          </cell>
          <cell r="L98">
            <v>1120</v>
          </cell>
          <cell r="M98">
            <v>1</v>
          </cell>
          <cell r="N98">
            <v>1</v>
          </cell>
          <cell r="O98">
            <v>1</v>
          </cell>
          <cell r="P98">
            <v>1</v>
          </cell>
          <cell r="Q98">
            <v>1</v>
          </cell>
          <cell r="R98">
            <v>3</v>
          </cell>
          <cell r="S98" t="str">
            <v>none</v>
          </cell>
          <cell r="T98">
            <v>0</v>
          </cell>
          <cell r="U98">
            <v>18</v>
          </cell>
          <cell r="V98">
            <v>1</v>
          </cell>
          <cell r="W98" t="str">
            <v>18-1. 幽閉されし者</v>
          </cell>
          <cell r="X98">
            <v>1</v>
          </cell>
          <cell r="Y98">
            <v>0</v>
          </cell>
          <cell r="Z98">
            <v>0</v>
          </cell>
          <cell r="AA98">
            <v>0</v>
          </cell>
          <cell r="AB98" t="str">
            <v>anytime</v>
          </cell>
          <cell r="AC98">
            <v>18</v>
          </cell>
          <cell r="AD98">
            <v>6</v>
          </cell>
          <cell r="AE98" t="str">
            <v>everyone</v>
          </cell>
        </row>
        <row r="99">
          <cell r="A99" t="str">
            <v>18_3</v>
          </cell>
          <cell r="B99">
            <v>3</v>
          </cell>
          <cell r="C99">
            <v>18</v>
          </cell>
          <cell r="D99" t="str">
            <v>18．アリスボウル</v>
          </cell>
          <cell r="E99" t="str">
            <v>赤DL4</v>
          </cell>
          <cell r="F99">
            <v>3</v>
          </cell>
          <cell r="G99" t="str">
            <v>ja</v>
          </cell>
          <cell r="H99" t="str">
            <v>18-3. 猛熱の試練</v>
          </cell>
          <cell r="J99" t="str">
            <v>NULL</v>
          </cell>
          <cell r="K99">
            <v>10</v>
          </cell>
          <cell r="L99">
            <v>1200</v>
          </cell>
          <cell r="M99">
            <v>1</v>
          </cell>
          <cell r="N99">
            <v>1</v>
          </cell>
          <cell r="O99">
            <v>1</v>
          </cell>
          <cell r="P99">
            <v>1</v>
          </cell>
          <cell r="Q99">
            <v>1</v>
          </cell>
          <cell r="R99">
            <v>3</v>
          </cell>
          <cell r="S99" t="str">
            <v>none</v>
          </cell>
          <cell r="T99">
            <v>0</v>
          </cell>
          <cell r="U99">
            <v>18</v>
          </cell>
          <cell r="V99">
            <v>2</v>
          </cell>
          <cell r="W99" t="str">
            <v>18-2. ストライクへの道</v>
          </cell>
          <cell r="X99">
            <v>1</v>
          </cell>
          <cell r="Y99">
            <v>0</v>
          </cell>
          <cell r="Z99">
            <v>0</v>
          </cell>
          <cell r="AA99">
            <v>0</v>
          </cell>
          <cell r="AB99" t="str">
            <v>anytime</v>
          </cell>
          <cell r="AC99">
            <v>18</v>
          </cell>
          <cell r="AD99">
            <v>6</v>
          </cell>
          <cell r="AE99" t="str">
            <v>everyone</v>
          </cell>
        </row>
        <row r="100">
          <cell r="A100" t="str">
            <v>18_4</v>
          </cell>
          <cell r="B100">
            <v>3</v>
          </cell>
          <cell r="C100">
            <v>18</v>
          </cell>
          <cell r="D100" t="str">
            <v>18．アリスボウル</v>
          </cell>
          <cell r="E100" t="str">
            <v>赤DL4</v>
          </cell>
          <cell r="F100">
            <v>4</v>
          </cell>
          <cell r="G100" t="str">
            <v>ja</v>
          </cell>
          <cell r="H100" t="str">
            <v>18-4. 不可避の弾丸</v>
          </cell>
          <cell r="J100" t="str">
            <v>NULL</v>
          </cell>
          <cell r="K100">
            <v>11</v>
          </cell>
          <cell r="L100">
            <v>1350</v>
          </cell>
          <cell r="M100">
            <v>1</v>
          </cell>
          <cell r="N100">
            <v>1</v>
          </cell>
          <cell r="O100">
            <v>1</v>
          </cell>
          <cell r="P100">
            <v>1</v>
          </cell>
          <cell r="Q100">
            <v>1</v>
          </cell>
          <cell r="R100">
            <v>3</v>
          </cell>
          <cell r="S100" t="str">
            <v>none</v>
          </cell>
          <cell r="T100">
            <v>0</v>
          </cell>
          <cell r="U100">
            <v>18</v>
          </cell>
          <cell r="V100">
            <v>3</v>
          </cell>
          <cell r="W100" t="str">
            <v>18-3. 猛熱の試練</v>
          </cell>
          <cell r="X100">
            <v>1</v>
          </cell>
          <cell r="Y100">
            <v>0</v>
          </cell>
          <cell r="Z100">
            <v>0</v>
          </cell>
          <cell r="AA100">
            <v>0</v>
          </cell>
          <cell r="AB100" t="str">
            <v>anytime</v>
          </cell>
          <cell r="AC100">
            <v>18</v>
          </cell>
          <cell r="AD100">
            <v>6</v>
          </cell>
          <cell r="AE100" t="str">
            <v>everyone</v>
          </cell>
        </row>
        <row r="101">
          <cell r="A101" t="str">
            <v>18_5</v>
          </cell>
          <cell r="B101">
            <v>3</v>
          </cell>
          <cell r="C101">
            <v>18</v>
          </cell>
          <cell r="D101" t="str">
            <v>18．アリスボウル</v>
          </cell>
          <cell r="E101" t="str">
            <v>赤DL4</v>
          </cell>
          <cell r="F101">
            <v>5</v>
          </cell>
          <cell r="G101" t="str">
            <v>ja</v>
          </cell>
          <cell r="H101" t="str">
            <v>18-5. 解き放たれし焔神</v>
          </cell>
          <cell r="J101" t="str">
            <v>NULL</v>
          </cell>
          <cell r="K101">
            <v>15</v>
          </cell>
          <cell r="L101">
            <v>1680</v>
          </cell>
          <cell r="M101">
            <v>1</v>
          </cell>
          <cell r="N101">
            <v>1</v>
          </cell>
          <cell r="O101">
            <v>1</v>
          </cell>
          <cell r="P101">
            <v>1</v>
          </cell>
          <cell r="Q101">
            <v>1</v>
          </cell>
          <cell r="R101">
            <v>3</v>
          </cell>
          <cell r="S101" t="str">
            <v>none</v>
          </cell>
          <cell r="T101">
            <v>0</v>
          </cell>
          <cell r="U101">
            <v>18</v>
          </cell>
          <cell r="V101">
            <v>4</v>
          </cell>
          <cell r="W101" t="str">
            <v>18-4. 不可避の弾丸</v>
          </cell>
          <cell r="X101">
            <v>1</v>
          </cell>
          <cell r="Y101">
            <v>0</v>
          </cell>
          <cell r="Z101">
            <v>0</v>
          </cell>
          <cell r="AA101">
            <v>0</v>
          </cell>
          <cell r="AB101" t="str">
            <v>anytime</v>
          </cell>
          <cell r="AC101">
            <v>18</v>
          </cell>
          <cell r="AD101">
            <v>6</v>
          </cell>
          <cell r="AE101" t="str">
            <v>everyone</v>
          </cell>
        </row>
        <row r="102">
          <cell r="A102" t="str">
            <v>18_6</v>
          </cell>
          <cell r="B102">
            <v>3</v>
          </cell>
          <cell r="C102">
            <v>18</v>
          </cell>
          <cell r="D102" t="str">
            <v>18．アリスボウル</v>
          </cell>
          <cell r="E102" t="str">
            <v>赤DL4</v>
          </cell>
          <cell r="F102">
            <v>6</v>
          </cell>
          <cell r="G102" t="str">
            <v>ja</v>
          </cell>
          <cell r="H102" t="str">
            <v>18-6. 【1回のみ】ボーナスステージ</v>
          </cell>
          <cell r="I102" t="str">
            <v>ボーナス</v>
          </cell>
          <cell r="J102">
            <v>334</v>
          </cell>
          <cell r="K102">
            <v>1</v>
          </cell>
          <cell r="L102">
            <v>1</v>
          </cell>
          <cell r="M102">
            <v>1</v>
          </cell>
          <cell r="N102">
            <v>1</v>
          </cell>
          <cell r="O102">
            <v>1</v>
          </cell>
          <cell r="P102">
            <v>1</v>
          </cell>
          <cell r="Q102">
            <v>1</v>
          </cell>
          <cell r="R102">
            <v>3</v>
          </cell>
          <cell r="S102" t="str">
            <v>none</v>
          </cell>
          <cell r="T102">
            <v>0</v>
          </cell>
          <cell r="U102">
            <v>18</v>
          </cell>
          <cell r="V102">
            <v>5</v>
          </cell>
          <cell r="W102" t="str">
            <v>18-5. 解き放たれし焔神</v>
          </cell>
          <cell r="X102">
            <v>1</v>
          </cell>
          <cell r="Y102">
            <v>0</v>
          </cell>
          <cell r="Z102">
            <v>0</v>
          </cell>
          <cell r="AA102">
            <v>0</v>
          </cell>
          <cell r="AB102" t="str">
            <v>once</v>
          </cell>
          <cell r="AC102">
            <v>18</v>
          </cell>
          <cell r="AD102">
            <v>6</v>
          </cell>
          <cell r="AE102" t="str">
            <v>singleonly</v>
          </cell>
        </row>
        <row r="103">
          <cell r="A103" t="str">
            <v>19_1</v>
          </cell>
          <cell r="B103">
            <v>3</v>
          </cell>
          <cell r="C103">
            <v>19</v>
          </cell>
          <cell r="D103" t="str">
            <v>19．アレイスター王立図書館</v>
          </cell>
          <cell r="E103" t="str">
            <v>緑DL4</v>
          </cell>
          <cell r="F103">
            <v>1</v>
          </cell>
          <cell r="G103" t="str">
            <v>ja</v>
          </cell>
          <cell r="H103" t="str">
            <v>19-1. 庭園の主</v>
          </cell>
          <cell r="J103" t="str">
            <v>NULL</v>
          </cell>
          <cell r="K103">
            <v>9</v>
          </cell>
          <cell r="L103">
            <v>1130</v>
          </cell>
          <cell r="M103">
            <v>1</v>
          </cell>
          <cell r="N103">
            <v>1</v>
          </cell>
          <cell r="O103">
            <v>1</v>
          </cell>
          <cell r="P103">
            <v>1</v>
          </cell>
          <cell r="Q103">
            <v>1</v>
          </cell>
          <cell r="R103">
            <v>3</v>
          </cell>
          <cell r="S103" t="str">
            <v>none</v>
          </cell>
          <cell r="T103">
            <v>0</v>
          </cell>
          <cell r="U103">
            <v>18</v>
          </cell>
          <cell r="V103">
            <v>6</v>
          </cell>
          <cell r="W103" t="str">
            <v>18-6. 【1回のみ】ボーナスステージ</v>
          </cell>
          <cell r="X103">
            <v>0</v>
          </cell>
          <cell r="Y103">
            <v>0</v>
          </cell>
          <cell r="Z103">
            <v>1</v>
          </cell>
          <cell r="AA103">
            <v>0</v>
          </cell>
          <cell r="AB103" t="str">
            <v>anytime</v>
          </cell>
          <cell r="AC103">
            <v>19</v>
          </cell>
          <cell r="AD103">
            <v>6</v>
          </cell>
          <cell r="AE103" t="str">
            <v>everyone</v>
          </cell>
        </row>
        <row r="104">
          <cell r="A104" t="str">
            <v>19_2</v>
          </cell>
          <cell r="B104">
            <v>3</v>
          </cell>
          <cell r="C104">
            <v>19</v>
          </cell>
          <cell r="D104" t="str">
            <v>19．アレイスター王立図書館</v>
          </cell>
          <cell r="E104" t="str">
            <v>緑DL4</v>
          </cell>
          <cell r="F104">
            <v>2</v>
          </cell>
          <cell r="G104" t="str">
            <v>ja</v>
          </cell>
          <cell r="H104" t="str">
            <v>19-2. 館内はお静かに</v>
          </cell>
          <cell r="J104" t="str">
            <v>NULL</v>
          </cell>
          <cell r="K104">
            <v>9</v>
          </cell>
          <cell r="L104">
            <v>1200</v>
          </cell>
          <cell r="M104">
            <v>1</v>
          </cell>
          <cell r="N104">
            <v>1</v>
          </cell>
          <cell r="O104">
            <v>1</v>
          </cell>
          <cell r="P104">
            <v>1</v>
          </cell>
          <cell r="Q104">
            <v>1</v>
          </cell>
          <cell r="R104">
            <v>3</v>
          </cell>
          <cell r="S104" t="str">
            <v>none</v>
          </cell>
          <cell r="T104">
            <v>0</v>
          </cell>
          <cell r="U104">
            <v>19</v>
          </cell>
          <cell r="V104">
            <v>1</v>
          </cell>
          <cell r="W104" t="str">
            <v>19-1. 庭園の主</v>
          </cell>
          <cell r="X104">
            <v>0</v>
          </cell>
          <cell r="Y104">
            <v>0</v>
          </cell>
          <cell r="Z104">
            <v>1</v>
          </cell>
          <cell r="AA104">
            <v>0</v>
          </cell>
          <cell r="AB104" t="str">
            <v>anytime</v>
          </cell>
          <cell r="AC104">
            <v>19</v>
          </cell>
          <cell r="AD104">
            <v>6</v>
          </cell>
          <cell r="AE104" t="str">
            <v>everyone</v>
          </cell>
        </row>
        <row r="105">
          <cell r="A105" t="str">
            <v>19_3</v>
          </cell>
          <cell r="B105">
            <v>3</v>
          </cell>
          <cell r="C105">
            <v>19</v>
          </cell>
          <cell r="D105" t="str">
            <v>19．アレイスター王立図書館</v>
          </cell>
          <cell r="E105" t="str">
            <v>緑DL4</v>
          </cell>
          <cell r="F105">
            <v>3</v>
          </cell>
          <cell r="G105" t="str">
            <v>ja</v>
          </cell>
          <cell r="H105" t="str">
            <v>19-3. 動かざる者</v>
          </cell>
          <cell r="J105" t="str">
            <v>NULL</v>
          </cell>
          <cell r="K105">
            <v>10</v>
          </cell>
          <cell r="L105">
            <v>1250</v>
          </cell>
          <cell r="M105">
            <v>1</v>
          </cell>
          <cell r="N105">
            <v>1</v>
          </cell>
          <cell r="O105">
            <v>1</v>
          </cell>
          <cell r="P105">
            <v>1</v>
          </cell>
          <cell r="Q105">
            <v>1</v>
          </cell>
          <cell r="R105">
            <v>3</v>
          </cell>
          <cell r="S105" t="str">
            <v>none</v>
          </cell>
          <cell r="T105">
            <v>0</v>
          </cell>
          <cell r="U105">
            <v>19</v>
          </cell>
          <cell r="V105">
            <v>2</v>
          </cell>
          <cell r="W105" t="str">
            <v>19-2. 館内はお静かに</v>
          </cell>
          <cell r="X105">
            <v>0</v>
          </cell>
          <cell r="Y105">
            <v>0</v>
          </cell>
          <cell r="Z105">
            <v>1</v>
          </cell>
          <cell r="AA105">
            <v>0</v>
          </cell>
          <cell r="AB105" t="str">
            <v>anytime</v>
          </cell>
          <cell r="AC105">
            <v>19</v>
          </cell>
          <cell r="AD105">
            <v>6</v>
          </cell>
          <cell r="AE105" t="str">
            <v>everyone</v>
          </cell>
        </row>
        <row r="106">
          <cell r="A106" t="str">
            <v>19_4</v>
          </cell>
          <cell r="B106">
            <v>3</v>
          </cell>
          <cell r="C106">
            <v>19</v>
          </cell>
          <cell r="D106" t="str">
            <v>19．アレイスター王立図書館</v>
          </cell>
          <cell r="E106" t="str">
            <v>緑DL4</v>
          </cell>
          <cell r="F106">
            <v>4</v>
          </cell>
          <cell r="G106" t="str">
            <v>ja</v>
          </cell>
          <cell r="H106" t="str">
            <v>19-4. けたたましい来館</v>
          </cell>
          <cell r="J106" t="str">
            <v>NULL</v>
          </cell>
          <cell r="K106">
            <v>11</v>
          </cell>
          <cell r="L106">
            <v>1440</v>
          </cell>
          <cell r="M106">
            <v>1</v>
          </cell>
          <cell r="N106">
            <v>1</v>
          </cell>
          <cell r="O106">
            <v>1</v>
          </cell>
          <cell r="P106">
            <v>1</v>
          </cell>
          <cell r="Q106">
            <v>1</v>
          </cell>
          <cell r="R106">
            <v>3</v>
          </cell>
          <cell r="S106" t="str">
            <v>none</v>
          </cell>
          <cell r="T106">
            <v>0</v>
          </cell>
          <cell r="U106">
            <v>19</v>
          </cell>
          <cell r="V106">
            <v>3</v>
          </cell>
          <cell r="W106" t="str">
            <v>19-3. 動かざる者</v>
          </cell>
          <cell r="X106">
            <v>0</v>
          </cell>
          <cell r="Y106">
            <v>0</v>
          </cell>
          <cell r="Z106">
            <v>1</v>
          </cell>
          <cell r="AA106">
            <v>0</v>
          </cell>
          <cell r="AB106" t="str">
            <v>anytime</v>
          </cell>
          <cell r="AC106">
            <v>19</v>
          </cell>
          <cell r="AD106">
            <v>6</v>
          </cell>
          <cell r="AE106" t="str">
            <v>everyone</v>
          </cell>
        </row>
        <row r="107">
          <cell r="A107" t="str">
            <v>19_5</v>
          </cell>
          <cell r="B107">
            <v>3</v>
          </cell>
          <cell r="C107">
            <v>19</v>
          </cell>
          <cell r="D107" t="str">
            <v>19．アレイスター王立図書館</v>
          </cell>
          <cell r="E107" t="str">
            <v>緑DL4</v>
          </cell>
          <cell r="F107">
            <v>5</v>
          </cell>
          <cell r="G107" t="str">
            <v>ja</v>
          </cell>
          <cell r="H107" t="str">
            <v>19-5. 庭園主の包囲網</v>
          </cell>
          <cell r="J107" t="str">
            <v>NULL</v>
          </cell>
          <cell r="K107">
            <v>15</v>
          </cell>
          <cell r="L107">
            <v>1880</v>
          </cell>
          <cell r="M107">
            <v>1</v>
          </cell>
          <cell r="N107">
            <v>1</v>
          </cell>
          <cell r="O107">
            <v>1</v>
          </cell>
          <cell r="P107">
            <v>1</v>
          </cell>
          <cell r="Q107">
            <v>1</v>
          </cell>
          <cell r="R107">
            <v>3</v>
          </cell>
          <cell r="S107" t="str">
            <v>none</v>
          </cell>
          <cell r="T107">
            <v>0</v>
          </cell>
          <cell r="U107">
            <v>19</v>
          </cell>
          <cell r="V107">
            <v>4</v>
          </cell>
          <cell r="W107" t="str">
            <v>19-4. けたたましい来館</v>
          </cell>
          <cell r="X107">
            <v>0</v>
          </cell>
          <cell r="Y107">
            <v>0</v>
          </cell>
          <cell r="Z107">
            <v>1</v>
          </cell>
          <cell r="AA107">
            <v>0</v>
          </cell>
          <cell r="AB107" t="str">
            <v>anytime</v>
          </cell>
          <cell r="AC107">
            <v>19</v>
          </cell>
          <cell r="AD107">
            <v>6</v>
          </cell>
          <cell r="AE107" t="str">
            <v>everyone</v>
          </cell>
        </row>
        <row r="108">
          <cell r="A108" t="str">
            <v>19_6</v>
          </cell>
          <cell r="B108">
            <v>3</v>
          </cell>
          <cell r="C108">
            <v>19</v>
          </cell>
          <cell r="D108" t="str">
            <v>19．アレイスター王立図書館</v>
          </cell>
          <cell r="E108" t="str">
            <v>緑DL4</v>
          </cell>
          <cell r="F108">
            <v>6</v>
          </cell>
          <cell r="G108" t="str">
            <v>ja</v>
          </cell>
          <cell r="H108" t="str">
            <v>19-6. 【1回のみ】ボーナスステージ</v>
          </cell>
          <cell r="I108" t="str">
            <v>ボーナス</v>
          </cell>
          <cell r="J108">
            <v>338</v>
          </cell>
          <cell r="K108">
            <v>1</v>
          </cell>
          <cell r="L108">
            <v>1</v>
          </cell>
          <cell r="M108">
            <v>1</v>
          </cell>
          <cell r="N108">
            <v>1</v>
          </cell>
          <cell r="O108">
            <v>1</v>
          </cell>
          <cell r="P108">
            <v>1</v>
          </cell>
          <cell r="Q108">
            <v>1</v>
          </cell>
          <cell r="R108">
            <v>3</v>
          </cell>
          <cell r="S108" t="str">
            <v>none</v>
          </cell>
          <cell r="T108">
            <v>0</v>
          </cell>
          <cell r="U108">
            <v>19</v>
          </cell>
          <cell r="V108">
            <v>5</v>
          </cell>
          <cell r="W108" t="str">
            <v>19-5. 庭園主の包囲網</v>
          </cell>
          <cell r="X108">
            <v>0</v>
          </cell>
          <cell r="Y108">
            <v>0</v>
          </cell>
          <cell r="Z108">
            <v>1</v>
          </cell>
          <cell r="AA108">
            <v>0</v>
          </cell>
          <cell r="AB108" t="str">
            <v>once</v>
          </cell>
          <cell r="AC108">
            <v>19</v>
          </cell>
          <cell r="AD108">
            <v>6</v>
          </cell>
          <cell r="AE108" t="str">
            <v>singleonly</v>
          </cell>
        </row>
        <row r="109">
          <cell r="A109" t="str">
            <v>20_1</v>
          </cell>
          <cell r="B109">
            <v>3</v>
          </cell>
          <cell r="C109">
            <v>20</v>
          </cell>
          <cell r="D109" t="str">
            <v>20．コロシアム</v>
          </cell>
          <cell r="E109" t="str">
            <v>黄DL4</v>
          </cell>
          <cell r="F109">
            <v>1</v>
          </cell>
          <cell r="G109" t="str">
            <v>ja</v>
          </cell>
          <cell r="H109" t="str">
            <v>20-1. 星空からの降臨</v>
          </cell>
          <cell r="J109" t="str">
            <v>NULL</v>
          </cell>
          <cell r="K109">
            <v>9</v>
          </cell>
          <cell r="L109">
            <v>1240</v>
          </cell>
          <cell r="M109">
            <v>1</v>
          </cell>
          <cell r="N109">
            <v>1</v>
          </cell>
          <cell r="O109">
            <v>1</v>
          </cell>
          <cell r="P109">
            <v>1</v>
          </cell>
          <cell r="Q109">
            <v>1</v>
          </cell>
          <cell r="R109">
            <v>3</v>
          </cell>
          <cell r="S109" t="str">
            <v>none</v>
          </cell>
          <cell r="T109">
            <v>0</v>
          </cell>
          <cell r="U109">
            <v>19</v>
          </cell>
          <cell r="V109">
            <v>6</v>
          </cell>
          <cell r="W109" t="str">
            <v>19-6. 【1回のみ】ボーナスステージ</v>
          </cell>
          <cell r="X109">
            <v>0</v>
          </cell>
          <cell r="Y109">
            <v>0</v>
          </cell>
          <cell r="Z109">
            <v>0</v>
          </cell>
          <cell r="AA109">
            <v>1</v>
          </cell>
          <cell r="AB109" t="str">
            <v>anytime</v>
          </cell>
          <cell r="AC109">
            <v>20</v>
          </cell>
          <cell r="AD109">
            <v>6</v>
          </cell>
          <cell r="AE109" t="str">
            <v>everyone</v>
          </cell>
        </row>
        <row r="110">
          <cell r="A110" t="str">
            <v>20_2</v>
          </cell>
          <cell r="B110">
            <v>3</v>
          </cell>
          <cell r="C110">
            <v>20</v>
          </cell>
          <cell r="D110" t="str">
            <v>20．コロシアム</v>
          </cell>
          <cell r="E110" t="str">
            <v>黄DL4</v>
          </cell>
          <cell r="F110">
            <v>2</v>
          </cell>
          <cell r="G110" t="str">
            <v>ja</v>
          </cell>
          <cell r="H110" t="str">
            <v>20-2. 終わりなき連戦</v>
          </cell>
          <cell r="J110" t="str">
            <v>NULL</v>
          </cell>
          <cell r="K110">
            <v>9</v>
          </cell>
          <cell r="L110">
            <v>1280</v>
          </cell>
          <cell r="M110">
            <v>1</v>
          </cell>
          <cell r="N110">
            <v>1</v>
          </cell>
          <cell r="O110">
            <v>1</v>
          </cell>
          <cell r="P110">
            <v>1</v>
          </cell>
          <cell r="Q110">
            <v>1</v>
          </cell>
          <cell r="R110">
            <v>3</v>
          </cell>
          <cell r="S110" t="str">
            <v>none</v>
          </cell>
          <cell r="T110">
            <v>0</v>
          </cell>
          <cell r="U110">
            <v>20</v>
          </cell>
          <cell r="V110">
            <v>1</v>
          </cell>
          <cell r="W110" t="str">
            <v>20-1. 星空からの降臨</v>
          </cell>
          <cell r="X110">
            <v>0</v>
          </cell>
          <cell r="Y110">
            <v>0</v>
          </cell>
          <cell r="Z110">
            <v>0</v>
          </cell>
          <cell r="AA110">
            <v>1</v>
          </cell>
          <cell r="AB110" t="str">
            <v>anytime</v>
          </cell>
          <cell r="AC110">
            <v>20</v>
          </cell>
          <cell r="AD110">
            <v>6</v>
          </cell>
          <cell r="AE110" t="str">
            <v>everyone</v>
          </cell>
        </row>
        <row r="111">
          <cell r="A111" t="str">
            <v>20_3</v>
          </cell>
          <cell r="B111">
            <v>3</v>
          </cell>
          <cell r="C111">
            <v>20</v>
          </cell>
          <cell r="D111" t="str">
            <v>20．コロシアム</v>
          </cell>
          <cell r="E111" t="str">
            <v>黄DL4</v>
          </cell>
          <cell r="F111">
            <v>3</v>
          </cell>
          <cell r="G111" t="str">
            <v>ja</v>
          </cell>
          <cell r="H111" t="str">
            <v>20-3. 身の凍る眼力</v>
          </cell>
          <cell r="J111" t="str">
            <v>NULL</v>
          </cell>
          <cell r="K111">
            <v>10</v>
          </cell>
          <cell r="L111">
            <v>1320</v>
          </cell>
          <cell r="M111">
            <v>1</v>
          </cell>
          <cell r="N111">
            <v>1</v>
          </cell>
          <cell r="O111">
            <v>1</v>
          </cell>
          <cell r="P111">
            <v>1</v>
          </cell>
          <cell r="Q111">
            <v>1</v>
          </cell>
          <cell r="R111">
            <v>3</v>
          </cell>
          <cell r="S111" t="str">
            <v>none</v>
          </cell>
          <cell r="T111">
            <v>0</v>
          </cell>
          <cell r="U111">
            <v>20</v>
          </cell>
          <cell r="V111">
            <v>2</v>
          </cell>
          <cell r="W111" t="str">
            <v>20-2. 終わりなき連戦</v>
          </cell>
          <cell r="X111">
            <v>0</v>
          </cell>
          <cell r="Y111">
            <v>0</v>
          </cell>
          <cell r="Z111">
            <v>0</v>
          </cell>
          <cell r="AA111">
            <v>1</v>
          </cell>
          <cell r="AB111" t="str">
            <v>anytime</v>
          </cell>
          <cell r="AC111">
            <v>20</v>
          </cell>
          <cell r="AD111">
            <v>6</v>
          </cell>
          <cell r="AE111" t="str">
            <v>everyone</v>
          </cell>
        </row>
        <row r="112">
          <cell r="A112" t="str">
            <v>20_4</v>
          </cell>
          <cell r="B112">
            <v>3</v>
          </cell>
          <cell r="C112">
            <v>20</v>
          </cell>
          <cell r="D112" t="str">
            <v>20．コロシアム</v>
          </cell>
          <cell r="E112" t="str">
            <v>黄DL4</v>
          </cell>
          <cell r="F112">
            <v>4</v>
          </cell>
          <cell r="G112" t="str">
            <v>ja</v>
          </cell>
          <cell r="H112" t="str">
            <v>20-4. 悪魔と踊る輪舞曲</v>
          </cell>
          <cell r="J112" t="str">
            <v>NULL</v>
          </cell>
          <cell r="K112">
            <v>11</v>
          </cell>
          <cell r="L112">
            <v>1560</v>
          </cell>
          <cell r="M112">
            <v>1</v>
          </cell>
          <cell r="N112">
            <v>1</v>
          </cell>
          <cell r="O112">
            <v>1</v>
          </cell>
          <cell r="P112">
            <v>1</v>
          </cell>
          <cell r="Q112">
            <v>1</v>
          </cell>
          <cell r="R112">
            <v>3</v>
          </cell>
          <cell r="S112" t="str">
            <v>none</v>
          </cell>
          <cell r="T112">
            <v>0</v>
          </cell>
          <cell r="U112">
            <v>20</v>
          </cell>
          <cell r="V112">
            <v>3</v>
          </cell>
          <cell r="W112" t="str">
            <v>20-3. 身の凍る眼力</v>
          </cell>
          <cell r="X112">
            <v>0</v>
          </cell>
          <cell r="Y112">
            <v>0</v>
          </cell>
          <cell r="Z112">
            <v>0</v>
          </cell>
          <cell r="AA112">
            <v>1</v>
          </cell>
          <cell r="AB112" t="str">
            <v>anytime</v>
          </cell>
          <cell r="AC112">
            <v>20</v>
          </cell>
          <cell r="AD112">
            <v>6</v>
          </cell>
          <cell r="AE112" t="str">
            <v>everyone</v>
          </cell>
        </row>
        <row r="113">
          <cell r="A113" t="str">
            <v>20_5</v>
          </cell>
          <cell r="B113">
            <v>3</v>
          </cell>
          <cell r="C113">
            <v>20</v>
          </cell>
          <cell r="D113" t="str">
            <v>20．コロシアム</v>
          </cell>
          <cell r="E113" t="str">
            <v>黄DL4</v>
          </cell>
          <cell r="F113">
            <v>5</v>
          </cell>
          <cell r="G113" t="str">
            <v>ja</v>
          </cell>
          <cell r="H113" t="str">
            <v>20-5. 空から降る数多の星</v>
          </cell>
          <cell r="J113" t="str">
            <v>NULL</v>
          </cell>
          <cell r="K113">
            <v>15</v>
          </cell>
          <cell r="L113">
            <v>2050</v>
          </cell>
          <cell r="M113">
            <v>1</v>
          </cell>
          <cell r="N113">
            <v>1</v>
          </cell>
          <cell r="O113">
            <v>1</v>
          </cell>
          <cell r="P113">
            <v>1</v>
          </cell>
          <cell r="Q113">
            <v>1</v>
          </cell>
          <cell r="R113">
            <v>3</v>
          </cell>
          <cell r="S113" t="str">
            <v>none</v>
          </cell>
          <cell r="T113">
            <v>0</v>
          </cell>
          <cell r="U113">
            <v>20</v>
          </cell>
          <cell r="V113">
            <v>4</v>
          </cell>
          <cell r="W113" t="str">
            <v>20-4. 悪魔と踊る輪舞曲</v>
          </cell>
          <cell r="X113">
            <v>0</v>
          </cell>
          <cell r="Y113">
            <v>0</v>
          </cell>
          <cell r="Z113">
            <v>0</v>
          </cell>
          <cell r="AA113">
            <v>1</v>
          </cell>
          <cell r="AB113" t="str">
            <v>anytime</v>
          </cell>
          <cell r="AC113">
            <v>20</v>
          </cell>
          <cell r="AD113">
            <v>6</v>
          </cell>
          <cell r="AE113" t="str">
            <v>everyone</v>
          </cell>
        </row>
        <row r="114">
          <cell r="A114" t="str">
            <v>20_6</v>
          </cell>
          <cell r="B114">
            <v>3</v>
          </cell>
          <cell r="C114">
            <v>20</v>
          </cell>
          <cell r="D114" t="str">
            <v>20．コロシアム</v>
          </cell>
          <cell r="E114" t="str">
            <v>黄DL4</v>
          </cell>
          <cell r="F114">
            <v>6</v>
          </cell>
          <cell r="G114" t="str">
            <v>ja</v>
          </cell>
          <cell r="H114" t="str">
            <v>20-6. 【1回のみ】ボーナスステージ</v>
          </cell>
          <cell r="I114" t="str">
            <v>ボーナス</v>
          </cell>
          <cell r="J114">
            <v>346</v>
          </cell>
          <cell r="K114">
            <v>1</v>
          </cell>
          <cell r="L114">
            <v>1</v>
          </cell>
          <cell r="M114">
            <v>1</v>
          </cell>
          <cell r="N114">
            <v>1</v>
          </cell>
          <cell r="O114">
            <v>1</v>
          </cell>
          <cell r="P114">
            <v>1</v>
          </cell>
          <cell r="Q114">
            <v>1</v>
          </cell>
          <cell r="R114">
            <v>3</v>
          </cell>
          <cell r="S114" t="str">
            <v>none</v>
          </cell>
          <cell r="T114">
            <v>0</v>
          </cell>
          <cell r="U114">
            <v>20</v>
          </cell>
          <cell r="V114">
            <v>5</v>
          </cell>
          <cell r="W114" t="str">
            <v>20-5. 空から降る数多の星</v>
          </cell>
          <cell r="X114">
            <v>0</v>
          </cell>
          <cell r="Y114">
            <v>0</v>
          </cell>
          <cell r="Z114">
            <v>0</v>
          </cell>
          <cell r="AA114">
            <v>1</v>
          </cell>
          <cell r="AB114" t="str">
            <v>once</v>
          </cell>
          <cell r="AC114">
            <v>20</v>
          </cell>
          <cell r="AD114">
            <v>6</v>
          </cell>
          <cell r="AE114" t="str">
            <v>singleonly</v>
          </cell>
        </row>
        <row r="115">
          <cell r="A115" t="str">
            <v>21_1</v>
          </cell>
          <cell r="B115">
            <v>3</v>
          </cell>
          <cell r="C115">
            <v>21</v>
          </cell>
          <cell r="D115" t="str">
            <v>21．胡蝶舞う植物園</v>
          </cell>
          <cell r="E115" t="str">
            <v>混色DL4</v>
          </cell>
          <cell r="F115">
            <v>1</v>
          </cell>
          <cell r="G115" t="str">
            <v>ja</v>
          </cell>
          <cell r="H115" t="str">
            <v>21-1. 花園の誘い</v>
          </cell>
          <cell r="J115" t="str">
            <v>NULL</v>
          </cell>
          <cell r="K115">
            <v>10</v>
          </cell>
          <cell r="L115">
            <v>1620</v>
          </cell>
          <cell r="M115">
            <v>1</v>
          </cell>
          <cell r="N115">
            <v>1</v>
          </cell>
          <cell r="O115">
            <v>1</v>
          </cell>
          <cell r="P115">
            <v>1</v>
          </cell>
          <cell r="Q115">
            <v>1</v>
          </cell>
          <cell r="R115">
            <v>3</v>
          </cell>
          <cell r="S115" t="str">
            <v>none</v>
          </cell>
          <cell r="T115">
            <v>0</v>
          </cell>
          <cell r="U115">
            <v>20</v>
          </cell>
          <cell r="V115">
            <v>6</v>
          </cell>
          <cell r="W115" t="str">
            <v>20-6. 【1回のみ】ボーナスステージ</v>
          </cell>
          <cell r="X115">
            <v>1</v>
          </cell>
          <cell r="Y115">
            <v>1</v>
          </cell>
          <cell r="Z115">
            <v>1</v>
          </cell>
          <cell r="AA115">
            <v>1</v>
          </cell>
          <cell r="AB115" t="str">
            <v>anytime</v>
          </cell>
          <cell r="AC115">
            <v>21</v>
          </cell>
          <cell r="AD115">
            <v>6</v>
          </cell>
          <cell r="AE115" t="str">
            <v>everyone</v>
          </cell>
        </row>
        <row r="116">
          <cell r="A116" t="str">
            <v>21_2</v>
          </cell>
          <cell r="B116">
            <v>3</v>
          </cell>
          <cell r="C116">
            <v>21</v>
          </cell>
          <cell r="D116" t="str">
            <v>21．胡蝶舞う植物園</v>
          </cell>
          <cell r="E116" t="str">
            <v>混色DL4</v>
          </cell>
          <cell r="F116">
            <v>2</v>
          </cell>
          <cell r="G116" t="str">
            <v>ja</v>
          </cell>
          <cell r="H116" t="str">
            <v>21-2. 華やかなる迎撃</v>
          </cell>
          <cell r="J116" t="str">
            <v>NULL</v>
          </cell>
          <cell r="K116">
            <v>11</v>
          </cell>
          <cell r="L116">
            <v>1760</v>
          </cell>
          <cell r="M116">
            <v>1</v>
          </cell>
          <cell r="N116">
            <v>1</v>
          </cell>
          <cell r="O116">
            <v>1</v>
          </cell>
          <cell r="P116">
            <v>1</v>
          </cell>
          <cell r="Q116">
            <v>1</v>
          </cell>
          <cell r="R116">
            <v>3</v>
          </cell>
          <cell r="S116" t="str">
            <v>none</v>
          </cell>
          <cell r="T116">
            <v>0</v>
          </cell>
          <cell r="U116">
            <v>21</v>
          </cell>
          <cell r="V116">
            <v>1</v>
          </cell>
          <cell r="W116" t="str">
            <v>21-1. 花園の誘い</v>
          </cell>
          <cell r="X116">
            <v>1</v>
          </cell>
          <cell r="Y116">
            <v>1</v>
          </cell>
          <cell r="Z116">
            <v>1</v>
          </cell>
          <cell r="AA116">
            <v>1</v>
          </cell>
          <cell r="AB116" t="str">
            <v>anytime</v>
          </cell>
          <cell r="AC116">
            <v>21</v>
          </cell>
          <cell r="AD116">
            <v>6</v>
          </cell>
          <cell r="AE116" t="str">
            <v>everyone</v>
          </cell>
        </row>
        <row r="117">
          <cell r="A117" t="str">
            <v>21_3</v>
          </cell>
          <cell r="B117">
            <v>3</v>
          </cell>
          <cell r="C117">
            <v>21</v>
          </cell>
          <cell r="D117" t="str">
            <v>21．胡蝶舞う植物園</v>
          </cell>
          <cell r="E117" t="str">
            <v>混色DL4</v>
          </cell>
          <cell r="F117">
            <v>3</v>
          </cell>
          <cell r="G117" t="str">
            <v>ja</v>
          </cell>
          <cell r="H117" t="str">
            <v>21-3. 物言わぬ猛攻</v>
          </cell>
          <cell r="J117" t="str">
            <v>NULL</v>
          </cell>
          <cell r="K117">
            <v>13</v>
          </cell>
          <cell r="L117">
            <v>2010</v>
          </cell>
          <cell r="M117">
            <v>1</v>
          </cell>
          <cell r="N117">
            <v>1</v>
          </cell>
          <cell r="O117">
            <v>1</v>
          </cell>
          <cell r="P117">
            <v>1</v>
          </cell>
          <cell r="Q117">
            <v>1</v>
          </cell>
          <cell r="R117">
            <v>3</v>
          </cell>
          <cell r="S117" t="str">
            <v>none</v>
          </cell>
          <cell r="T117">
            <v>0</v>
          </cell>
          <cell r="U117">
            <v>21</v>
          </cell>
          <cell r="V117">
            <v>2</v>
          </cell>
          <cell r="W117" t="str">
            <v>21-2. 華やかなる迎撃</v>
          </cell>
          <cell r="X117">
            <v>1</v>
          </cell>
          <cell r="Y117">
            <v>1</v>
          </cell>
          <cell r="Z117">
            <v>1</v>
          </cell>
          <cell r="AA117">
            <v>1</v>
          </cell>
          <cell r="AB117" t="str">
            <v>anytime</v>
          </cell>
          <cell r="AC117">
            <v>21</v>
          </cell>
          <cell r="AD117">
            <v>6</v>
          </cell>
          <cell r="AE117" t="str">
            <v>everyone</v>
          </cell>
        </row>
        <row r="118">
          <cell r="A118" t="str">
            <v>21_4</v>
          </cell>
          <cell r="B118">
            <v>3</v>
          </cell>
          <cell r="C118">
            <v>21</v>
          </cell>
          <cell r="D118" t="str">
            <v>21．胡蝶舞う植物園</v>
          </cell>
          <cell r="E118" t="str">
            <v>混色DL4</v>
          </cell>
          <cell r="F118">
            <v>4</v>
          </cell>
          <cell r="G118" t="str">
            <v>ja</v>
          </cell>
          <cell r="H118" t="str">
            <v>21-4. 虹彩の軍団</v>
          </cell>
          <cell r="J118" t="str">
            <v>NULL</v>
          </cell>
          <cell r="K118">
            <v>15</v>
          </cell>
          <cell r="L118">
            <v>2400</v>
          </cell>
          <cell r="M118">
            <v>1</v>
          </cell>
          <cell r="N118">
            <v>1</v>
          </cell>
          <cell r="O118">
            <v>1</v>
          </cell>
          <cell r="P118">
            <v>1</v>
          </cell>
          <cell r="Q118">
            <v>1</v>
          </cell>
          <cell r="R118">
            <v>3</v>
          </cell>
          <cell r="S118" t="str">
            <v>none</v>
          </cell>
          <cell r="T118">
            <v>0</v>
          </cell>
          <cell r="U118">
            <v>21</v>
          </cell>
          <cell r="V118">
            <v>3</v>
          </cell>
          <cell r="W118" t="str">
            <v>21-3. 物言わぬ猛攻</v>
          </cell>
          <cell r="X118">
            <v>1</v>
          </cell>
          <cell r="Y118">
            <v>1</v>
          </cell>
          <cell r="Z118">
            <v>1</v>
          </cell>
          <cell r="AA118">
            <v>1</v>
          </cell>
          <cell r="AB118" t="str">
            <v>anytime</v>
          </cell>
          <cell r="AC118">
            <v>21</v>
          </cell>
          <cell r="AD118">
            <v>6</v>
          </cell>
          <cell r="AE118" t="str">
            <v>everyone</v>
          </cell>
        </row>
        <row r="119">
          <cell r="A119" t="str">
            <v>21_5</v>
          </cell>
          <cell r="B119">
            <v>3</v>
          </cell>
          <cell r="C119">
            <v>21</v>
          </cell>
          <cell r="D119" t="str">
            <v>21．胡蝶舞う植物園</v>
          </cell>
          <cell r="E119" t="str">
            <v>混色DL4</v>
          </cell>
          <cell r="F119">
            <v>5</v>
          </cell>
          <cell r="G119" t="str">
            <v>ja</v>
          </cell>
          <cell r="H119" t="str">
            <v>21-5. マスターオブエデン</v>
          </cell>
          <cell r="J119" t="str">
            <v>NULL</v>
          </cell>
          <cell r="K119">
            <v>20</v>
          </cell>
          <cell r="L119">
            <v>3100</v>
          </cell>
          <cell r="M119">
            <v>1</v>
          </cell>
          <cell r="N119">
            <v>1</v>
          </cell>
          <cell r="O119">
            <v>1</v>
          </cell>
          <cell r="P119">
            <v>1</v>
          </cell>
          <cell r="Q119">
            <v>1</v>
          </cell>
          <cell r="R119">
            <v>3</v>
          </cell>
          <cell r="S119" t="str">
            <v>none</v>
          </cell>
          <cell r="T119">
            <v>0</v>
          </cell>
          <cell r="U119">
            <v>21</v>
          </cell>
          <cell r="V119">
            <v>4</v>
          </cell>
          <cell r="W119" t="str">
            <v>21-4. 虹彩の軍団</v>
          </cell>
          <cell r="X119">
            <v>1</v>
          </cell>
          <cell r="Y119">
            <v>1</v>
          </cell>
          <cell r="Z119">
            <v>1</v>
          </cell>
          <cell r="AA119">
            <v>1</v>
          </cell>
          <cell r="AB119" t="str">
            <v>anytime</v>
          </cell>
          <cell r="AC119">
            <v>21</v>
          </cell>
          <cell r="AD119">
            <v>6</v>
          </cell>
          <cell r="AE119" t="str">
            <v>everyone</v>
          </cell>
        </row>
        <row r="120">
          <cell r="A120" t="str">
            <v>21_6</v>
          </cell>
          <cell r="B120">
            <v>3</v>
          </cell>
          <cell r="C120">
            <v>21</v>
          </cell>
          <cell r="D120" t="str">
            <v>21．胡蝶舞う植物園</v>
          </cell>
          <cell r="E120" t="str">
            <v>混色DL4</v>
          </cell>
          <cell r="F120">
            <v>6</v>
          </cell>
          <cell r="G120" t="str">
            <v>ja</v>
          </cell>
          <cell r="H120" t="str">
            <v>21-6. 【1回のみ】ボーナスステージ</v>
          </cell>
          <cell r="I120" t="str">
            <v>ボーナス</v>
          </cell>
          <cell r="J120">
            <v>125</v>
          </cell>
          <cell r="K120">
            <v>1</v>
          </cell>
          <cell r="L120">
            <v>1</v>
          </cell>
          <cell r="M120">
            <v>1</v>
          </cell>
          <cell r="N120">
            <v>1</v>
          </cell>
          <cell r="O120">
            <v>1</v>
          </cell>
          <cell r="P120">
            <v>1</v>
          </cell>
          <cell r="Q120">
            <v>1</v>
          </cell>
          <cell r="R120">
            <v>3</v>
          </cell>
          <cell r="S120" t="str">
            <v>none</v>
          </cell>
          <cell r="T120">
            <v>0</v>
          </cell>
          <cell r="U120">
            <v>21</v>
          </cell>
          <cell r="V120">
            <v>5</v>
          </cell>
          <cell r="W120" t="str">
            <v>21-5. マスターオブエデン</v>
          </cell>
          <cell r="X120">
            <v>1</v>
          </cell>
          <cell r="Y120">
            <v>1</v>
          </cell>
          <cell r="Z120">
            <v>1</v>
          </cell>
          <cell r="AA120">
            <v>1</v>
          </cell>
          <cell r="AB120" t="str">
            <v>once</v>
          </cell>
          <cell r="AC120">
            <v>21</v>
          </cell>
          <cell r="AD120">
            <v>6</v>
          </cell>
          <cell r="AE120" t="str">
            <v>singleonly</v>
          </cell>
        </row>
        <row r="121">
          <cell r="A121" t="str">
            <v>22_1</v>
          </cell>
          <cell r="B121">
            <v>3</v>
          </cell>
          <cell r="C121">
            <v>22</v>
          </cell>
          <cell r="D121" t="str">
            <v>22．紫炎の例大祭</v>
          </cell>
          <cell r="E121" t="str">
            <v>赤DL5</v>
          </cell>
          <cell r="F121">
            <v>1</v>
          </cell>
          <cell r="G121" t="str">
            <v>ja</v>
          </cell>
          <cell r="H121" t="str">
            <v>22-1．開宴の遠吠え</v>
          </cell>
          <cell r="J121" t="str">
            <v>NULL</v>
          </cell>
          <cell r="K121">
            <v>15</v>
          </cell>
          <cell r="L121">
            <v>2280</v>
          </cell>
          <cell r="M121">
            <v>1</v>
          </cell>
          <cell r="N121">
            <v>1</v>
          </cell>
          <cell r="O121">
            <v>1</v>
          </cell>
          <cell r="P121">
            <v>1</v>
          </cell>
          <cell r="Q121">
            <v>1</v>
          </cell>
          <cell r="R121">
            <v>3</v>
          </cell>
          <cell r="S121" t="str">
            <v>none</v>
          </cell>
          <cell r="T121">
            <v>0</v>
          </cell>
          <cell r="U121">
            <v>21</v>
          </cell>
          <cell r="V121">
            <v>6</v>
          </cell>
          <cell r="W121" t="str">
            <v>21-6. 【1回のみ】ボーナスステージ</v>
          </cell>
          <cell r="X121">
            <v>1</v>
          </cell>
          <cell r="Y121">
            <v>1</v>
          </cell>
          <cell r="Z121">
            <v>0</v>
          </cell>
          <cell r="AA121">
            <v>0</v>
          </cell>
          <cell r="AB121" t="str">
            <v>anytime</v>
          </cell>
          <cell r="AC121">
            <v>22</v>
          </cell>
          <cell r="AD121">
            <v>6</v>
          </cell>
          <cell r="AE121" t="str">
            <v>everyone</v>
          </cell>
        </row>
        <row r="122">
          <cell r="A122" t="str">
            <v>22_2</v>
          </cell>
          <cell r="B122">
            <v>3</v>
          </cell>
          <cell r="C122">
            <v>22</v>
          </cell>
          <cell r="D122" t="str">
            <v>22．紫炎の例大祭</v>
          </cell>
          <cell r="E122" t="str">
            <v>赤DL5</v>
          </cell>
          <cell r="F122">
            <v>2</v>
          </cell>
          <cell r="G122" t="str">
            <v>ja</v>
          </cell>
          <cell r="H122" t="str">
            <v>22-2．排他的な案内人</v>
          </cell>
          <cell r="J122" t="str">
            <v>NULL</v>
          </cell>
          <cell r="K122">
            <v>15</v>
          </cell>
          <cell r="L122">
            <v>2460</v>
          </cell>
          <cell r="M122">
            <v>1</v>
          </cell>
          <cell r="N122">
            <v>1</v>
          </cell>
          <cell r="O122">
            <v>1</v>
          </cell>
          <cell r="P122">
            <v>1</v>
          </cell>
          <cell r="Q122">
            <v>1</v>
          </cell>
          <cell r="R122">
            <v>3</v>
          </cell>
          <cell r="S122" t="str">
            <v>none</v>
          </cell>
          <cell r="T122">
            <v>0</v>
          </cell>
          <cell r="U122">
            <v>22</v>
          </cell>
          <cell r="V122">
            <v>1</v>
          </cell>
          <cell r="W122" t="str">
            <v>22-1．開宴の遠吠え</v>
          </cell>
          <cell r="X122">
            <v>1</v>
          </cell>
          <cell r="Y122">
            <v>1</v>
          </cell>
          <cell r="Z122">
            <v>0</v>
          </cell>
          <cell r="AA122">
            <v>0</v>
          </cell>
          <cell r="AB122" t="str">
            <v>anytime</v>
          </cell>
          <cell r="AC122">
            <v>22</v>
          </cell>
          <cell r="AD122">
            <v>6</v>
          </cell>
          <cell r="AE122" t="str">
            <v>everyone</v>
          </cell>
        </row>
        <row r="123">
          <cell r="A123" t="str">
            <v>22_3</v>
          </cell>
          <cell r="B123">
            <v>3</v>
          </cell>
          <cell r="C123">
            <v>22</v>
          </cell>
          <cell r="D123" t="str">
            <v>22．紫炎の例大祭</v>
          </cell>
          <cell r="E123" t="str">
            <v>赤DL5</v>
          </cell>
          <cell r="F123">
            <v>3</v>
          </cell>
          <cell r="G123" t="str">
            <v>ja</v>
          </cell>
          <cell r="H123" t="str">
            <v>22-3．誘眠の鼓音</v>
          </cell>
          <cell r="J123" t="str">
            <v>NULL</v>
          </cell>
          <cell r="K123">
            <v>16</v>
          </cell>
          <cell r="L123">
            <v>2670</v>
          </cell>
          <cell r="M123">
            <v>1</v>
          </cell>
          <cell r="N123">
            <v>1</v>
          </cell>
          <cell r="O123">
            <v>1</v>
          </cell>
          <cell r="P123">
            <v>1</v>
          </cell>
          <cell r="Q123">
            <v>1</v>
          </cell>
          <cell r="R123">
            <v>3</v>
          </cell>
          <cell r="S123" t="str">
            <v>none</v>
          </cell>
          <cell r="T123">
            <v>0</v>
          </cell>
          <cell r="U123">
            <v>22</v>
          </cell>
          <cell r="V123">
            <v>2</v>
          </cell>
          <cell r="W123" t="str">
            <v>22-2．排他的な案内人</v>
          </cell>
          <cell r="X123">
            <v>1</v>
          </cell>
          <cell r="Y123">
            <v>1</v>
          </cell>
          <cell r="Z123">
            <v>0</v>
          </cell>
          <cell r="AA123">
            <v>0</v>
          </cell>
          <cell r="AB123" t="str">
            <v>anytime</v>
          </cell>
          <cell r="AC123">
            <v>22</v>
          </cell>
          <cell r="AD123">
            <v>6</v>
          </cell>
          <cell r="AE123" t="str">
            <v>everyone</v>
          </cell>
        </row>
        <row r="124">
          <cell r="A124" t="str">
            <v>22_4</v>
          </cell>
          <cell r="B124">
            <v>3</v>
          </cell>
          <cell r="C124">
            <v>22</v>
          </cell>
          <cell r="D124" t="str">
            <v>22．紫炎の例大祭</v>
          </cell>
          <cell r="E124" t="str">
            <v>赤DL5</v>
          </cell>
          <cell r="F124">
            <v>4</v>
          </cell>
          <cell r="G124" t="str">
            <v>ja</v>
          </cell>
          <cell r="H124" t="str">
            <v>22-4．聖火の啼き声</v>
          </cell>
          <cell r="J124" t="str">
            <v>NULL</v>
          </cell>
          <cell r="K124">
            <v>17</v>
          </cell>
          <cell r="L124">
            <v>2980</v>
          </cell>
          <cell r="M124">
            <v>1</v>
          </cell>
          <cell r="N124">
            <v>1</v>
          </cell>
          <cell r="O124">
            <v>1</v>
          </cell>
          <cell r="P124">
            <v>1</v>
          </cell>
          <cell r="Q124">
            <v>1</v>
          </cell>
          <cell r="R124">
            <v>3</v>
          </cell>
          <cell r="S124" t="str">
            <v>none</v>
          </cell>
          <cell r="T124">
            <v>0</v>
          </cell>
          <cell r="U124">
            <v>22</v>
          </cell>
          <cell r="V124">
            <v>3</v>
          </cell>
          <cell r="W124" t="str">
            <v>22-3．誘眠の鼓音</v>
          </cell>
          <cell r="X124">
            <v>1</v>
          </cell>
          <cell r="Y124">
            <v>1</v>
          </cell>
          <cell r="Z124">
            <v>0</v>
          </cell>
          <cell r="AA124">
            <v>0</v>
          </cell>
          <cell r="AB124" t="str">
            <v>anytime</v>
          </cell>
          <cell r="AC124">
            <v>22</v>
          </cell>
          <cell r="AD124">
            <v>6</v>
          </cell>
          <cell r="AE124" t="str">
            <v>everyone</v>
          </cell>
        </row>
        <row r="125">
          <cell r="A125" t="str">
            <v>22_5</v>
          </cell>
          <cell r="B125">
            <v>3</v>
          </cell>
          <cell r="C125">
            <v>22</v>
          </cell>
          <cell r="D125" t="str">
            <v>22．紫炎の例大祭</v>
          </cell>
          <cell r="E125" t="str">
            <v>赤DL5</v>
          </cell>
          <cell r="F125">
            <v>5</v>
          </cell>
          <cell r="G125" t="str">
            <v>ja</v>
          </cell>
          <cell r="H125" t="str">
            <v>22-5．真宴の月光</v>
          </cell>
          <cell r="J125" t="str">
            <v>NULL</v>
          </cell>
          <cell r="K125">
            <v>20</v>
          </cell>
          <cell r="L125">
            <v>3750</v>
          </cell>
          <cell r="M125">
            <v>1</v>
          </cell>
          <cell r="N125">
            <v>1</v>
          </cell>
          <cell r="O125">
            <v>1</v>
          </cell>
          <cell r="P125">
            <v>1</v>
          </cell>
          <cell r="Q125">
            <v>1</v>
          </cell>
          <cell r="R125">
            <v>3</v>
          </cell>
          <cell r="S125" t="str">
            <v>none</v>
          </cell>
          <cell r="T125">
            <v>0</v>
          </cell>
          <cell r="U125">
            <v>22</v>
          </cell>
          <cell r="V125">
            <v>4</v>
          </cell>
          <cell r="W125" t="str">
            <v>22-4．聖火の啼き声</v>
          </cell>
          <cell r="X125">
            <v>1</v>
          </cell>
          <cell r="Y125">
            <v>1</v>
          </cell>
          <cell r="Z125">
            <v>0</v>
          </cell>
          <cell r="AA125">
            <v>0</v>
          </cell>
          <cell r="AB125" t="str">
            <v>anytime</v>
          </cell>
          <cell r="AC125">
            <v>22</v>
          </cell>
          <cell r="AD125">
            <v>6</v>
          </cell>
          <cell r="AE125" t="str">
            <v>everyone</v>
          </cell>
        </row>
        <row r="126">
          <cell r="A126" t="str">
            <v>22_6</v>
          </cell>
          <cell r="B126">
            <v>3</v>
          </cell>
          <cell r="C126">
            <v>22</v>
          </cell>
          <cell r="D126" t="str">
            <v>22．紫炎の例大祭</v>
          </cell>
          <cell r="E126" t="str">
            <v>赤DL5</v>
          </cell>
          <cell r="F126">
            <v>6</v>
          </cell>
          <cell r="G126" t="str">
            <v>ja</v>
          </cell>
          <cell r="H126" t="str">
            <v>22-6．【1回のみ】ボーナスステージ</v>
          </cell>
          <cell r="I126" t="str">
            <v>ボーナス</v>
          </cell>
          <cell r="J126">
            <v>334</v>
          </cell>
          <cell r="K126">
            <v>1</v>
          </cell>
          <cell r="L126">
            <v>1</v>
          </cell>
          <cell r="M126">
            <v>1</v>
          </cell>
          <cell r="N126">
            <v>1</v>
          </cell>
          <cell r="O126">
            <v>1</v>
          </cell>
          <cell r="P126">
            <v>1</v>
          </cell>
          <cell r="Q126">
            <v>1</v>
          </cell>
          <cell r="R126">
            <v>3</v>
          </cell>
          <cell r="S126" t="str">
            <v>none</v>
          </cell>
          <cell r="T126">
            <v>0</v>
          </cell>
          <cell r="U126">
            <v>22</v>
          </cell>
          <cell r="V126">
            <v>5</v>
          </cell>
          <cell r="W126" t="str">
            <v>22-5．真宴の月光</v>
          </cell>
          <cell r="X126">
            <v>1</v>
          </cell>
          <cell r="Y126">
            <v>1</v>
          </cell>
          <cell r="Z126">
            <v>0</v>
          </cell>
          <cell r="AA126">
            <v>0</v>
          </cell>
          <cell r="AB126" t="str">
            <v>once</v>
          </cell>
          <cell r="AC126">
            <v>22</v>
          </cell>
          <cell r="AD126">
            <v>6</v>
          </cell>
          <cell r="AE126" t="str">
            <v>singleonly</v>
          </cell>
        </row>
        <row r="127">
          <cell r="A127" t="str">
            <v>23_1</v>
          </cell>
          <cell r="B127">
            <v>3</v>
          </cell>
          <cell r="C127">
            <v>23</v>
          </cell>
          <cell r="D127" t="str">
            <v>23．ファングフォレスト</v>
          </cell>
          <cell r="E127" t="str">
            <v>緑DL5</v>
          </cell>
          <cell r="F127">
            <v>1</v>
          </cell>
          <cell r="G127" t="str">
            <v>ja</v>
          </cell>
          <cell r="H127" t="str">
            <v>23-1．牙森の子どもたち</v>
          </cell>
          <cell r="J127" t="str">
            <v>NULL</v>
          </cell>
          <cell r="K127">
            <v>15</v>
          </cell>
          <cell r="L127">
            <v>2310</v>
          </cell>
          <cell r="M127">
            <v>1</v>
          </cell>
          <cell r="N127">
            <v>1</v>
          </cell>
          <cell r="O127">
            <v>1</v>
          </cell>
          <cell r="P127">
            <v>1</v>
          </cell>
          <cell r="Q127">
            <v>1</v>
          </cell>
          <cell r="R127">
            <v>3</v>
          </cell>
          <cell r="S127" t="str">
            <v>none</v>
          </cell>
          <cell r="T127">
            <v>0</v>
          </cell>
          <cell r="U127">
            <v>22</v>
          </cell>
          <cell r="V127">
            <v>6</v>
          </cell>
          <cell r="W127" t="str">
            <v>22-6．【1回のみ】ボーナスステージ</v>
          </cell>
          <cell r="X127">
            <v>1</v>
          </cell>
          <cell r="Y127">
            <v>0</v>
          </cell>
          <cell r="Z127">
            <v>1</v>
          </cell>
          <cell r="AA127">
            <v>0</v>
          </cell>
          <cell r="AB127" t="str">
            <v>anytime</v>
          </cell>
          <cell r="AC127">
            <v>23</v>
          </cell>
          <cell r="AD127">
            <v>6</v>
          </cell>
          <cell r="AE127" t="str">
            <v>everyone</v>
          </cell>
        </row>
        <row r="128">
          <cell r="A128" t="str">
            <v>23_2</v>
          </cell>
          <cell r="B128">
            <v>3</v>
          </cell>
          <cell r="C128">
            <v>23</v>
          </cell>
          <cell r="D128" t="str">
            <v>23．ファングフォレスト</v>
          </cell>
          <cell r="E128" t="str">
            <v>緑DL5</v>
          </cell>
          <cell r="F128">
            <v>2</v>
          </cell>
          <cell r="G128" t="str">
            <v>ja</v>
          </cell>
          <cell r="H128" t="str">
            <v>23-2．微笑みの猛蛇</v>
          </cell>
          <cell r="J128" t="str">
            <v>NULL</v>
          </cell>
          <cell r="K128">
            <v>15</v>
          </cell>
          <cell r="L128">
            <v>2490</v>
          </cell>
          <cell r="M128">
            <v>1</v>
          </cell>
          <cell r="N128">
            <v>1</v>
          </cell>
          <cell r="O128">
            <v>1</v>
          </cell>
          <cell r="P128">
            <v>1</v>
          </cell>
          <cell r="Q128">
            <v>1</v>
          </cell>
          <cell r="R128">
            <v>3</v>
          </cell>
          <cell r="S128" t="str">
            <v>none</v>
          </cell>
          <cell r="T128">
            <v>0</v>
          </cell>
          <cell r="U128">
            <v>23</v>
          </cell>
          <cell r="V128">
            <v>1</v>
          </cell>
          <cell r="W128" t="str">
            <v>23-1．牙森の子どもたち</v>
          </cell>
          <cell r="X128">
            <v>1</v>
          </cell>
          <cell r="Y128">
            <v>0</v>
          </cell>
          <cell r="Z128">
            <v>1</v>
          </cell>
          <cell r="AA128">
            <v>0</v>
          </cell>
          <cell r="AB128" t="str">
            <v>anytime</v>
          </cell>
          <cell r="AC128">
            <v>23</v>
          </cell>
          <cell r="AD128">
            <v>6</v>
          </cell>
          <cell r="AE128" t="str">
            <v>everyone</v>
          </cell>
        </row>
        <row r="129">
          <cell r="A129" t="str">
            <v>23_3</v>
          </cell>
          <cell r="B129">
            <v>3</v>
          </cell>
          <cell r="C129">
            <v>23</v>
          </cell>
          <cell r="D129" t="str">
            <v>23．ファングフォレスト</v>
          </cell>
          <cell r="E129" t="str">
            <v>緑DL5</v>
          </cell>
          <cell r="F129">
            <v>3</v>
          </cell>
          <cell r="G129" t="str">
            <v>ja</v>
          </cell>
          <cell r="H129" t="str">
            <v>23-3．震える大地</v>
          </cell>
          <cell r="J129" t="str">
            <v>NULL</v>
          </cell>
          <cell r="K129">
            <v>16</v>
          </cell>
          <cell r="L129">
            <v>2700</v>
          </cell>
          <cell r="M129">
            <v>1</v>
          </cell>
          <cell r="N129">
            <v>1</v>
          </cell>
          <cell r="O129">
            <v>1</v>
          </cell>
          <cell r="P129">
            <v>1</v>
          </cell>
          <cell r="Q129">
            <v>1</v>
          </cell>
          <cell r="R129">
            <v>3</v>
          </cell>
          <cell r="S129" t="str">
            <v>none</v>
          </cell>
          <cell r="T129">
            <v>0</v>
          </cell>
          <cell r="U129">
            <v>23</v>
          </cell>
          <cell r="V129">
            <v>2</v>
          </cell>
          <cell r="W129" t="str">
            <v>23-2．微笑みの猛蛇</v>
          </cell>
          <cell r="X129">
            <v>1</v>
          </cell>
          <cell r="Y129">
            <v>0</v>
          </cell>
          <cell r="Z129">
            <v>1</v>
          </cell>
          <cell r="AA129">
            <v>0</v>
          </cell>
          <cell r="AB129" t="str">
            <v>anytime</v>
          </cell>
          <cell r="AC129">
            <v>23</v>
          </cell>
          <cell r="AD129">
            <v>6</v>
          </cell>
          <cell r="AE129" t="str">
            <v>everyone</v>
          </cell>
        </row>
        <row r="130">
          <cell r="A130" t="str">
            <v>23_4</v>
          </cell>
          <cell r="B130">
            <v>3</v>
          </cell>
          <cell r="C130">
            <v>23</v>
          </cell>
          <cell r="D130" t="str">
            <v>23．ファングフォレスト</v>
          </cell>
          <cell r="E130" t="str">
            <v>緑DL5</v>
          </cell>
          <cell r="F130">
            <v>4</v>
          </cell>
          <cell r="G130" t="str">
            <v>ja</v>
          </cell>
          <cell r="H130" t="str">
            <v>23-4．森は咬み千切る</v>
          </cell>
          <cell r="J130" t="str">
            <v>NULL</v>
          </cell>
          <cell r="K130">
            <v>17</v>
          </cell>
          <cell r="L130">
            <v>3010</v>
          </cell>
          <cell r="M130">
            <v>1</v>
          </cell>
          <cell r="N130">
            <v>1</v>
          </cell>
          <cell r="O130">
            <v>1</v>
          </cell>
          <cell r="P130">
            <v>1</v>
          </cell>
          <cell r="Q130">
            <v>1</v>
          </cell>
          <cell r="R130">
            <v>3</v>
          </cell>
          <cell r="S130" t="str">
            <v>none</v>
          </cell>
          <cell r="T130">
            <v>0</v>
          </cell>
          <cell r="U130">
            <v>23</v>
          </cell>
          <cell r="V130">
            <v>3</v>
          </cell>
          <cell r="W130" t="str">
            <v>23-3．震える大地</v>
          </cell>
          <cell r="X130">
            <v>1</v>
          </cell>
          <cell r="Y130">
            <v>0</v>
          </cell>
          <cell r="Z130">
            <v>1</v>
          </cell>
          <cell r="AA130">
            <v>0</v>
          </cell>
          <cell r="AB130" t="str">
            <v>anytime</v>
          </cell>
          <cell r="AC130">
            <v>23</v>
          </cell>
          <cell r="AD130">
            <v>6</v>
          </cell>
          <cell r="AE130" t="str">
            <v>everyone</v>
          </cell>
        </row>
        <row r="131">
          <cell r="A131" t="str">
            <v>23_5</v>
          </cell>
          <cell r="B131">
            <v>3</v>
          </cell>
          <cell r="C131">
            <v>23</v>
          </cell>
          <cell r="D131" t="str">
            <v>23．ファングフォレスト</v>
          </cell>
          <cell r="E131" t="str">
            <v>緑DL5</v>
          </cell>
          <cell r="F131">
            <v>5</v>
          </cell>
          <cell r="G131" t="str">
            <v>ja</v>
          </cell>
          <cell r="H131" t="str">
            <v>23-5．目醒めの子どもたち</v>
          </cell>
          <cell r="J131" t="str">
            <v>NULL</v>
          </cell>
          <cell r="K131">
            <v>20</v>
          </cell>
          <cell r="L131">
            <v>3780</v>
          </cell>
          <cell r="M131">
            <v>1</v>
          </cell>
          <cell r="N131">
            <v>1</v>
          </cell>
          <cell r="O131">
            <v>1</v>
          </cell>
          <cell r="P131">
            <v>1</v>
          </cell>
          <cell r="Q131">
            <v>1</v>
          </cell>
          <cell r="R131">
            <v>3</v>
          </cell>
          <cell r="S131" t="str">
            <v>none</v>
          </cell>
          <cell r="T131">
            <v>0</v>
          </cell>
          <cell r="U131">
            <v>23</v>
          </cell>
          <cell r="V131">
            <v>4</v>
          </cell>
          <cell r="W131" t="str">
            <v>23-4．森は咬み千切る</v>
          </cell>
          <cell r="X131">
            <v>1</v>
          </cell>
          <cell r="Y131">
            <v>0</v>
          </cell>
          <cell r="Z131">
            <v>1</v>
          </cell>
          <cell r="AA131">
            <v>0</v>
          </cell>
          <cell r="AB131" t="str">
            <v>anytime</v>
          </cell>
          <cell r="AC131">
            <v>23</v>
          </cell>
          <cell r="AD131">
            <v>6</v>
          </cell>
          <cell r="AE131" t="str">
            <v>everyone</v>
          </cell>
        </row>
        <row r="132">
          <cell r="A132" t="str">
            <v>23_6</v>
          </cell>
          <cell r="B132">
            <v>3</v>
          </cell>
          <cell r="C132">
            <v>23</v>
          </cell>
          <cell r="D132" t="str">
            <v>23．ファングフォレスト</v>
          </cell>
          <cell r="E132" t="str">
            <v>緑DL5</v>
          </cell>
          <cell r="F132">
            <v>6</v>
          </cell>
          <cell r="G132" t="str">
            <v>ja</v>
          </cell>
          <cell r="H132" t="str">
            <v>23-6．【1回のみ】ボーナスステージ</v>
          </cell>
          <cell r="I132" t="str">
            <v>ボーナス</v>
          </cell>
          <cell r="J132">
            <v>338</v>
          </cell>
          <cell r="K132">
            <v>1</v>
          </cell>
          <cell r="L132">
            <v>1</v>
          </cell>
          <cell r="M132">
            <v>1</v>
          </cell>
          <cell r="N132">
            <v>1</v>
          </cell>
          <cell r="O132">
            <v>1</v>
          </cell>
          <cell r="P132">
            <v>1</v>
          </cell>
          <cell r="Q132">
            <v>1</v>
          </cell>
          <cell r="R132">
            <v>3</v>
          </cell>
          <cell r="S132" t="str">
            <v>none</v>
          </cell>
          <cell r="T132">
            <v>0</v>
          </cell>
          <cell r="U132">
            <v>23</v>
          </cell>
          <cell r="V132">
            <v>5</v>
          </cell>
          <cell r="W132" t="str">
            <v>23-5．目醒めの子どもたち</v>
          </cell>
          <cell r="X132">
            <v>1</v>
          </cell>
          <cell r="Y132">
            <v>0</v>
          </cell>
          <cell r="Z132">
            <v>1</v>
          </cell>
          <cell r="AA132">
            <v>0</v>
          </cell>
          <cell r="AB132" t="str">
            <v>once</v>
          </cell>
          <cell r="AC132">
            <v>23</v>
          </cell>
          <cell r="AD132">
            <v>6</v>
          </cell>
          <cell r="AE132" t="str">
            <v>singleonly</v>
          </cell>
        </row>
        <row r="133">
          <cell r="A133" t="str">
            <v>24_1</v>
          </cell>
          <cell r="B133">
            <v>3</v>
          </cell>
          <cell r="C133">
            <v>24</v>
          </cell>
          <cell r="D133" t="str">
            <v>24．バトルフィールドヘヴン</v>
          </cell>
          <cell r="E133" t="str">
            <v>黄DL5</v>
          </cell>
          <cell r="F133">
            <v>1</v>
          </cell>
          <cell r="G133" t="str">
            <v>ja</v>
          </cell>
          <cell r="H133" t="str">
            <v>24-1．開戦の電磁</v>
          </cell>
          <cell r="J133" t="str">
            <v>NULL</v>
          </cell>
          <cell r="K133">
            <v>15</v>
          </cell>
          <cell r="L133">
            <v>2410</v>
          </cell>
          <cell r="M133">
            <v>1</v>
          </cell>
          <cell r="N133">
            <v>1</v>
          </cell>
          <cell r="O133">
            <v>1</v>
          </cell>
          <cell r="P133">
            <v>1</v>
          </cell>
          <cell r="Q133">
            <v>1</v>
          </cell>
          <cell r="R133">
            <v>3</v>
          </cell>
          <cell r="S133" t="str">
            <v>none</v>
          </cell>
          <cell r="T133">
            <v>0</v>
          </cell>
          <cell r="U133">
            <v>23</v>
          </cell>
          <cell r="V133">
            <v>6</v>
          </cell>
          <cell r="W133" t="str">
            <v>23-6．【1回のみ】ボーナスステージ</v>
          </cell>
          <cell r="X133">
            <v>0</v>
          </cell>
          <cell r="Y133">
            <v>0</v>
          </cell>
          <cell r="Z133">
            <v>1</v>
          </cell>
          <cell r="AA133">
            <v>1</v>
          </cell>
          <cell r="AB133" t="str">
            <v>anytime</v>
          </cell>
          <cell r="AC133">
            <v>24</v>
          </cell>
          <cell r="AD133">
            <v>6</v>
          </cell>
          <cell r="AE133" t="str">
            <v>everyone</v>
          </cell>
        </row>
        <row r="134">
          <cell r="A134" t="str">
            <v>24_2</v>
          </cell>
          <cell r="B134">
            <v>3</v>
          </cell>
          <cell r="C134">
            <v>24</v>
          </cell>
          <cell r="D134" t="str">
            <v>24．バトルフィールドヘヴン</v>
          </cell>
          <cell r="E134" t="str">
            <v>黄DL5</v>
          </cell>
          <cell r="F134">
            <v>2</v>
          </cell>
          <cell r="G134" t="str">
            <v>ja</v>
          </cell>
          <cell r="H134" t="str">
            <v>24-2．奇襲と増援</v>
          </cell>
          <cell r="J134" t="str">
            <v>NULL</v>
          </cell>
          <cell r="K134">
            <v>15</v>
          </cell>
          <cell r="L134">
            <v>2590</v>
          </cell>
          <cell r="M134">
            <v>1</v>
          </cell>
          <cell r="N134">
            <v>1</v>
          </cell>
          <cell r="O134">
            <v>1</v>
          </cell>
          <cell r="P134">
            <v>1</v>
          </cell>
          <cell r="Q134">
            <v>1</v>
          </cell>
          <cell r="R134">
            <v>3</v>
          </cell>
          <cell r="S134" t="str">
            <v>none</v>
          </cell>
          <cell r="T134">
            <v>0</v>
          </cell>
          <cell r="U134">
            <v>24</v>
          </cell>
          <cell r="V134">
            <v>1</v>
          </cell>
          <cell r="W134" t="str">
            <v>24-1．開戦の電磁</v>
          </cell>
          <cell r="X134">
            <v>0</v>
          </cell>
          <cell r="Y134">
            <v>0</v>
          </cell>
          <cell r="Z134">
            <v>1</v>
          </cell>
          <cell r="AA134">
            <v>1</v>
          </cell>
          <cell r="AB134" t="str">
            <v>anytime</v>
          </cell>
          <cell r="AC134">
            <v>24</v>
          </cell>
          <cell r="AD134">
            <v>6</v>
          </cell>
          <cell r="AE134" t="str">
            <v>everyone</v>
          </cell>
        </row>
        <row r="135">
          <cell r="A135" t="str">
            <v>24_3</v>
          </cell>
          <cell r="B135">
            <v>3</v>
          </cell>
          <cell r="C135">
            <v>24</v>
          </cell>
          <cell r="D135" t="str">
            <v>24．バトルフィールドヘヴン</v>
          </cell>
          <cell r="E135" t="str">
            <v>黄DL5</v>
          </cell>
          <cell r="F135">
            <v>3</v>
          </cell>
          <cell r="G135" t="str">
            <v>ja</v>
          </cell>
          <cell r="H135" t="str">
            <v>24-3．武器を花に変えて</v>
          </cell>
          <cell r="J135" t="str">
            <v>NULL</v>
          </cell>
          <cell r="K135">
            <v>16</v>
          </cell>
          <cell r="L135">
            <v>2800</v>
          </cell>
          <cell r="M135">
            <v>1</v>
          </cell>
          <cell r="N135">
            <v>1</v>
          </cell>
          <cell r="O135">
            <v>1</v>
          </cell>
          <cell r="P135">
            <v>1</v>
          </cell>
          <cell r="Q135">
            <v>1</v>
          </cell>
          <cell r="R135">
            <v>3</v>
          </cell>
          <cell r="S135" t="str">
            <v>none</v>
          </cell>
          <cell r="T135">
            <v>0</v>
          </cell>
          <cell r="U135">
            <v>24</v>
          </cell>
          <cell r="V135">
            <v>2</v>
          </cell>
          <cell r="W135" t="str">
            <v>24-2．奇襲と増援</v>
          </cell>
          <cell r="X135">
            <v>0</v>
          </cell>
          <cell r="Y135">
            <v>0</v>
          </cell>
          <cell r="Z135">
            <v>1</v>
          </cell>
          <cell r="AA135">
            <v>1</v>
          </cell>
          <cell r="AB135" t="str">
            <v>anytime</v>
          </cell>
          <cell r="AC135">
            <v>24</v>
          </cell>
          <cell r="AD135">
            <v>6</v>
          </cell>
          <cell r="AE135" t="str">
            <v>everyone</v>
          </cell>
        </row>
        <row r="136">
          <cell r="A136" t="str">
            <v>24_4</v>
          </cell>
          <cell r="B136">
            <v>3</v>
          </cell>
          <cell r="C136">
            <v>24</v>
          </cell>
          <cell r="D136" t="str">
            <v>24．バトルフィールドヘヴン</v>
          </cell>
          <cell r="E136" t="str">
            <v>黄DL5</v>
          </cell>
          <cell r="F136">
            <v>4</v>
          </cell>
          <cell r="G136" t="str">
            <v>ja</v>
          </cell>
          <cell r="H136" t="str">
            <v>24-4．肉弾の虎将</v>
          </cell>
          <cell r="J136" t="str">
            <v>NULL</v>
          </cell>
          <cell r="K136">
            <v>17</v>
          </cell>
          <cell r="L136">
            <v>3120</v>
          </cell>
          <cell r="M136">
            <v>1</v>
          </cell>
          <cell r="N136">
            <v>1</v>
          </cell>
          <cell r="O136">
            <v>1</v>
          </cell>
          <cell r="P136">
            <v>1</v>
          </cell>
          <cell r="Q136">
            <v>1</v>
          </cell>
          <cell r="R136">
            <v>3</v>
          </cell>
          <cell r="S136" t="str">
            <v>none</v>
          </cell>
          <cell r="T136">
            <v>0</v>
          </cell>
          <cell r="U136">
            <v>24</v>
          </cell>
          <cell r="V136">
            <v>3</v>
          </cell>
          <cell r="W136" t="str">
            <v>24-3．武器を花に変えて</v>
          </cell>
          <cell r="X136">
            <v>0</v>
          </cell>
          <cell r="Y136">
            <v>0</v>
          </cell>
          <cell r="Z136">
            <v>1</v>
          </cell>
          <cell r="AA136">
            <v>1</v>
          </cell>
          <cell r="AB136" t="str">
            <v>anytime</v>
          </cell>
          <cell r="AC136">
            <v>24</v>
          </cell>
          <cell r="AD136">
            <v>6</v>
          </cell>
          <cell r="AE136" t="str">
            <v>everyone</v>
          </cell>
        </row>
        <row r="137">
          <cell r="A137" t="str">
            <v>24_5</v>
          </cell>
          <cell r="B137">
            <v>3</v>
          </cell>
          <cell r="C137">
            <v>24</v>
          </cell>
          <cell r="D137" t="str">
            <v>24．バトルフィールドヘヴン</v>
          </cell>
          <cell r="E137" t="str">
            <v>黄DL5</v>
          </cell>
          <cell r="F137">
            <v>5</v>
          </cell>
          <cell r="G137" t="str">
            <v>ja</v>
          </cell>
          <cell r="H137" t="str">
            <v>24-5．決戦のヘヴン</v>
          </cell>
          <cell r="J137" t="str">
            <v>NULL</v>
          </cell>
          <cell r="K137">
            <v>20</v>
          </cell>
          <cell r="L137">
            <v>3880</v>
          </cell>
          <cell r="M137">
            <v>1</v>
          </cell>
          <cell r="N137">
            <v>1</v>
          </cell>
          <cell r="O137">
            <v>1</v>
          </cell>
          <cell r="P137">
            <v>1</v>
          </cell>
          <cell r="Q137">
            <v>1</v>
          </cell>
          <cell r="R137">
            <v>3</v>
          </cell>
          <cell r="S137" t="str">
            <v>none</v>
          </cell>
          <cell r="T137">
            <v>0</v>
          </cell>
          <cell r="U137">
            <v>24</v>
          </cell>
          <cell r="V137">
            <v>4</v>
          </cell>
          <cell r="W137" t="str">
            <v>24-4．肉弾の虎将</v>
          </cell>
          <cell r="X137">
            <v>0</v>
          </cell>
          <cell r="Y137">
            <v>0</v>
          </cell>
          <cell r="Z137">
            <v>1</v>
          </cell>
          <cell r="AA137">
            <v>1</v>
          </cell>
          <cell r="AB137" t="str">
            <v>anytime</v>
          </cell>
          <cell r="AC137">
            <v>24</v>
          </cell>
          <cell r="AD137">
            <v>6</v>
          </cell>
          <cell r="AE137" t="str">
            <v>everyone</v>
          </cell>
        </row>
        <row r="138">
          <cell r="A138" t="str">
            <v>24_6</v>
          </cell>
          <cell r="B138">
            <v>3</v>
          </cell>
          <cell r="C138">
            <v>24</v>
          </cell>
          <cell r="D138" t="str">
            <v>24．バトルフィールドヘヴン</v>
          </cell>
          <cell r="E138" t="str">
            <v>黄DL5</v>
          </cell>
          <cell r="F138">
            <v>6</v>
          </cell>
          <cell r="G138" t="str">
            <v>ja</v>
          </cell>
          <cell r="H138" t="str">
            <v>24-6．【1回のみ】ボーナスステージ</v>
          </cell>
          <cell r="I138" t="str">
            <v>ボーナス</v>
          </cell>
          <cell r="J138">
            <v>346</v>
          </cell>
          <cell r="K138">
            <v>1</v>
          </cell>
          <cell r="L138">
            <v>1</v>
          </cell>
          <cell r="M138">
            <v>1</v>
          </cell>
          <cell r="N138">
            <v>1</v>
          </cell>
          <cell r="O138">
            <v>1</v>
          </cell>
          <cell r="P138">
            <v>1</v>
          </cell>
          <cell r="Q138">
            <v>1</v>
          </cell>
          <cell r="R138">
            <v>3</v>
          </cell>
          <cell r="S138" t="str">
            <v>none</v>
          </cell>
          <cell r="T138">
            <v>0</v>
          </cell>
          <cell r="U138">
            <v>24</v>
          </cell>
          <cell r="V138">
            <v>5</v>
          </cell>
          <cell r="W138" t="str">
            <v>24-5．決戦のヘヴン</v>
          </cell>
          <cell r="X138">
            <v>0</v>
          </cell>
          <cell r="Y138">
            <v>0</v>
          </cell>
          <cell r="Z138">
            <v>1</v>
          </cell>
          <cell r="AA138">
            <v>1</v>
          </cell>
          <cell r="AB138" t="str">
            <v>once</v>
          </cell>
          <cell r="AC138">
            <v>24</v>
          </cell>
          <cell r="AD138">
            <v>6</v>
          </cell>
          <cell r="AE138" t="str">
            <v>singleonly</v>
          </cell>
        </row>
        <row r="139">
          <cell r="A139" t="str">
            <v>25_1</v>
          </cell>
          <cell r="B139">
            <v>3</v>
          </cell>
          <cell r="C139">
            <v>25</v>
          </cell>
          <cell r="D139" t="str">
            <v>25．サディスティックパーティ</v>
          </cell>
          <cell r="E139" t="str">
            <v>青DL5</v>
          </cell>
          <cell r="F139">
            <v>1</v>
          </cell>
          <cell r="G139" t="str">
            <v>ja</v>
          </cell>
          <cell r="H139" t="str">
            <v>25-1．血塗られた招待状</v>
          </cell>
          <cell r="J139" t="str">
            <v>NULL</v>
          </cell>
          <cell r="K139">
            <v>15</v>
          </cell>
          <cell r="L139">
            <v>2610</v>
          </cell>
          <cell r="M139">
            <v>1</v>
          </cell>
          <cell r="N139">
            <v>1</v>
          </cell>
          <cell r="O139">
            <v>1</v>
          </cell>
          <cell r="P139">
            <v>1</v>
          </cell>
          <cell r="Q139">
            <v>1</v>
          </cell>
          <cell r="R139">
            <v>3</v>
          </cell>
          <cell r="S139" t="str">
            <v>none</v>
          </cell>
          <cell r="T139">
            <v>0</v>
          </cell>
          <cell r="U139">
            <v>24</v>
          </cell>
          <cell r="V139">
            <v>6</v>
          </cell>
          <cell r="W139" t="str">
            <v>24-6．【1回のみ】ボーナスステージ</v>
          </cell>
          <cell r="X139">
            <v>0</v>
          </cell>
          <cell r="Y139">
            <v>1</v>
          </cell>
          <cell r="Z139">
            <v>0</v>
          </cell>
          <cell r="AA139">
            <v>1</v>
          </cell>
          <cell r="AB139" t="str">
            <v>anytime</v>
          </cell>
          <cell r="AC139">
            <v>25</v>
          </cell>
          <cell r="AD139">
            <v>6</v>
          </cell>
          <cell r="AE139" t="str">
            <v>everyone</v>
          </cell>
        </row>
        <row r="140">
          <cell r="A140" t="str">
            <v>25_2</v>
          </cell>
          <cell r="B140">
            <v>3</v>
          </cell>
          <cell r="C140">
            <v>25</v>
          </cell>
          <cell r="D140" t="str">
            <v>25．サディスティックパーティ</v>
          </cell>
          <cell r="E140" t="str">
            <v>青DL5</v>
          </cell>
          <cell r="F140">
            <v>2</v>
          </cell>
          <cell r="G140" t="str">
            <v>ja</v>
          </cell>
          <cell r="H140" t="str">
            <v>25-2．剣の舞</v>
          </cell>
          <cell r="J140" t="str">
            <v>NULL</v>
          </cell>
          <cell r="K140">
            <v>15</v>
          </cell>
          <cell r="L140">
            <v>2790</v>
          </cell>
          <cell r="M140">
            <v>1</v>
          </cell>
          <cell r="N140">
            <v>1</v>
          </cell>
          <cell r="O140">
            <v>1</v>
          </cell>
          <cell r="P140">
            <v>1</v>
          </cell>
          <cell r="Q140">
            <v>1</v>
          </cell>
          <cell r="R140">
            <v>3</v>
          </cell>
          <cell r="S140" t="str">
            <v>none</v>
          </cell>
          <cell r="T140">
            <v>0</v>
          </cell>
          <cell r="U140">
            <v>25</v>
          </cell>
          <cell r="V140">
            <v>1</v>
          </cell>
          <cell r="W140" t="str">
            <v>25-1．血塗られた招待状</v>
          </cell>
          <cell r="X140">
            <v>0</v>
          </cell>
          <cell r="Y140">
            <v>1</v>
          </cell>
          <cell r="Z140">
            <v>0</v>
          </cell>
          <cell r="AA140">
            <v>1</v>
          </cell>
          <cell r="AB140" t="str">
            <v>anytime</v>
          </cell>
          <cell r="AC140">
            <v>25</v>
          </cell>
          <cell r="AD140">
            <v>6</v>
          </cell>
          <cell r="AE140" t="str">
            <v>everyone</v>
          </cell>
        </row>
        <row r="141">
          <cell r="A141" t="str">
            <v>25_3</v>
          </cell>
          <cell r="B141">
            <v>3</v>
          </cell>
          <cell r="C141">
            <v>25</v>
          </cell>
          <cell r="D141" t="str">
            <v>25．サディスティックパーティ</v>
          </cell>
          <cell r="E141" t="str">
            <v>青DL5</v>
          </cell>
          <cell r="F141">
            <v>3</v>
          </cell>
          <cell r="G141" t="str">
            <v>ja</v>
          </cell>
          <cell r="H141" t="str">
            <v>25-3．暗闇との対話</v>
          </cell>
          <cell r="J141" t="str">
            <v>NULL</v>
          </cell>
          <cell r="K141">
            <v>16</v>
          </cell>
          <cell r="L141">
            <v>3000</v>
          </cell>
          <cell r="M141">
            <v>1</v>
          </cell>
          <cell r="N141">
            <v>1</v>
          </cell>
          <cell r="O141">
            <v>1</v>
          </cell>
          <cell r="P141">
            <v>1</v>
          </cell>
          <cell r="Q141">
            <v>1</v>
          </cell>
          <cell r="R141">
            <v>3</v>
          </cell>
          <cell r="S141" t="str">
            <v>none</v>
          </cell>
          <cell r="T141">
            <v>0</v>
          </cell>
          <cell r="U141">
            <v>25</v>
          </cell>
          <cell r="V141">
            <v>2</v>
          </cell>
          <cell r="W141" t="str">
            <v>25-2．剣の舞</v>
          </cell>
          <cell r="X141">
            <v>0</v>
          </cell>
          <cell r="Y141">
            <v>1</v>
          </cell>
          <cell r="Z141">
            <v>0</v>
          </cell>
          <cell r="AA141">
            <v>1</v>
          </cell>
          <cell r="AB141" t="str">
            <v>anytime</v>
          </cell>
          <cell r="AC141">
            <v>25</v>
          </cell>
          <cell r="AD141">
            <v>6</v>
          </cell>
          <cell r="AE141" t="str">
            <v>everyone</v>
          </cell>
        </row>
        <row r="142">
          <cell r="A142" t="str">
            <v>25_4</v>
          </cell>
          <cell r="B142">
            <v>3</v>
          </cell>
          <cell r="C142">
            <v>25</v>
          </cell>
          <cell r="D142" t="str">
            <v>25．サディスティックパーティ</v>
          </cell>
          <cell r="E142" t="str">
            <v>青DL5</v>
          </cell>
          <cell r="F142">
            <v>4</v>
          </cell>
          <cell r="G142" t="str">
            <v>ja</v>
          </cell>
          <cell r="H142" t="str">
            <v>25-4．許されぬ休息</v>
          </cell>
          <cell r="J142" t="str">
            <v>NULL</v>
          </cell>
          <cell r="K142">
            <v>17</v>
          </cell>
          <cell r="L142">
            <v>3310</v>
          </cell>
          <cell r="M142">
            <v>1</v>
          </cell>
          <cell r="N142">
            <v>1</v>
          </cell>
          <cell r="O142">
            <v>1</v>
          </cell>
          <cell r="P142">
            <v>1</v>
          </cell>
          <cell r="Q142">
            <v>1</v>
          </cell>
          <cell r="R142">
            <v>3</v>
          </cell>
          <cell r="S142" t="str">
            <v>none</v>
          </cell>
          <cell r="T142">
            <v>0</v>
          </cell>
          <cell r="U142">
            <v>25</v>
          </cell>
          <cell r="V142">
            <v>3</v>
          </cell>
          <cell r="W142" t="str">
            <v>25-3．暗闇との対話</v>
          </cell>
          <cell r="X142">
            <v>0</v>
          </cell>
          <cell r="Y142">
            <v>1</v>
          </cell>
          <cell r="Z142">
            <v>0</v>
          </cell>
          <cell r="AA142">
            <v>1</v>
          </cell>
          <cell r="AB142" t="str">
            <v>anytime</v>
          </cell>
          <cell r="AC142">
            <v>25</v>
          </cell>
          <cell r="AD142">
            <v>6</v>
          </cell>
          <cell r="AE142" t="str">
            <v>everyone</v>
          </cell>
        </row>
        <row r="143">
          <cell r="A143" t="str">
            <v>25_5</v>
          </cell>
          <cell r="B143">
            <v>3</v>
          </cell>
          <cell r="C143">
            <v>25</v>
          </cell>
          <cell r="D143" t="str">
            <v>25．サディスティックパーティ</v>
          </cell>
          <cell r="E143" t="str">
            <v>青DL5</v>
          </cell>
          <cell r="F143">
            <v>5</v>
          </cell>
          <cell r="G143" t="str">
            <v>ja</v>
          </cell>
          <cell r="H143" t="str">
            <v>25-5．君はサディスティック</v>
          </cell>
          <cell r="J143" t="str">
            <v>NULL</v>
          </cell>
          <cell r="K143">
            <v>20</v>
          </cell>
          <cell r="L143">
            <v>4080</v>
          </cell>
          <cell r="M143">
            <v>1</v>
          </cell>
          <cell r="N143">
            <v>1</v>
          </cell>
          <cell r="O143">
            <v>1</v>
          </cell>
          <cell r="P143">
            <v>1</v>
          </cell>
          <cell r="Q143">
            <v>1</v>
          </cell>
          <cell r="R143">
            <v>3</v>
          </cell>
          <cell r="S143" t="str">
            <v>none</v>
          </cell>
          <cell r="T143">
            <v>0</v>
          </cell>
          <cell r="U143">
            <v>25</v>
          </cell>
          <cell r="V143">
            <v>4</v>
          </cell>
          <cell r="W143" t="str">
            <v>25-4．許されぬ休息</v>
          </cell>
          <cell r="X143">
            <v>0</v>
          </cell>
          <cell r="Y143">
            <v>1</v>
          </cell>
          <cell r="Z143">
            <v>0</v>
          </cell>
          <cell r="AA143">
            <v>1</v>
          </cell>
          <cell r="AB143" t="str">
            <v>anytime</v>
          </cell>
          <cell r="AC143">
            <v>25</v>
          </cell>
          <cell r="AD143">
            <v>6</v>
          </cell>
          <cell r="AE143" t="str">
            <v>everyone</v>
          </cell>
        </row>
        <row r="144">
          <cell r="A144" t="str">
            <v>25_6</v>
          </cell>
          <cell r="B144">
            <v>3</v>
          </cell>
          <cell r="C144">
            <v>25</v>
          </cell>
          <cell r="D144" t="str">
            <v>25．サディスティックパーティ</v>
          </cell>
          <cell r="E144" t="str">
            <v>青DL5</v>
          </cell>
          <cell r="F144">
            <v>6</v>
          </cell>
          <cell r="G144" t="str">
            <v>ja</v>
          </cell>
          <cell r="H144" t="str">
            <v>25-6．【1回のみ】ボーナスステージ</v>
          </cell>
          <cell r="I144" t="str">
            <v>ボーナス</v>
          </cell>
          <cell r="J144">
            <v>342</v>
          </cell>
          <cell r="K144">
            <v>1</v>
          </cell>
          <cell r="L144">
            <v>1</v>
          </cell>
          <cell r="M144">
            <v>1</v>
          </cell>
          <cell r="N144">
            <v>1</v>
          </cell>
          <cell r="O144">
            <v>1</v>
          </cell>
          <cell r="P144">
            <v>1</v>
          </cell>
          <cell r="Q144">
            <v>1</v>
          </cell>
          <cell r="R144">
            <v>3</v>
          </cell>
          <cell r="S144" t="str">
            <v>none</v>
          </cell>
          <cell r="T144">
            <v>0</v>
          </cell>
          <cell r="U144">
            <v>25</v>
          </cell>
          <cell r="V144">
            <v>5</v>
          </cell>
          <cell r="W144" t="str">
            <v>25-5．君はサディスティック</v>
          </cell>
          <cell r="X144">
            <v>0</v>
          </cell>
          <cell r="Y144">
            <v>1</v>
          </cell>
          <cell r="Z144">
            <v>0</v>
          </cell>
          <cell r="AA144">
            <v>1</v>
          </cell>
          <cell r="AB144" t="str">
            <v>once</v>
          </cell>
          <cell r="AC144">
            <v>25</v>
          </cell>
          <cell r="AD144">
            <v>6</v>
          </cell>
          <cell r="AE144" t="str">
            <v>singleonly</v>
          </cell>
        </row>
        <row r="145">
          <cell r="A145" t="str">
            <v>26_1</v>
          </cell>
          <cell r="B145">
            <v>3</v>
          </cell>
          <cell r="C145">
            <v>26</v>
          </cell>
          <cell r="D145" t="str">
            <v>26．クラブ クラッシュビーツ</v>
          </cell>
          <cell r="E145" t="str">
            <v>混色DL5</v>
          </cell>
          <cell r="F145">
            <v>1</v>
          </cell>
          <cell r="G145" t="str">
            <v>ja</v>
          </cell>
          <cell r="H145" t="str">
            <v>26-1．無愛想なフロント</v>
          </cell>
          <cell r="J145" t="str">
            <v>NULL</v>
          </cell>
          <cell r="K145">
            <v>15</v>
          </cell>
          <cell r="L145">
            <v>2850</v>
          </cell>
          <cell r="M145">
            <v>1</v>
          </cell>
          <cell r="N145">
            <v>1</v>
          </cell>
          <cell r="O145">
            <v>1</v>
          </cell>
          <cell r="P145">
            <v>1</v>
          </cell>
          <cell r="Q145">
            <v>1</v>
          </cell>
          <cell r="R145">
            <v>3</v>
          </cell>
          <cell r="S145" t="str">
            <v>none</v>
          </cell>
          <cell r="T145">
            <v>0</v>
          </cell>
          <cell r="U145">
            <v>25</v>
          </cell>
          <cell r="V145">
            <v>6</v>
          </cell>
          <cell r="W145" t="str">
            <v>25-6．【1回のみ】ボーナスステージ</v>
          </cell>
          <cell r="X145">
            <v>1</v>
          </cell>
          <cell r="Y145">
            <v>1</v>
          </cell>
          <cell r="Z145">
            <v>1</v>
          </cell>
          <cell r="AA145">
            <v>1</v>
          </cell>
          <cell r="AB145" t="str">
            <v>anytime</v>
          </cell>
          <cell r="AC145">
            <v>2601</v>
          </cell>
          <cell r="AD145">
            <v>6</v>
          </cell>
          <cell r="AE145" t="str">
            <v>everyone</v>
          </cell>
        </row>
        <row r="146">
          <cell r="A146" t="str">
            <v>26_2</v>
          </cell>
          <cell r="B146">
            <v>3</v>
          </cell>
          <cell r="C146">
            <v>26</v>
          </cell>
          <cell r="D146" t="str">
            <v>26．クラブ クラッシュビーツ</v>
          </cell>
          <cell r="E146" t="str">
            <v>混色DL5</v>
          </cell>
          <cell r="F146">
            <v>2</v>
          </cell>
          <cell r="G146" t="str">
            <v>ja</v>
          </cell>
          <cell r="H146" t="str">
            <v>26-2．フロアジャック</v>
          </cell>
          <cell r="J146" t="str">
            <v>NULL</v>
          </cell>
          <cell r="K146">
            <v>15</v>
          </cell>
          <cell r="L146">
            <v>3030</v>
          </cell>
          <cell r="M146">
            <v>1</v>
          </cell>
          <cell r="N146">
            <v>1</v>
          </cell>
          <cell r="O146">
            <v>1</v>
          </cell>
          <cell r="P146">
            <v>1</v>
          </cell>
          <cell r="Q146">
            <v>1</v>
          </cell>
          <cell r="R146">
            <v>3</v>
          </cell>
          <cell r="S146" t="str">
            <v>none</v>
          </cell>
          <cell r="T146">
            <v>0</v>
          </cell>
          <cell r="U146">
            <v>26</v>
          </cell>
          <cell r="V146">
            <v>1</v>
          </cell>
          <cell r="W146" t="str">
            <v>26-1．無愛想なフロント</v>
          </cell>
          <cell r="X146">
            <v>1</v>
          </cell>
          <cell r="Y146">
            <v>1</v>
          </cell>
          <cell r="Z146">
            <v>1</v>
          </cell>
          <cell r="AA146">
            <v>1</v>
          </cell>
          <cell r="AB146" t="str">
            <v>anytime</v>
          </cell>
          <cell r="AC146">
            <v>2601</v>
          </cell>
          <cell r="AD146">
            <v>6</v>
          </cell>
          <cell r="AE146" t="str">
            <v>everyone</v>
          </cell>
        </row>
        <row r="147">
          <cell r="A147" t="str">
            <v>26_3</v>
          </cell>
          <cell r="B147">
            <v>3</v>
          </cell>
          <cell r="C147">
            <v>26</v>
          </cell>
          <cell r="D147" t="str">
            <v>26．クラブ クラッシュビーツ</v>
          </cell>
          <cell r="E147" t="str">
            <v>混色DL5</v>
          </cell>
          <cell r="F147">
            <v>3</v>
          </cell>
          <cell r="G147" t="str">
            <v>ja</v>
          </cell>
          <cell r="H147" t="str">
            <v>26-3．荒ぶる電飾</v>
          </cell>
          <cell r="J147" t="str">
            <v>NULL</v>
          </cell>
          <cell r="K147">
            <v>17</v>
          </cell>
          <cell r="L147">
            <v>3240</v>
          </cell>
          <cell r="M147">
            <v>1</v>
          </cell>
          <cell r="N147">
            <v>1</v>
          </cell>
          <cell r="O147">
            <v>1</v>
          </cell>
          <cell r="P147">
            <v>1</v>
          </cell>
          <cell r="Q147">
            <v>1</v>
          </cell>
          <cell r="R147">
            <v>3</v>
          </cell>
          <cell r="S147" t="str">
            <v>none</v>
          </cell>
          <cell r="T147">
            <v>0</v>
          </cell>
          <cell r="U147">
            <v>26</v>
          </cell>
          <cell r="V147">
            <v>2</v>
          </cell>
          <cell r="W147" t="str">
            <v>26-2．フロアジャック</v>
          </cell>
          <cell r="X147">
            <v>1</v>
          </cell>
          <cell r="Y147">
            <v>1</v>
          </cell>
          <cell r="Z147">
            <v>1</v>
          </cell>
          <cell r="AA147">
            <v>1</v>
          </cell>
          <cell r="AB147" t="str">
            <v>anytime</v>
          </cell>
          <cell r="AC147">
            <v>2601</v>
          </cell>
          <cell r="AD147">
            <v>6</v>
          </cell>
          <cell r="AE147" t="str">
            <v>everyone</v>
          </cell>
        </row>
        <row r="148">
          <cell r="A148" t="str">
            <v>26_4</v>
          </cell>
          <cell r="B148">
            <v>3</v>
          </cell>
          <cell r="C148">
            <v>26</v>
          </cell>
          <cell r="D148" t="str">
            <v>26．クラブ クラッシュビーツ</v>
          </cell>
          <cell r="E148" t="str">
            <v>混色DL5</v>
          </cell>
          <cell r="F148">
            <v>4</v>
          </cell>
          <cell r="G148" t="str">
            <v>ja</v>
          </cell>
          <cell r="H148" t="str">
            <v>26-4．今夜はダークナイト</v>
          </cell>
          <cell r="J148" t="str">
            <v>NULL</v>
          </cell>
          <cell r="K148">
            <v>19</v>
          </cell>
          <cell r="L148">
            <v>3550</v>
          </cell>
          <cell r="M148">
            <v>1</v>
          </cell>
          <cell r="N148">
            <v>1</v>
          </cell>
          <cell r="O148">
            <v>1</v>
          </cell>
          <cell r="P148">
            <v>1</v>
          </cell>
          <cell r="Q148">
            <v>1</v>
          </cell>
          <cell r="R148">
            <v>3</v>
          </cell>
          <cell r="S148" t="str">
            <v>none</v>
          </cell>
          <cell r="T148">
            <v>0</v>
          </cell>
          <cell r="U148">
            <v>26</v>
          </cell>
          <cell r="V148">
            <v>3</v>
          </cell>
          <cell r="W148" t="str">
            <v>26-3．荒ぶる電飾</v>
          </cell>
          <cell r="X148">
            <v>1</v>
          </cell>
          <cell r="Y148">
            <v>1</v>
          </cell>
          <cell r="Z148">
            <v>1</v>
          </cell>
          <cell r="AA148">
            <v>1</v>
          </cell>
          <cell r="AB148" t="str">
            <v>anytime</v>
          </cell>
          <cell r="AC148">
            <v>2601</v>
          </cell>
          <cell r="AD148">
            <v>6</v>
          </cell>
          <cell r="AE148" t="str">
            <v>everyone</v>
          </cell>
        </row>
        <row r="149">
          <cell r="A149" t="str">
            <v>26_5</v>
          </cell>
          <cell r="B149">
            <v>3</v>
          </cell>
          <cell r="C149">
            <v>26</v>
          </cell>
          <cell r="D149" t="str">
            <v>26．クラブ クラッシュビーツ</v>
          </cell>
          <cell r="E149" t="str">
            <v>混色DL5</v>
          </cell>
          <cell r="F149">
            <v>5</v>
          </cell>
          <cell r="G149" t="str">
            <v>ja</v>
          </cell>
          <cell r="H149" t="str">
            <v>26-5．踊る強奪者</v>
          </cell>
          <cell r="J149" t="str">
            <v>NULL</v>
          </cell>
          <cell r="K149">
            <v>22</v>
          </cell>
          <cell r="L149">
            <v>5250</v>
          </cell>
          <cell r="M149">
            <v>1</v>
          </cell>
          <cell r="N149">
            <v>1</v>
          </cell>
          <cell r="O149">
            <v>1</v>
          </cell>
          <cell r="P149">
            <v>1</v>
          </cell>
          <cell r="Q149">
            <v>1</v>
          </cell>
          <cell r="R149">
            <v>3</v>
          </cell>
          <cell r="S149" t="str">
            <v>none</v>
          </cell>
          <cell r="T149">
            <v>0</v>
          </cell>
          <cell r="U149">
            <v>26</v>
          </cell>
          <cell r="V149">
            <v>4</v>
          </cell>
          <cell r="W149" t="str">
            <v>26-4．今夜はダークナイト</v>
          </cell>
          <cell r="X149">
            <v>1</v>
          </cell>
          <cell r="Y149">
            <v>1</v>
          </cell>
          <cell r="Z149">
            <v>1</v>
          </cell>
          <cell r="AA149">
            <v>1</v>
          </cell>
          <cell r="AB149" t="str">
            <v>anytime</v>
          </cell>
          <cell r="AC149">
            <v>2601</v>
          </cell>
          <cell r="AD149">
            <v>6</v>
          </cell>
          <cell r="AE149" t="str">
            <v>everyone</v>
          </cell>
        </row>
        <row r="150">
          <cell r="A150" t="str">
            <v>26_6</v>
          </cell>
          <cell r="B150">
            <v>3</v>
          </cell>
          <cell r="C150">
            <v>26</v>
          </cell>
          <cell r="D150" t="str">
            <v>26．クラブ クラッシュビーツ</v>
          </cell>
          <cell r="E150" t="str">
            <v>混色DL5</v>
          </cell>
          <cell r="F150">
            <v>6</v>
          </cell>
          <cell r="G150" t="str">
            <v>ja</v>
          </cell>
          <cell r="H150" t="str">
            <v>26-6．【1回のみ】ボーナスステージ</v>
          </cell>
          <cell r="I150" t="str">
            <v>ボーナス</v>
          </cell>
          <cell r="J150">
            <v>125</v>
          </cell>
          <cell r="K150">
            <v>1</v>
          </cell>
          <cell r="L150">
            <v>1</v>
          </cell>
          <cell r="M150">
            <v>1</v>
          </cell>
          <cell r="N150">
            <v>1</v>
          </cell>
          <cell r="O150">
            <v>1</v>
          </cell>
          <cell r="P150">
            <v>1</v>
          </cell>
          <cell r="Q150">
            <v>1</v>
          </cell>
          <cell r="R150">
            <v>3</v>
          </cell>
          <cell r="S150" t="str">
            <v>none</v>
          </cell>
          <cell r="T150">
            <v>0</v>
          </cell>
          <cell r="U150">
            <v>26</v>
          </cell>
          <cell r="V150">
            <v>5</v>
          </cell>
          <cell r="W150" t="str">
            <v>26-5．踊る強奪者</v>
          </cell>
          <cell r="X150">
            <v>1</v>
          </cell>
          <cell r="Y150">
            <v>1</v>
          </cell>
          <cell r="Z150">
            <v>1</v>
          </cell>
          <cell r="AA150">
            <v>1</v>
          </cell>
          <cell r="AB150" t="str">
            <v>once</v>
          </cell>
          <cell r="AC150">
            <v>2601</v>
          </cell>
          <cell r="AD150">
            <v>6</v>
          </cell>
          <cell r="AE150" t="str">
            <v>singleonly</v>
          </cell>
        </row>
        <row r="151">
          <cell r="A151" t="str">
            <v>27_1</v>
          </cell>
          <cell r="B151">
            <v>0</v>
          </cell>
          <cell r="C151">
            <v>27</v>
          </cell>
          <cell r="D151">
            <v>0</v>
          </cell>
          <cell r="E151" t="str">
            <v>緑DL6</v>
          </cell>
          <cell r="F151">
            <v>1</v>
          </cell>
          <cell r="G151" t="str">
            <v>ja</v>
          </cell>
          <cell r="H151" t="str">
            <v>DL6緑ステージ1</v>
          </cell>
          <cell r="J151" t="str">
            <v>NULL</v>
          </cell>
          <cell r="K151">
            <v>14</v>
          </cell>
          <cell r="L151">
            <v>14400</v>
          </cell>
          <cell r="M151">
            <v>1</v>
          </cell>
          <cell r="N151">
            <v>1</v>
          </cell>
          <cell r="O151">
            <v>1</v>
          </cell>
          <cell r="P151">
            <v>1</v>
          </cell>
          <cell r="Q151">
            <v>1</v>
          </cell>
          <cell r="R151">
            <v>3</v>
          </cell>
          <cell r="S151" t="str">
            <v>none</v>
          </cell>
          <cell r="T151">
            <v>0</v>
          </cell>
          <cell r="U151">
            <v>26</v>
          </cell>
          <cell r="V151">
            <v>6</v>
          </cell>
          <cell r="W151" t="str">
            <v>26-6．【1回のみ】ボーナスステージ</v>
          </cell>
          <cell r="X151">
            <v>0</v>
          </cell>
          <cell r="Y151">
            <v>1</v>
          </cell>
          <cell r="Z151">
            <v>0</v>
          </cell>
          <cell r="AA151">
            <v>1</v>
          </cell>
          <cell r="AB151" t="str">
            <v>anytime</v>
          </cell>
          <cell r="AC151">
            <v>27</v>
          </cell>
          <cell r="AD151">
            <v>6</v>
          </cell>
          <cell r="AE151" t="str">
            <v>everyone</v>
          </cell>
        </row>
        <row r="152">
          <cell r="A152" t="str">
            <v>27_2</v>
          </cell>
          <cell r="B152">
            <v>0</v>
          </cell>
          <cell r="C152">
            <v>27</v>
          </cell>
          <cell r="D152">
            <v>0</v>
          </cell>
          <cell r="E152" t="str">
            <v>緑DL6</v>
          </cell>
          <cell r="F152">
            <v>2</v>
          </cell>
          <cell r="G152" t="str">
            <v>ja</v>
          </cell>
          <cell r="H152" t="str">
            <v>DL6緑ステージ2</v>
          </cell>
          <cell r="J152" t="str">
            <v>NULL</v>
          </cell>
          <cell r="K152">
            <v>14</v>
          </cell>
          <cell r="L152">
            <v>14520</v>
          </cell>
          <cell r="M152">
            <v>1</v>
          </cell>
          <cell r="N152">
            <v>1</v>
          </cell>
          <cell r="O152">
            <v>1</v>
          </cell>
          <cell r="P152">
            <v>1</v>
          </cell>
          <cell r="Q152">
            <v>1</v>
          </cell>
          <cell r="R152">
            <v>3</v>
          </cell>
          <cell r="S152" t="str">
            <v>none</v>
          </cell>
          <cell r="T152">
            <v>0</v>
          </cell>
          <cell r="U152">
            <v>27</v>
          </cell>
          <cell r="V152">
            <v>1</v>
          </cell>
          <cell r="W152" t="str">
            <v>DL6緑ステージ1</v>
          </cell>
          <cell r="X152">
            <v>0</v>
          </cell>
          <cell r="Y152">
            <v>1</v>
          </cell>
          <cell r="Z152">
            <v>0</v>
          </cell>
          <cell r="AA152">
            <v>1</v>
          </cell>
          <cell r="AB152" t="str">
            <v>anytime</v>
          </cell>
          <cell r="AC152">
            <v>27</v>
          </cell>
          <cell r="AD152">
            <v>6</v>
          </cell>
          <cell r="AE152" t="str">
            <v>everyone</v>
          </cell>
        </row>
        <row r="153">
          <cell r="A153" t="str">
            <v>27_3</v>
          </cell>
          <cell r="B153">
            <v>0</v>
          </cell>
          <cell r="C153">
            <v>27</v>
          </cell>
          <cell r="D153">
            <v>0</v>
          </cell>
          <cell r="E153" t="str">
            <v>緑DL6</v>
          </cell>
          <cell r="F153">
            <v>3</v>
          </cell>
          <cell r="G153" t="str">
            <v>ja</v>
          </cell>
          <cell r="H153" t="str">
            <v>DL6緑ステージ3</v>
          </cell>
          <cell r="J153" t="str">
            <v>NULL</v>
          </cell>
          <cell r="K153">
            <v>14</v>
          </cell>
          <cell r="L153">
            <v>14640</v>
          </cell>
          <cell r="M153">
            <v>1</v>
          </cell>
          <cell r="N153">
            <v>1</v>
          </cell>
          <cell r="O153">
            <v>1</v>
          </cell>
          <cell r="P153">
            <v>1</v>
          </cell>
          <cell r="Q153">
            <v>1</v>
          </cell>
          <cell r="R153">
            <v>3</v>
          </cell>
          <cell r="S153" t="str">
            <v>none</v>
          </cell>
          <cell r="T153">
            <v>0</v>
          </cell>
          <cell r="U153">
            <v>27</v>
          </cell>
          <cell r="V153">
            <v>2</v>
          </cell>
          <cell r="W153" t="str">
            <v>DL6緑ステージ2</v>
          </cell>
          <cell r="X153">
            <v>0</v>
          </cell>
          <cell r="Y153">
            <v>1</v>
          </cell>
          <cell r="Z153">
            <v>0</v>
          </cell>
          <cell r="AA153">
            <v>1</v>
          </cell>
          <cell r="AB153" t="str">
            <v>anytime</v>
          </cell>
          <cell r="AC153">
            <v>27</v>
          </cell>
          <cell r="AD153">
            <v>6</v>
          </cell>
          <cell r="AE153" t="str">
            <v>everyone</v>
          </cell>
        </row>
        <row r="154">
          <cell r="A154" t="str">
            <v>27_4</v>
          </cell>
          <cell r="B154">
            <v>0</v>
          </cell>
          <cell r="C154">
            <v>27</v>
          </cell>
          <cell r="D154">
            <v>0</v>
          </cell>
          <cell r="E154" t="str">
            <v>緑DL6</v>
          </cell>
          <cell r="F154">
            <v>4</v>
          </cell>
          <cell r="G154" t="str">
            <v>ja</v>
          </cell>
          <cell r="H154" t="str">
            <v>DL6緑ステージ4</v>
          </cell>
          <cell r="J154" t="str">
            <v>NULL</v>
          </cell>
          <cell r="K154">
            <v>14</v>
          </cell>
          <cell r="L154">
            <v>14760</v>
          </cell>
          <cell r="M154">
            <v>1</v>
          </cell>
          <cell r="N154">
            <v>1</v>
          </cell>
          <cell r="O154">
            <v>1</v>
          </cell>
          <cell r="P154">
            <v>1</v>
          </cell>
          <cell r="Q154">
            <v>1</v>
          </cell>
          <cell r="R154">
            <v>3</v>
          </cell>
          <cell r="S154" t="str">
            <v>none</v>
          </cell>
          <cell r="T154">
            <v>0</v>
          </cell>
          <cell r="U154">
            <v>27</v>
          </cell>
          <cell r="V154">
            <v>3</v>
          </cell>
          <cell r="W154" t="str">
            <v>DL6緑ステージ3</v>
          </cell>
          <cell r="X154">
            <v>0</v>
          </cell>
          <cell r="Y154">
            <v>1</v>
          </cell>
          <cell r="Z154">
            <v>0</v>
          </cell>
          <cell r="AA154">
            <v>1</v>
          </cell>
          <cell r="AB154" t="str">
            <v>anytime</v>
          </cell>
          <cell r="AC154">
            <v>27</v>
          </cell>
          <cell r="AD154">
            <v>6</v>
          </cell>
          <cell r="AE154" t="str">
            <v>everyone</v>
          </cell>
        </row>
        <row r="155">
          <cell r="A155" t="str">
            <v>27_5</v>
          </cell>
          <cell r="B155">
            <v>0</v>
          </cell>
          <cell r="C155">
            <v>27</v>
          </cell>
          <cell r="D155">
            <v>0</v>
          </cell>
          <cell r="E155" t="str">
            <v>緑DL6</v>
          </cell>
          <cell r="F155">
            <v>5</v>
          </cell>
          <cell r="G155" t="str">
            <v>ja</v>
          </cell>
          <cell r="H155" t="str">
            <v>DL6緑ステージ5</v>
          </cell>
          <cell r="J155" t="str">
            <v>NULL</v>
          </cell>
          <cell r="K155">
            <v>15</v>
          </cell>
          <cell r="L155">
            <v>14880</v>
          </cell>
          <cell r="M155">
            <v>1</v>
          </cell>
          <cell r="N155">
            <v>1</v>
          </cell>
          <cell r="O155">
            <v>1</v>
          </cell>
          <cell r="P155">
            <v>1</v>
          </cell>
          <cell r="Q155">
            <v>1</v>
          </cell>
          <cell r="R155">
            <v>3</v>
          </cell>
          <cell r="S155" t="str">
            <v>none</v>
          </cell>
          <cell r="T155">
            <v>0</v>
          </cell>
          <cell r="U155">
            <v>27</v>
          </cell>
          <cell r="V155">
            <v>4</v>
          </cell>
          <cell r="W155" t="str">
            <v>DL6緑ステージ4</v>
          </cell>
          <cell r="X155">
            <v>0</v>
          </cell>
          <cell r="Y155">
            <v>1</v>
          </cell>
          <cell r="Z155">
            <v>0</v>
          </cell>
          <cell r="AA155">
            <v>1</v>
          </cell>
          <cell r="AB155" t="str">
            <v>anytime</v>
          </cell>
          <cell r="AC155">
            <v>27</v>
          </cell>
          <cell r="AD155">
            <v>6</v>
          </cell>
          <cell r="AE155" t="str">
            <v>everyone</v>
          </cell>
        </row>
        <row r="156">
          <cell r="A156" t="str">
            <v>27_6</v>
          </cell>
          <cell r="B156">
            <v>0</v>
          </cell>
          <cell r="C156">
            <v>27</v>
          </cell>
          <cell r="D156">
            <v>0</v>
          </cell>
          <cell r="E156" t="str">
            <v>緑DL6</v>
          </cell>
          <cell r="F156">
            <v>6</v>
          </cell>
          <cell r="G156" t="str">
            <v>ja</v>
          </cell>
          <cell r="H156" t="str">
            <v>【1回のみ】ボーナスステージ</v>
          </cell>
          <cell r="I156" t="str">
            <v>ボーナス</v>
          </cell>
          <cell r="J156">
            <v>338</v>
          </cell>
          <cell r="K156">
            <v>1</v>
          </cell>
          <cell r="L156">
            <v>1</v>
          </cell>
          <cell r="M156">
            <v>1</v>
          </cell>
          <cell r="N156">
            <v>1</v>
          </cell>
          <cell r="O156">
            <v>1</v>
          </cell>
          <cell r="P156">
            <v>1</v>
          </cell>
          <cell r="Q156">
            <v>1</v>
          </cell>
          <cell r="R156">
            <v>3</v>
          </cell>
          <cell r="S156" t="str">
            <v>none</v>
          </cell>
          <cell r="T156">
            <v>0</v>
          </cell>
          <cell r="U156">
            <v>27</v>
          </cell>
          <cell r="V156">
            <v>5</v>
          </cell>
          <cell r="W156" t="str">
            <v>DL6緑ステージ5</v>
          </cell>
          <cell r="X156">
            <v>0</v>
          </cell>
          <cell r="Y156">
            <v>1</v>
          </cell>
          <cell r="Z156">
            <v>0</v>
          </cell>
          <cell r="AA156">
            <v>1</v>
          </cell>
          <cell r="AB156" t="str">
            <v>once</v>
          </cell>
          <cell r="AC156">
            <v>27</v>
          </cell>
          <cell r="AD156">
            <v>6</v>
          </cell>
          <cell r="AE156" t="str">
            <v>singleonly</v>
          </cell>
        </row>
        <row r="157">
          <cell r="A157" t="str">
            <v>28_1</v>
          </cell>
          <cell r="B157">
            <v>0</v>
          </cell>
          <cell r="C157">
            <v>28</v>
          </cell>
          <cell r="D157">
            <v>0</v>
          </cell>
          <cell r="E157" t="str">
            <v>黄DL6</v>
          </cell>
          <cell r="F157">
            <v>1</v>
          </cell>
          <cell r="G157" t="str">
            <v>ja</v>
          </cell>
          <cell r="H157" t="str">
            <v>DL6黄ステージ1</v>
          </cell>
          <cell r="J157" t="str">
            <v>NULL</v>
          </cell>
          <cell r="K157">
            <v>14</v>
          </cell>
          <cell r="L157">
            <v>15000</v>
          </cell>
          <cell r="M157">
            <v>1</v>
          </cell>
          <cell r="N157">
            <v>1</v>
          </cell>
          <cell r="O157">
            <v>1</v>
          </cell>
          <cell r="P157">
            <v>1</v>
          </cell>
          <cell r="Q157">
            <v>1</v>
          </cell>
          <cell r="R157">
            <v>3</v>
          </cell>
          <cell r="S157" t="str">
            <v>none</v>
          </cell>
          <cell r="T157">
            <v>0</v>
          </cell>
          <cell r="U157">
            <v>27</v>
          </cell>
          <cell r="V157">
            <v>6</v>
          </cell>
          <cell r="W157" t="str">
            <v>【1回のみ】ボーナスステージ</v>
          </cell>
          <cell r="X157">
            <v>1</v>
          </cell>
          <cell r="Y157">
            <v>0</v>
          </cell>
          <cell r="Z157">
            <v>1</v>
          </cell>
          <cell r="AA157">
            <v>0</v>
          </cell>
          <cell r="AB157" t="str">
            <v>anytime</v>
          </cell>
          <cell r="AC157">
            <v>28</v>
          </cell>
          <cell r="AD157">
            <v>6</v>
          </cell>
          <cell r="AE157" t="str">
            <v>everyone</v>
          </cell>
        </row>
        <row r="158">
          <cell r="A158" t="str">
            <v>28_2</v>
          </cell>
          <cell r="B158">
            <v>0</v>
          </cell>
          <cell r="C158">
            <v>28</v>
          </cell>
          <cell r="D158">
            <v>0</v>
          </cell>
          <cell r="E158" t="str">
            <v>黄DL6</v>
          </cell>
          <cell r="F158">
            <v>2</v>
          </cell>
          <cell r="G158" t="str">
            <v>ja</v>
          </cell>
          <cell r="H158" t="str">
            <v>DL6黄ステージ2</v>
          </cell>
          <cell r="J158" t="str">
            <v>NULL</v>
          </cell>
          <cell r="K158">
            <v>14</v>
          </cell>
          <cell r="L158">
            <v>15120</v>
          </cell>
          <cell r="M158">
            <v>1</v>
          </cell>
          <cell r="N158">
            <v>1</v>
          </cell>
          <cell r="O158">
            <v>1</v>
          </cell>
          <cell r="P158">
            <v>1</v>
          </cell>
          <cell r="Q158">
            <v>1</v>
          </cell>
          <cell r="R158">
            <v>3</v>
          </cell>
          <cell r="S158" t="str">
            <v>none</v>
          </cell>
          <cell r="T158">
            <v>0</v>
          </cell>
          <cell r="U158">
            <v>28</v>
          </cell>
          <cell r="V158">
            <v>1</v>
          </cell>
          <cell r="W158" t="str">
            <v>DL6黄ステージ1</v>
          </cell>
          <cell r="X158">
            <v>1</v>
          </cell>
          <cell r="Y158">
            <v>0</v>
          </cell>
          <cell r="Z158">
            <v>1</v>
          </cell>
          <cell r="AA158">
            <v>0</v>
          </cell>
          <cell r="AB158" t="str">
            <v>anytime</v>
          </cell>
          <cell r="AC158">
            <v>28</v>
          </cell>
          <cell r="AD158">
            <v>6</v>
          </cell>
          <cell r="AE158" t="str">
            <v>everyone</v>
          </cell>
        </row>
        <row r="159">
          <cell r="A159" t="str">
            <v>28_3</v>
          </cell>
          <cell r="B159">
            <v>0</v>
          </cell>
          <cell r="C159">
            <v>28</v>
          </cell>
          <cell r="D159">
            <v>0</v>
          </cell>
          <cell r="E159" t="str">
            <v>黄DL6</v>
          </cell>
          <cell r="F159">
            <v>3</v>
          </cell>
          <cell r="G159" t="str">
            <v>ja</v>
          </cell>
          <cell r="H159" t="str">
            <v>DL6黄ステージ3</v>
          </cell>
          <cell r="J159" t="str">
            <v>NULL</v>
          </cell>
          <cell r="K159">
            <v>14</v>
          </cell>
          <cell r="L159">
            <v>15240</v>
          </cell>
          <cell r="M159">
            <v>1</v>
          </cell>
          <cell r="N159">
            <v>1</v>
          </cell>
          <cell r="O159">
            <v>1</v>
          </cell>
          <cell r="P159">
            <v>1</v>
          </cell>
          <cell r="Q159">
            <v>1</v>
          </cell>
          <cell r="R159">
            <v>3</v>
          </cell>
          <cell r="S159" t="str">
            <v>none</v>
          </cell>
          <cell r="T159">
            <v>0</v>
          </cell>
          <cell r="U159">
            <v>28</v>
          </cell>
          <cell r="V159">
            <v>2</v>
          </cell>
          <cell r="W159" t="str">
            <v>DL6黄ステージ2</v>
          </cell>
          <cell r="X159">
            <v>1</v>
          </cell>
          <cell r="Y159">
            <v>0</v>
          </cell>
          <cell r="Z159">
            <v>1</v>
          </cell>
          <cell r="AA159">
            <v>0</v>
          </cell>
          <cell r="AB159" t="str">
            <v>anytime</v>
          </cell>
          <cell r="AC159">
            <v>28</v>
          </cell>
          <cell r="AD159">
            <v>6</v>
          </cell>
          <cell r="AE159" t="str">
            <v>everyone</v>
          </cell>
        </row>
        <row r="160">
          <cell r="A160" t="str">
            <v>28_4</v>
          </cell>
          <cell r="B160">
            <v>0</v>
          </cell>
          <cell r="C160">
            <v>28</v>
          </cell>
          <cell r="D160">
            <v>0</v>
          </cell>
          <cell r="E160" t="str">
            <v>黄DL6</v>
          </cell>
          <cell r="F160">
            <v>4</v>
          </cell>
          <cell r="G160" t="str">
            <v>ja</v>
          </cell>
          <cell r="H160" t="str">
            <v>DL6黄ステージ4</v>
          </cell>
          <cell r="J160" t="str">
            <v>NULL</v>
          </cell>
          <cell r="K160">
            <v>14</v>
          </cell>
          <cell r="L160">
            <v>15360</v>
          </cell>
          <cell r="M160">
            <v>1</v>
          </cell>
          <cell r="N160">
            <v>1</v>
          </cell>
          <cell r="O160">
            <v>1</v>
          </cell>
          <cell r="P160">
            <v>1</v>
          </cell>
          <cell r="Q160">
            <v>1</v>
          </cell>
          <cell r="R160">
            <v>3</v>
          </cell>
          <cell r="S160" t="str">
            <v>none</v>
          </cell>
          <cell r="T160">
            <v>0</v>
          </cell>
          <cell r="U160">
            <v>28</v>
          </cell>
          <cell r="V160">
            <v>3</v>
          </cell>
          <cell r="W160" t="str">
            <v>DL6黄ステージ3</v>
          </cell>
          <cell r="X160">
            <v>1</v>
          </cell>
          <cell r="Y160">
            <v>0</v>
          </cell>
          <cell r="Z160">
            <v>1</v>
          </cell>
          <cell r="AA160">
            <v>0</v>
          </cell>
          <cell r="AB160" t="str">
            <v>anytime</v>
          </cell>
          <cell r="AC160">
            <v>28</v>
          </cell>
          <cell r="AD160">
            <v>6</v>
          </cell>
          <cell r="AE160" t="str">
            <v>everyone</v>
          </cell>
        </row>
        <row r="161">
          <cell r="A161" t="str">
            <v>28_5</v>
          </cell>
          <cell r="B161">
            <v>0</v>
          </cell>
          <cell r="C161">
            <v>28</v>
          </cell>
          <cell r="D161">
            <v>0</v>
          </cell>
          <cell r="E161" t="str">
            <v>黄DL6</v>
          </cell>
          <cell r="F161">
            <v>5</v>
          </cell>
          <cell r="G161" t="str">
            <v>ja</v>
          </cell>
          <cell r="H161" t="str">
            <v>DL6黄ステージ5</v>
          </cell>
          <cell r="J161" t="str">
            <v>NULL</v>
          </cell>
          <cell r="K161">
            <v>15</v>
          </cell>
          <cell r="L161">
            <v>15480</v>
          </cell>
          <cell r="M161">
            <v>1</v>
          </cell>
          <cell r="N161">
            <v>1</v>
          </cell>
          <cell r="O161">
            <v>1</v>
          </cell>
          <cell r="P161">
            <v>1</v>
          </cell>
          <cell r="Q161">
            <v>1</v>
          </cell>
          <cell r="R161">
            <v>3</v>
          </cell>
          <cell r="S161" t="str">
            <v>none</v>
          </cell>
          <cell r="T161">
            <v>0</v>
          </cell>
          <cell r="U161">
            <v>28</v>
          </cell>
          <cell r="V161">
            <v>4</v>
          </cell>
          <cell r="W161" t="str">
            <v>DL6黄ステージ4</v>
          </cell>
          <cell r="X161">
            <v>1</v>
          </cell>
          <cell r="Y161">
            <v>0</v>
          </cell>
          <cell r="Z161">
            <v>1</v>
          </cell>
          <cell r="AA161">
            <v>0</v>
          </cell>
          <cell r="AB161" t="str">
            <v>anytime</v>
          </cell>
          <cell r="AC161">
            <v>28</v>
          </cell>
          <cell r="AD161">
            <v>6</v>
          </cell>
          <cell r="AE161" t="str">
            <v>everyone</v>
          </cell>
        </row>
        <row r="162">
          <cell r="A162" t="str">
            <v>28_6</v>
          </cell>
          <cell r="B162">
            <v>0</v>
          </cell>
          <cell r="C162">
            <v>28</v>
          </cell>
          <cell r="D162">
            <v>0</v>
          </cell>
          <cell r="E162" t="str">
            <v>黄DL6</v>
          </cell>
          <cell r="F162">
            <v>6</v>
          </cell>
          <cell r="G162" t="str">
            <v>ja</v>
          </cell>
          <cell r="H162" t="str">
            <v>ボーナスステージ</v>
          </cell>
          <cell r="I162" t="str">
            <v>ボーナス</v>
          </cell>
          <cell r="J162">
            <v>346</v>
          </cell>
          <cell r="K162">
            <v>1</v>
          </cell>
          <cell r="L162">
            <v>1</v>
          </cell>
          <cell r="M162">
            <v>1</v>
          </cell>
          <cell r="N162">
            <v>1</v>
          </cell>
          <cell r="O162">
            <v>1</v>
          </cell>
          <cell r="P162">
            <v>1</v>
          </cell>
          <cell r="Q162">
            <v>1</v>
          </cell>
          <cell r="R162">
            <v>3</v>
          </cell>
          <cell r="S162" t="str">
            <v>none</v>
          </cell>
          <cell r="T162">
            <v>0</v>
          </cell>
          <cell r="U162">
            <v>28</v>
          </cell>
          <cell r="V162">
            <v>5</v>
          </cell>
          <cell r="W162" t="str">
            <v>DL6黄ステージ5</v>
          </cell>
          <cell r="X162">
            <v>1</v>
          </cell>
          <cell r="Y162">
            <v>0</v>
          </cell>
          <cell r="Z162">
            <v>1</v>
          </cell>
          <cell r="AA162">
            <v>0</v>
          </cell>
          <cell r="AB162" t="str">
            <v>once</v>
          </cell>
          <cell r="AC162">
            <v>28</v>
          </cell>
          <cell r="AD162">
            <v>6</v>
          </cell>
          <cell r="AE162" t="str">
            <v>singleonly</v>
          </cell>
        </row>
        <row r="163">
          <cell r="A163" t="str">
            <v>29_1</v>
          </cell>
          <cell r="B163">
            <v>0</v>
          </cell>
          <cell r="C163">
            <v>29</v>
          </cell>
          <cell r="D163">
            <v>0</v>
          </cell>
          <cell r="E163" t="str">
            <v>青DL6</v>
          </cell>
          <cell r="F163">
            <v>1</v>
          </cell>
          <cell r="G163" t="str">
            <v>ja</v>
          </cell>
          <cell r="H163" t="str">
            <v>DL6青ステージ1</v>
          </cell>
          <cell r="J163" t="str">
            <v>NULL</v>
          </cell>
          <cell r="K163">
            <v>14</v>
          </cell>
          <cell r="L163">
            <v>15600</v>
          </cell>
          <cell r="M163">
            <v>1</v>
          </cell>
          <cell r="N163">
            <v>1</v>
          </cell>
          <cell r="O163">
            <v>1</v>
          </cell>
          <cell r="P163">
            <v>1</v>
          </cell>
          <cell r="Q163">
            <v>1</v>
          </cell>
          <cell r="R163">
            <v>3</v>
          </cell>
          <cell r="S163" t="str">
            <v>none</v>
          </cell>
          <cell r="T163">
            <v>0</v>
          </cell>
          <cell r="U163">
            <v>28</v>
          </cell>
          <cell r="V163">
            <v>6</v>
          </cell>
          <cell r="W163" t="str">
            <v>ボーナスステージ</v>
          </cell>
          <cell r="X163">
            <v>0</v>
          </cell>
          <cell r="Y163">
            <v>0</v>
          </cell>
          <cell r="Z163">
            <v>1</v>
          </cell>
          <cell r="AA163">
            <v>1</v>
          </cell>
          <cell r="AB163" t="str">
            <v>anytime</v>
          </cell>
          <cell r="AC163">
            <v>29</v>
          </cell>
          <cell r="AD163">
            <v>6</v>
          </cell>
          <cell r="AE163" t="str">
            <v>everyone</v>
          </cell>
        </row>
        <row r="164">
          <cell r="A164" t="str">
            <v>29_2</v>
          </cell>
          <cell r="B164">
            <v>0</v>
          </cell>
          <cell r="C164">
            <v>29</v>
          </cell>
          <cell r="D164">
            <v>0</v>
          </cell>
          <cell r="E164" t="str">
            <v>青DL6</v>
          </cell>
          <cell r="F164">
            <v>2</v>
          </cell>
          <cell r="G164" t="str">
            <v>ja</v>
          </cell>
          <cell r="H164" t="str">
            <v>DL6青ステージ2</v>
          </cell>
          <cell r="J164" t="str">
            <v>NULL</v>
          </cell>
          <cell r="K164">
            <v>14</v>
          </cell>
          <cell r="L164">
            <v>15720</v>
          </cell>
          <cell r="M164">
            <v>1</v>
          </cell>
          <cell r="N164">
            <v>1</v>
          </cell>
          <cell r="O164">
            <v>1</v>
          </cell>
          <cell r="P164">
            <v>1</v>
          </cell>
          <cell r="Q164">
            <v>1</v>
          </cell>
          <cell r="R164">
            <v>3</v>
          </cell>
          <cell r="S164" t="str">
            <v>none</v>
          </cell>
          <cell r="T164">
            <v>0</v>
          </cell>
          <cell r="U164">
            <v>29</v>
          </cell>
          <cell r="V164">
            <v>1</v>
          </cell>
          <cell r="W164" t="str">
            <v>DL6青ステージ1</v>
          </cell>
          <cell r="X164">
            <v>0</v>
          </cell>
          <cell r="Y164">
            <v>0</v>
          </cell>
          <cell r="Z164">
            <v>1</v>
          </cell>
          <cell r="AA164">
            <v>1</v>
          </cell>
          <cell r="AB164" t="str">
            <v>anytime</v>
          </cell>
          <cell r="AC164">
            <v>29</v>
          </cell>
          <cell r="AD164">
            <v>6</v>
          </cell>
          <cell r="AE164" t="str">
            <v>everyone</v>
          </cell>
        </row>
        <row r="165">
          <cell r="A165" t="str">
            <v>29_3</v>
          </cell>
          <cell r="B165">
            <v>0</v>
          </cell>
          <cell r="C165">
            <v>29</v>
          </cell>
          <cell r="D165">
            <v>0</v>
          </cell>
          <cell r="E165" t="str">
            <v>青DL6</v>
          </cell>
          <cell r="F165">
            <v>3</v>
          </cell>
          <cell r="G165" t="str">
            <v>ja</v>
          </cell>
          <cell r="H165" t="str">
            <v>DL6青ステージ3</v>
          </cell>
          <cell r="J165" t="str">
            <v>NULL</v>
          </cell>
          <cell r="K165">
            <v>14</v>
          </cell>
          <cell r="L165">
            <v>15840</v>
          </cell>
          <cell r="M165">
            <v>1</v>
          </cell>
          <cell r="N165">
            <v>1</v>
          </cell>
          <cell r="O165">
            <v>1</v>
          </cell>
          <cell r="P165">
            <v>1</v>
          </cell>
          <cell r="Q165">
            <v>1</v>
          </cell>
          <cell r="R165">
            <v>3</v>
          </cell>
          <cell r="S165" t="str">
            <v>none</v>
          </cell>
          <cell r="T165">
            <v>0</v>
          </cell>
          <cell r="U165">
            <v>29</v>
          </cell>
          <cell r="V165">
            <v>2</v>
          </cell>
          <cell r="W165" t="str">
            <v>DL6青ステージ2</v>
          </cell>
          <cell r="X165">
            <v>0</v>
          </cell>
          <cell r="Y165">
            <v>0</v>
          </cell>
          <cell r="Z165">
            <v>1</v>
          </cell>
          <cell r="AA165">
            <v>1</v>
          </cell>
          <cell r="AB165" t="str">
            <v>anytime</v>
          </cell>
          <cell r="AC165">
            <v>29</v>
          </cell>
          <cell r="AD165">
            <v>6</v>
          </cell>
          <cell r="AE165" t="str">
            <v>everyone</v>
          </cell>
        </row>
        <row r="166">
          <cell r="A166" t="str">
            <v>29_4</v>
          </cell>
          <cell r="B166">
            <v>0</v>
          </cell>
          <cell r="C166">
            <v>29</v>
          </cell>
          <cell r="D166">
            <v>0</v>
          </cell>
          <cell r="E166" t="str">
            <v>青DL6</v>
          </cell>
          <cell r="F166">
            <v>4</v>
          </cell>
          <cell r="G166" t="str">
            <v>ja</v>
          </cell>
          <cell r="H166" t="str">
            <v>DL6青ステージ4</v>
          </cell>
          <cell r="J166" t="str">
            <v>NULL</v>
          </cell>
          <cell r="K166">
            <v>14</v>
          </cell>
          <cell r="L166">
            <v>15960</v>
          </cell>
          <cell r="M166">
            <v>1</v>
          </cell>
          <cell r="N166">
            <v>1</v>
          </cell>
          <cell r="O166">
            <v>1</v>
          </cell>
          <cell r="P166">
            <v>1</v>
          </cell>
          <cell r="Q166">
            <v>1</v>
          </cell>
          <cell r="R166">
            <v>3</v>
          </cell>
          <cell r="S166" t="str">
            <v>none</v>
          </cell>
          <cell r="T166">
            <v>0</v>
          </cell>
          <cell r="U166">
            <v>29</v>
          </cell>
          <cell r="V166">
            <v>3</v>
          </cell>
          <cell r="W166" t="str">
            <v>DL6青ステージ3</v>
          </cell>
          <cell r="X166">
            <v>0</v>
          </cell>
          <cell r="Y166">
            <v>0</v>
          </cell>
          <cell r="Z166">
            <v>1</v>
          </cell>
          <cell r="AA166">
            <v>1</v>
          </cell>
          <cell r="AB166" t="str">
            <v>anytime</v>
          </cell>
          <cell r="AC166">
            <v>29</v>
          </cell>
          <cell r="AD166">
            <v>6</v>
          </cell>
          <cell r="AE166" t="str">
            <v>everyone</v>
          </cell>
        </row>
        <row r="167">
          <cell r="A167" t="str">
            <v>29_5</v>
          </cell>
          <cell r="B167">
            <v>0</v>
          </cell>
          <cell r="C167">
            <v>29</v>
          </cell>
          <cell r="D167">
            <v>0</v>
          </cell>
          <cell r="E167" t="str">
            <v>青DL6</v>
          </cell>
          <cell r="F167">
            <v>5</v>
          </cell>
          <cell r="G167" t="str">
            <v>ja</v>
          </cell>
          <cell r="H167" t="str">
            <v>DL6青ステージ5</v>
          </cell>
          <cell r="J167" t="str">
            <v>NULL</v>
          </cell>
          <cell r="K167">
            <v>15</v>
          </cell>
          <cell r="L167">
            <v>16080</v>
          </cell>
          <cell r="M167">
            <v>1</v>
          </cell>
          <cell r="N167">
            <v>1</v>
          </cell>
          <cell r="O167">
            <v>1</v>
          </cell>
          <cell r="P167">
            <v>1</v>
          </cell>
          <cell r="Q167">
            <v>1</v>
          </cell>
          <cell r="R167">
            <v>3</v>
          </cell>
          <cell r="S167" t="str">
            <v>none</v>
          </cell>
          <cell r="T167">
            <v>0</v>
          </cell>
          <cell r="U167">
            <v>29</v>
          </cell>
          <cell r="V167">
            <v>4</v>
          </cell>
          <cell r="W167" t="str">
            <v>DL6青ステージ4</v>
          </cell>
          <cell r="X167">
            <v>0</v>
          </cell>
          <cell r="Y167">
            <v>0</v>
          </cell>
          <cell r="Z167">
            <v>1</v>
          </cell>
          <cell r="AA167">
            <v>1</v>
          </cell>
          <cell r="AB167" t="str">
            <v>anytime</v>
          </cell>
          <cell r="AC167">
            <v>29</v>
          </cell>
          <cell r="AD167">
            <v>6</v>
          </cell>
          <cell r="AE167" t="str">
            <v>everyone</v>
          </cell>
        </row>
        <row r="168">
          <cell r="A168" t="str">
            <v>29_6</v>
          </cell>
          <cell r="B168">
            <v>0</v>
          </cell>
          <cell r="C168">
            <v>29</v>
          </cell>
          <cell r="D168">
            <v>0</v>
          </cell>
          <cell r="E168" t="str">
            <v>青DL6</v>
          </cell>
          <cell r="F168">
            <v>6</v>
          </cell>
          <cell r="G168" t="str">
            <v>ja</v>
          </cell>
          <cell r="H168" t="str">
            <v>【1回のみ】ボーナスステージ</v>
          </cell>
          <cell r="I168" t="str">
            <v>ボーナス</v>
          </cell>
          <cell r="J168">
            <v>342</v>
          </cell>
          <cell r="K168">
            <v>1</v>
          </cell>
          <cell r="L168">
            <v>1</v>
          </cell>
          <cell r="M168">
            <v>1</v>
          </cell>
          <cell r="N168">
            <v>1</v>
          </cell>
          <cell r="O168">
            <v>1</v>
          </cell>
          <cell r="P168">
            <v>1</v>
          </cell>
          <cell r="Q168">
            <v>1</v>
          </cell>
          <cell r="R168">
            <v>3</v>
          </cell>
          <cell r="S168" t="str">
            <v>none</v>
          </cell>
          <cell r="T168">
            <v>0</v>
          </cell>
          <cell r="U168">
            <v>29</v>
          </cell>
          <cell r="V168">
            <v>5</v>
          </cell>
          <cell r="W168" t="str">
            <v>DL6青ステージ5</v>
          </cell>
          <cell r="X168">
            <v>0</v>
          </cell>
          <cell r="Y168">
            <v>0</v>
          </cell>
          <cell r="Z168">
            <v>1</v>
          </cell>
          <cell r="AA168">
            <v>1</v>
          </cell>
          <cell r="AB168" t="str">
            <v>once</v>
          </cell>
          <cell r="AC168">
            <v>29</v>
          </cell>
          <cell r="AD168">
            <v>6</v>
          </cell>
          <cell r="AE168" t="str">
            <v>singleonly</v>
          </cell>
        </row>
        <row r="169">
          <cell r="A169" t="str">
            <v>30_1</v>
          </cell>
          <cell r="B169">
            <v>0</v>
          </cell>
          <cell r="C169">
            <v>30</v>
          </cell>
          <cell r="D169">
            <v>0</v>
          </cell>
          <cell r="E169" t="str">
            <v>赤DL6</v>
          </cell>
          <cell r="F169">
            <v>1</v>
          </cell>
          <cell r="G169" t="str">
            <v>ja</v>
          </cell>
          <cell r="H169" t="str">
            <v>DL6赤ステージ1</v>
          </cell>
          <cell r="J169" t="str">
            <v>NULL</v>
          </cell>
          <cell r="K169">
            <v>14</v>
          </cell>
          <cell r="L169">
            <v>16200</v>
          </cell>
          <cell r="M169">
            <v>1</v>
          </cell>
          <cell r="N169">
            <v>1</v>
          </cell>
          <cell r="O169">
            <v>1</v>
          </cell>
          <cell r="P169">
            <v>1</v>
          </cell>
          <cell r="Q169">
            <v>1</v>
          </cell>
          <cell r="R169">
            <v>3</v>
          </cell>
          <cell r="S169" t="str">
            <v>none</v>
          </cell>
          <cell r="T169">
            <v>0</v>
          </cell>
          <cell r="U169">
            <v>29</v>
          </cell>
          <cell r="V169">
            <v>6</v>
          </cell>
          <cell r="W169" t="str">
            <v>【1回のみ】ボーナスステージ</v>
          </cell>
          <cell r="X169">
            <v>1</v>
          </cell>
          <cell r="Y169">
            <v>1</v>
          </cell>
          <cell r="Z169">
            <v>0</v>
          </cell>
          <cell r="AA169">
            <v>0</v>
          </cell>
          <cell r="AB169" t="str">
            <v>anytime</v>
          </cell>
          <cell r="AC169">
            <v>30</v>
          </cell>
          <cell r="AD169">
            <v>6</v>
          </cell>
          <cell r="AE169" t="str">
            <v>everyone</v>
          </cell>
        </row>
        <row r="170">
          <cell r="A170" t="str">
            <v>30_2</v>
          </cell>
          <cell r="B170">
            <v>0</v>
          </cell>
          <cell r="C170">
            <v>30</v>
          </cell>
          <cell r="D170">
            <v>0</v>
          </cell>
          <cell r="E170" t="str">
            <v>赤DL6</v>
          </cell>
          <cell r="F170">
            <v>2</v>
          </cell>
          <cell r="G170" t="str">
            <v>ja</v>
          </cell>
          <cell r="H170" t="str">
            <v>DL6赤ステージ2</v>
          </cell>
          <cell r="J170" t="str">
            <v>NULL</v>
          </cell>
          <cell r="K170">
            <v>14</v>
          </cell>
          <cell r="L170">
            <v>16320</v>
          </cell>
          <cell r="M170">
            <v>1</v>
          </cell>
          <cell r="N170">
            <v>1</v>
          </cell>
          <cell r="O170">
            <v>1</v>
          </cell>
          <cell r="P170">
            <v>1</v>
          </cell>
          <cell r="Q170">
            <v>1</v>
          </cell>
          <cell r="R170">
            <v>3</v>
          </cell>
          <cell r="S170" t="str">
            <v>none</v>
          </cell>
          <cell r="T170">
            <v>0</v>
          </cell>
          <cell r="U170">
            <v>30</v>
          </cell>
          <cell r="V170">
            <v>1</v>
          </cell>
          <cell r="W170" t="str">
            <v>DL6赤ステージ1</v>
          </cell>
          <cell r="X170">
            <v>1</v>
          </cell>
          <cell r="Y170">
            <v>1</v>
          </cell>
          <cell r="Z170">
            <v>0</v>
          </cell>
          <cell r="AA170">
            <v>0</v>
          </cell>
          <cell r="AB170" t="str">
            <v>anytime</v>
          </cell>
          <cell r="AC170">
            <v>30</v>
          </cell>
          <cell r="AD170">
            <v>6</v>
          </cell>
          <cell r="AE170" t="str">
            <v>everyone</v>
          </cell>
        </row>
        <row r="171">
          <cell r="A171" t="str">
            <v>30_3</v>
          </cell>
          <cell r="B171">
            <v>0</v>
          </cell>
          <cell r="C171">
            <v>30</v>
          </cell>
          <cell r="D171">
            <v>0</v>
          </cell>
          <cell r="E171" t="str">
            <v>赤DL6</v>
          </cell>
          <cell r="F171">
            <v>3</v>
          </cell>
          <cell r="G171" t="str">
            <v>ja</v>
          </cell>
          <cell r="H171" t="str">
            <v>DL6赤ステージ3</v>
          </cell>
          <cell r="J171" t="str">
            <v>NULL</v>
          </cell>
          <cell r="K171">
            <v>14</v>
          </cell>
          <cell r="L171">
            <v>16440</v>
          </cell>
          <cell r="M171">
            <v>1</v>
          </cell>
          <cell r="N171">
            <v>1</v>
          </cell>
          <cell r="O171">
            <v>1</v>
          </cell>
          <cell r="P171">
            <v>1</v>
          </cell>
          <cell r="Q171">
            <v>1</v>
          </cell>
          <cell r="R171">
            <v>3</v>
          </cell>
          <cell r="S171" t="str">
            <v>none</v>
          </cell>
          <cell r="T171">
            <v>0</v>
          </cell>
          <cell r="U171">
            <v>30</v>
          </cell>
          <cell r="V171">
            <v>2</v>
          </cell>
          <cell r="W171" t="str">
            <v>DL6赤ステージ2</v>
          </cell>
          <cell r="X171">
            <v>1</v>
          </cell>
          <cell r="Y171">
            <v>1</v>
          </cell>
          <cell r="Z171">
            <v>0</v>
          </cell>
          <cell r="AA171">
            <v>0</v>
          </cell>
          <cell r="AB171" t="str">
            <v>anytime</v>
          </cell>
          <cell r="AC171">
            <v>30</v>
          </cell>
          <cell r="AD171">
            <v>6</v>
          </cell>
          <cell r="AE171" t="str">
            <v>everyone</v>
          </cell>
        </row>
        <row r="172">
          <cell r="A172" t="str">
            <v>30_4</v>
          </cell>
          <cell r="B172">
            <v>0</v>
          </cell>
          <cell r="C172">
            <v>30</v>
          </cell>
          <cell r="D172">
            <v>0</v>
          </cell>
          <cell r="E172" t="str">
            <v>赤DL6</v>
          </cell>
          <cell r="F172">
            <v>4</v>
          </cell>
          <cell r="G172" t="str">
            <v>ja</v>
          </cell>
          <cell r="H172" t="str">
            <v>DL6赤ステージ4</v>
          </cell>
          <cell r="J172" t="str">
            <v>NULL</v>
          </cell>
          <cell r="K172">
            <v>14</v>
          </cell>
          <cell r="L172">
            <v>16560</v>
          </cell>
          <cell r="M172">
            <v>1</v>
          </cell>
          <cell r="N172">
            <v>1</v>
          </cell>
          <cell r="O172">
            <v>1</v>
          </cell>
          <cell r="P172">
            <v>1</v>
          </cell>
          <cell r="Q172">
            <v>1</v>
          </cell>
          <cell r="R172">
            <v>3</v>
          </cell>
          <cell r="S172" t="str">
            <v>none</v>
          </cell>
          <cell r="T172">
            <v>0</v>
          </cell>
          <cell r="U172">
            <v>30</v>
          </cell>
          <cell r="V172">
            <v>3</v>
          </cell>
          <cell r="W172" t="str">
            <v>DL6赤ステージ3</v>
          </cell>
          <cell r="X172">
            <v>1</v>
          </cell>
          <cell r="Y172">
            <v>1</v>
          </cell>
          <cell r="Z172">
            <v>0</v>
          </cell>
          <cell r="AA172">
            <v>0</v>
          </cell>
          <cell r="AB172" t="str">
            <v>anytime</v>
          </cell>
          <cell r="AC172">
            <v>30</v>
          </cell>
          <cell r="AD172">
            <v>6</v>
          </cell>
          <cell r="AE172" t="str">
            <v>everyone</v>
          </cell>
        </row>
        <row r="173">
          <cell r="A173" t="str">
            <v>30_5</v>
          </cell>
          <cell r="B173">
            <v>0</v>
          </cell>
          <cell r="C173">
            <v>30</v>
          </cell>
          <cell r="D173">
            <v>0</v>
          </cell>
          <cell r="E173" t="str">
            <v>赤DL6</v>
          </cell>
          <cell r="F173">
            <v>5</v>
          </cell>
          <cell r="G173" t="str">
            <v>ja</v>
          </cell>
          <cell r="H173" t="str">
            <v>DL6赤ステージ5</v>
          </cell>
          <cell r="J173" t="str">
            <v>NULL</v>
          </cell>
          <cell r="K173">
            <v>15</v>
          </cell>
          <cell r="L173">
            <v>16680</v>
          </cell>
          <cell r="M173">
            <v>1</v>
          </cell>
          <cell r="N173">
            <v>1</v>
          </cell>
          <cell r="O173">
            <v>1</v>
          </cell>
          <cell r="P173">
            <v>1</v>
          </cell>
          <cell r="Q173">
            <v>1</v>
          </cell>
          <cell r="R173">
            <v>3</v>
          </cell>
          <cell r="S173" t="str">
            <v>none</v>
          </cell>
          <cell r="T173">
            <v>0</v>
          </cell>
          <cell r="U173">
            <v>30</v>
          </cell>
          <cell r="V173">
            <v>4</v>
          </cell>
          <cell r="W173" t="str">
            <v>DL6赤ステージ4</v>
          </cell>
          <cell r="X173">
            <v>1</v>
          </cell>
          <cell r="Y173">
            <v>1</v>
          </cell>
          <cell r="Z173">
            <v>0</v>
          </cell>
          <cell r="AA173">
            <v>0</v>
          </cell>
          <cell r="AB173" t="str">
            <v>anytime</v>
          </cell>
          <cell r="AC173">
            <v>30</v>
          </cell>
          <cell r="AD173">
            <v>6</v>
          </cell>
          <cell r="AE173" t="str">
            <v>everyone</v>
          </cell>
        </row>
        <row r="174">
          <cell r="A174" t="str">
            <v>30_6</v>
          </cell>
          <cell r="B174">
            <v>0</v>
          </cell>
          <cell r="C174">
            <v>30</v>
          </cell>
          <cell r="D174">
            <v>0</v>
          </cell>
          <cell r="E174" t="str">
            <v>赤DL6</v>
          </cell>
          <cell r="F174">
            <v>6</v>
          </cell>
          <cell r="G174" t="str">
            <v>ja</v>
          </cell>
          <cell r="H174" t="str">
            <v>【1回のみ】ボーナスステージ</v>
          </cell>
          <cell r="I174" t="str">
            <v>ボーナス</v>
          </cell>
          <cell r="J174">
            <v>334</v>
          </cell>
          <cell r="K174">
            <v>1</v>
          </cell>
          <cell r="L174">
            <v>1</v>
          </cell>
          <cell r="M174">
            <v>1</v>
          </cell>
          <cell r="N174">
            <v>1</v>
          </cell>
          <cell r="O174">
            <v>1</v>
          </cell>
          <cell r="P174">
            <v>1</v>
          </cell>
          <cell r="Q174">
            <v>1</v>
          </cell>
          <cell r="R174">
            <v>3</v>
          </cell>
          <cell r="S174" t="str">
            <v>none</v>
          </cell>
          <cell r="T174">
            <v>0</v>
          </cell>
          <cell r="U174">
            <v>30</v>
          </cell>
          <cell r="V174">
            <v>5</v>
          </cell>
          <cell r="W174" t="str">
            <v>DL6赤ステージ5</v>
          </cell>
          <cell r="X174">
            <v>1</v>
          </cell>
          <cell r="Y174">
            <v>1</v>
          </cell>
          <cell r="Z174">
            <v>0</v>
          </cell>
          <cell r="AA174">
            <v>0</v>
          </cell>
          <cell r="AB174" t="str">
            <v>once</v>
          </cell>
          <cell r="AC174">
            <v>30</v>
          </cell>
          <cell r="AD174">
            <v>6</v>
          </cell>
          <cell r="AE174" t="str">
            <v>singleonly</v>
          </cell>
        </row>
        <row r="175">
          <cell r="A175" t="str">
            <v>31_1</v>
          </cell>
          <cell r="B175">
            <v>0</v>
          </cell>
          <cell r="C175">
            <v>31</v>
          </cell>
          <cell r="D175">
            <v>0</v>
          </cell>
          <cell r="E175" t="str">
            <v>混色DL6</v>
          </cell>
          <cell r="F175">
            <v>1</v>
          </cell>
          <cell r="G175" t="str">
            <v>ja</v>
          </cell>
          <cell r="H175" t="str">
            <v>DL6混色ステージ1</v>
          </cell>
          <cell r="J175" t="str">
            <v>NULL</v>
          </cell>
          <cell r="K175">
            <v>15</v>
          </cell>
          <cell r="L175">
            <v>16800</v>
          </cell>
          <cell r="M175">
            <v>1</v>
          </cell>
          <cell r="N175">
            <v>1</v>
          </cell>
          <cell r="O175">
            <v>1</v>
          </cell>
          <cell r="P175">
            <v>1</v>
          </cell>
          <cell r="Q175">
            <v>1</v>
          </cell>
          <cell r="R175">
            <v>3</v>
          </cell>
          <cell r="S175" t="str">
            <v>none</v>
          </cell>
          <cell r="T175">
            <v>0</v>
          </cell>
          <cell r="U175">
            <v>30</v>
          </cell>
          <cell r="V175">
            <v>6</v>
          </cell>
          <cell r="W175" t="str">
            <v>【1回のみ】ボーナスステージ</v>
          </cell>
          <cell r="X175">
            <v>1</v>
          </cell>
          <cell r="Y175">
            <v>1</v>
          </cell>
          <cell r="Z175">
            <v>1</v>
          </cell>
          <cell r="AA175">
            <v>1</v>
          </cell>
          <cell r="AB175" t="str">
            <v>anytime</v>
          </cell>
          <cell r="AC175">
            <v>31</v>
          </cell>
          <cell r="AD175">
            <v>6</v>
          </cell>
          <cell r="AE175" t="str">
            <v>everyone</v>
          </cell>
        </row>
        <row r="176">
          <cell r="A176" t="str">
            <v>31_2</v>
          </cell>
          <cell r="B176">
            <v>0</v>
          </cell>
          <cell r="C176">
            <v>31</v>
          </cell>
          <cell r="D176">
            <v>0</v>
          </cell>
          <cell r="E176" t="str">
            <v>混色DL6</v>
          </cell>
          <cell r="F176">
            <v>2</v>
          </cell>
          <cell r="G176" t="str">
            <v>ja</v>
          </cell>
          <cell r="H176" t="str">
            <v>DL6混色ステージ2</v>
          </cell>
          <cell r="J176" t="str">
            <v>NULL</v>
          </cell>
          <cell r="K176">
            <v>15</v>
          </cell>
          <cell r="L176">
            <v>16920</v>
          </cell>
          <cell r="M176">
            <v>1</v>
          </cell>
          <cell r="N176">
            <v>1</v>
          </cell>
          <cell r="O176">
            <v>1</v>
          </cell>
          <cell r="P176">
            <v>1</v>
          </cell>
          <cell r="Q176">
            <v>1</v>
          </cell>
          <cell r="R176">
            <v>3</v>
          </cell>
          <cell r="S176" t="str">
            <v>none</v>
          </cell>
          <cell r="T176">
            <v>0</v>
          </cell>
          <cell r="U176">
            <v>31</v>
          </cell>
          <cell r="V176">
            <v>1</v>
          </cell>
          <cell r="W176" t="str">
            <v>DL6混色ステージ1</v>
          </cell>
          <cell r="X176">
            <v>1</v>
          </cell>
          <cell r="Y176">
            <v>1</v>
          </cell>
          <cell r="Z176">
            <v>1</v>
          </cell>
          <cell r="AA176">
            <v>1</v>
          </cell>
          <cell r="AB176" t="str">
            <v>anytime</v>
          </cell>
          <cell r="AC176">
            <v>31</v>
          </cell>
          <cell r="AD176">
            <v>6</v>
          </cell>
          <cell r="AE176" t="str">
            <v>everyone</v>
          </cell>
        </row>
        <row r="177">
          <cell r="A177" t="str">
            <v>31_3</v>
          </cell>
          <cell r="B177">
            <v>0</v>
          </cell>
          <cell r="C177">
            <v>31</v>
          </cell>
          <cell r="D177">
            <v>0</v>
          </cell>
          <cell r="E177" t="str">
            <v>混色DL6</v>
          </cell>
          <cell r="F177">
            <v>3</v>
          </cell>
          <cell r="G177" t="str">
            <v>ja</v>
          </cell>
          <cell r="H177" t="str">
            <v>DL6混色ステージ3</v>
          </cell>
          <cell r="J177" t="str">
            <v>NULL</v>
          </cell>
          <cell r="K177">
            <v>15</v>
          </cell>
          <cell r="L177">
            <v>17040</v>
          </cell>
          <cell r="M177">
            <v>1</v>
          </cell>
          <cell r="N177">
            <v>1</v>
          </cell>
          <cell r="O177">
            <v>1</v>
          </cell>
          <cell r="P177">
            <v>1</v>
          </cell>
          <cell r="Q177">
            <v>1</v>
          </cell>
          <cell r="R177">
            <v>3</v>
          </cell>
          <cell r="S177" t="str">
            <v>none</v>
          </cell>
          <cell r="T177">
            <v>0</v>
          </cell>
          <cell r="U177">
            <v>31</v>
          </cell>
          <cell r="V177">
            <v>2</v>
          </cell>
          <cell r="W177" t="str">
            <v>DL6混色ステージ2</v>
          </cell>
          <cell r="X177">
            <v>1</v>
          </cell>
          <cell r="Y177">
            <v>1</v>
          </cell>
          <cell r="Z177">
            <v>1</v>
          </cell>
          <cell r="AA177">
            <v>1</v>
          </cell>
          <cell r="AB177" t="str">
            <v>anytime</v>
          </cell>
          <cell r="AC177">
            <v>31</v>
          </cell>
          <cell r="AD177">
            <v>6</v>
          </cell>
          <cell r="AE177" t="str">
            <v>everyone</v>
          </cell>
        </row>
        <row r="178">
          <cell r="A178" t="str">
            <v>31_4</v>
          </cell>
          <cell r="B178">
            <v>0</v>
          </cell>
          <cell r="C178">
            <v>31</v>
          </cell>
          <cell r="D178">
            <v>0</v>
          </cell>
          <cell r="E178" t="str">
            <v>混色DL6</v>
          </cell>
          <cell r="F178">
            <v>4</v>
          </cell>
          <cell r="G178" t="str">
            <v>ja</v>
          </cell>
          <cell r="H178" t="str">
            <v>DL6混色ステージ4</v>
          </cell>
          <cell r="J178" t="str">
            <v>NULL</v>
          </cell>
          <cell r="K178">
            <v>15</v>
          </cell>
          <cell r="L178">
            <v>17160</v>
          </cell>
          <cell r="M178">
            <v>1</v>
          </cell>
          <cell r="N178">
            <v>1</v>
          </cell>
          <cell r="O178">
            <v>1</v>
          </cell>
          <cell r="P178">
            <v>1</v>
          </cell>
          <cell r="Q178">
            <v>1</v>
          </cell>
          <cell r="R178">
            <v>3</v>
          </cell>
          <cell r="S178" t="str">
            <v>none</v>
          </cell>
          <cell r="T178">
            <v>0</v>
          </cell>
          <cell r="U178">
            <v>31</v>
          </cell>
          <cell r="V178">
            <v>3</v>
          </cell>
          <cell r="W178" t="str">
            <v>DL6混色ステージ3</v>
          </cell>
          <cell r="X178">
            <v>1</v>
          </cell>
          <cell r="Y178">
            <v>1</v>
          </cell>
          <cell r="Z178">
            <v>1</v>
          </cell>
          <cell r="AA178">
            <v>1</v>
          </cell>
          <cell r="AB178" t="str">
            <v>anytime</v>
          </cell>
          <cell r="AC178">
            <v>31</v>
          </cell>
          <cell r="AD178">
            <v>6</v>
          </cell>
          <cell r="AE178" t="str">
            <v>everyone</v>
          </cell>
        </row>
        <row r="179">
          <cell r="A179" t="str">
            <v>31_5</v>
          </cell>
          <cell r="B179">
            <v>0</v>
          </cell>
          <cell r="C179">
            <v>31</v>
          </cell>
          <cell r="D179">
            <v>0</v>
          </cell>
          <cell r="E179" t="str">
            <v>混色DL6</v>
          </cell>
          <cell r="F179">
            <v>5</v>
          </cell>
          <cell r="G179" t="str">
            <v>ja</v>
          </cell>
          <cell r="H179" t="str">
            <v>DL6混色ステージ5</v>
          </cell>
          <cell r="J179" t="str">
            <v>NULL</v>
          </cell>
          <cell r="K179">
            <v>16</v>
          </cell>
          <cell r="L179">
            <v>17280</v>
          </cell>
          <cell r="M179">
            <v>1</v>
          </cell>
          <cell r="N179">
            <v>1</v>
          </cell>
          <cell r="O179">
            <v>1</v>
          </cell>
          <cell r="P179">
            <v>1</v>
          </cell>
          <cell r="Q179">
            <v>1</v>
          </cell>
          <cell r="R179">
            <v>3</v>
          </cell>
          <cell r="S179" t="str">
            <v>none</v>
          </cell>
          <cell r="T179">
            <v>0</v>
          </cell>
          <cell r="U179">
            <v>31</v>
          </cell>
          <cell r="V179">
            <v>4</v>
          </cell>
          <cell r="W179" t="str">
            <v>DL6混色ステージ4</v>
          </cell>
          <cell r="X179">
            <v>1</v>
          </cell>
          <cell r="Y179">
            <v>1</v>
          </cell>
          <cell r="Z179">
            <v>1</v>
          </cell>
          <cell r="AA179">
            <v>1</v>
          </cell>
          <cell r="AB179" t="str">
            <v>anytime</v>
          </cell>
          <cell r="AC179">
            <v>31</v>
          </cell>
          <cell r="AD179">
            <v>6</v>
          </cell>
          <cell r="AE179" t="str">
            <v>everyone</v>
          </cell>
        </row>
        <row r="180">
          <cell r="A180" t="str">
            <v>31_6</v>
          </cell>
          <cell r="B180">
            <v>0</v>
          </cell>
          <cell r="C180">
            <v>31</v>
          </cell>
          <cell r="D180">
            <v>0</v>
          </cell>
          <cell r="E180" t="str">
            <v>混色DL6</v>
          </cell>
          <cell r="F180">
            <v>6</v>
          </cell>
          <cell r="G180" t="str">
            <v>ja</v>
          </cell>
          <cell r="H180" t="str">
            <v>【1回のみ】ボーナスステージ</v>
          </cell>
          <cell r="I180" t="str">
            <v>ボーナス</v>
          </cell>
          <cell r="J180">
            <v>125</v>
          </cell>
          <cell r="K180">
            <v>1</v>
          </cell>
          <cell r="L180">
            <v>1</v>
          </cell>
          <cell r="M180">
            <v>1</v>
          </cell>
          <cell r="N180">
            <v>1</v>
          </cell>
          <cell r="O180">
            <v>1</v>
          </cell>
          <cell r="P180">
            <v>1</v>
          </cell>
          <cell r="Q180">
            <v>1</v>
          </cell>
          <cell r="R180">
            <v>3</v>
          </cell>
          <cell r="S180" t="str">
            <v>none</v>
          </cell>
          <cell r="T180">
            <v>0</v>
          </cell>
          <cell r="U180">
            <v>31</v>
          </cell>
          <cell r="V180">
            <v>5</v>
          </cell>
          <cell r="W180" t="str">
            <v>DL6混色ステージ5</v>
          </cell>
          <cell r="X180">
            <v>1</v>
          </cell>
          <cell r="Y180">
            <v>1</v>
          </cell>
          <cell r="Z180">
            <v>1</v>
          </cell>
          <cell r="AA180">
            <v>1</v>
          </cell>
          <cell r="AB180" t="str">
            <v>once</v>
          </cell>
          <cell r="AC180">
            <v>31</v>
          </cell>
          <cell r="AD180">
            <v>6</v>
          </cell>
          <cell r="AE180" t="str">
            <v>singleonly</v>
          </cell>
        </row>
        <row r="181">
          <cell r="A181" t="str">
            <v>10008_1</v>
          </cell>
          <cell r="B181">
            <v>3</v>
          </cell>
          <cell r="C181">
            <v>10008</v>
          </cell>
          <cell r="D181" t="str">
            <v>【1回のみ】幸せのカタチ</v>
          </cell>
          <cell r="E181" t="str">
            <v>ランク開放クエスト Lv8</v>
          </cell>
          <cell r="F181">
            <v>1</v>
          </cell>
          <cell r="G181" t="str">
            <v>ja</v>
          </cell>
          <cell r="H181" t="str">
            <v>【1回のみ】幸せのカタチ</v>
          </cell>
          <cell r="I181" t="str">
            <v>攻略用ユニットの入手</v>
          </cell>
          <cell r="J181">
            <v>79</v>
          </cell>
          <cell r="K181">
            <v>3</v>
          </cell>
          <cell r="L181">
            <v>150</v>
          </cell>
          <cell r="M181">
            <v>1</v>
          </cell>
          <cell r="N181">
            <v>1</v>
          </cell>
          <cell r="O181">
            <v>1</v>
          </cell>
          <cell r="P181">
            <v>1</v>
          </cell>
          <cell r="Q181">
            <v>1</v>
          </cell>
          <cell r="R181">
            <v>3</v>
          </cell>
          <cell r="S181" t="str">
            <v>character</v>
          </cell>
          <cell r="T181">
            <v>107</v>
          </cell>
          <cell r="U181" t="str">
            <v>NULL</v>
          </cell>
          <cell r="V181" t="str">
            <v>NULL</v>
          </cell>
          <cell r="W181" t="str">
            <v/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 t="str">
            <v>once</v>
          </cell>
          <cell r="AC181">
            <v>1</v>
          </cell>
          <cell r="AD181">
            <v>6</v>
          </cell>
          <cell r="AE181" t="str">
            <v>everyone</v>
          </cell>
        </row>
        <row r="182">
          <cell r="A182" t="str">
            <v>10010_1</v>
          </cell>
          <cell r="B182">
            <v>3</v>
          </cell>
          <cell r="C182">
            <v>10010</v>
          </cell>
          <cell r="D182" t="str">
            <v>【1回のみ】幼女増殖！！</v>
          </cell>
          <cell r="E182" t="str">
            <v>ランク開放クエスト Lv10</v>
          </cell>
          <cell r="F182">
            <v>1</v>
          </cell>
          <cell r="G182" t="str">
            <v>ja</v>
          </cell>
          <cell r="H182" t="str">
            <v>【1回のみ】幼女増殖！！</v>
          </cell>
          <cell r="I182" t="str">
            <v>攻略用ユニットの入手</v>
          </cell>
          <cell r="J182">
            <v>83</v>
          </cell>
          <cell r="K182">
            <v>5</v>
          </cell>
          <cell r="L182">
            <v>275</v>
          </cell>
          <cell r="M182">
            <v>1</v>
          </cell>
          <cell r="N182">
            <v>1</v>
          </cell>
          <cell r="O182">
            <v>1</v>
          </cell>
          <cell r="P182">
            <v>1</v>
          </cell>
          <cell r="Q182">
            <v>1</v>
          </cell>
          <cell r="R182">
            <v>3</v>
          </cell>
          <cell r="S182" t="str">
            <v>polygon</v>
          </cell>
          <cell r="T182">
            <v>1</v>
          </cell>
          <cell r="U182" t="str">
            <v>NULL</v>
          </cell>
          <cell r="V182" t="str">
            <v>NULL</v>
          </cell>
          <cell r="W182" t="str">
            <v/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 t="str">
            <v>once</v>
          </cell>
          <cell r="AC182">
            <v>1</v>
          </cell>
          <cell r="AD182">
            <v>6</v>
          </cell>
          <cell r="AE182" t="str">
            <v>everyone</v>
          </cell>
        </row>
        <row r="183">
          <cell r="A183" t="str">
            <v>10015_1</v>
          </cell>
          <cell r="B183">
            <v>3</v>
          </cell>
          <cell r="C183">
            <v>10015</v>
          </cell>
          <cell r="D183" t="str">
            <v>【1回のみ】静かなる混乱</v>
          </cell>
          <cell r="E183" t="str">
            <v>ランク開放クエスト Lv15</v>
          </cell>
          <cell r="F183">
            <v>1</v>
          </cell>
          <cell r="G183" t="str">
            <v>ja</v>
          </cell>
          <cell r="H183" t="str">
            <v>【1回のみ】静かなる混乱</v>
          </cell>
          <cell r="I183" t="str">
            <v>攻略用ユニットの入手</v>
          </cell>
          <cell r="J183">
            <v>81</v>
          </cell>
          <cell r="K183">
            <v>7</v>
          </cell>
          <cell r="L183">
            <v>424</v>
          </cell>
          <cell r="M183">
            <v>1</v>
          </cell>
          <cell r="N183">
            <v>1</v>
          </cell>
          <cell r="O183">
            <v>1</v>
          </cell>
          <cell r="P183">
            <v>1</v>
          </cell>
          <cell r="Q183">
            <v>1</v>
          </cell>
          <cell r="R183">
            <v>3</v>
          </cell>
          <cell r="S183" t="str">
            <v>polygon</v>
          </cell>
          <cell r="T183">
            <v>1</v>
          </cell>
          <cell r="U183" t="str">
            <v>NULL</v>
          </cell>
          <cell r="V183" t="str">
            <v>NULL</v>
          </cell>
          <cell r="W183" t="str">
            <v/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 t="str">
            <v>once</v>
          </cell>
          <cell r="AC183">
            <v>1</v>
          </cell>
          <cell r="AD183">
            <v>6</v>
          </cell>
          <cell r="AE183" t="str">
            <v>everyone</v>
          </cell>
        </row>
        <row r="184">
          <cell r="A184" t="str">
            <v>10020_1</v>
          </cell>
          <cell r="B184">
            <v>3</v>
          </cell>
          <cell r="C184">
            <v>10020</v>
          </cell>
          <cell r="D184" t="str">
            <v>【1回のみ】紅き侵入者</v>
          </cell>
          <cell r="E184" t="str">
            <v>ランク開放クエスト Lv20</v>
          </cell>
          <cell r="F184">
            <v>1</v>
          </cell>
          <cell r="G184" t="str">
            <v>ja</v>
          </cell>
          <cell r="H184" t="str">
            <v>【1回のみ】紅き侵入者</v>
          </cell>
          <cell r="I184" t="str">
            <v>攻略用ユニットの入手</v>
          </cell>
          <cell r="J184">
            <v>77</v>
          </cell>
          <cell r="K184">
            <v>7</v>
          </cell>
          <cell r="L184">
            <v>466</v>
          </cell>
          <cell r="M184">
            <v>1</v>
          </cell>
          <cell r="N184">
            <v>1</v>
          </cell>
          <cell r="O184">
            <v>1</v>
          </cell>
          <cell r="P184">
            <v>1</v>
          </cell>
          <cell r="Q184">
            <v>1</v>
          </cell>
          <cell r="R184">
            <v>3</v>
          </cell>
          <cell r="S184" t="str">
            <v>polygon</v>
          </cell>
          <cell r="T184">
            <v>1</v>
          </cell>
          <cell r="U184" t="str">
            <v>NULL</v>
          </cell>
          <cell r="V184" t="str">
            <v>NULL</v>
          </cell>
          <cell r="W184" t="str">
            <v/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 t="str">
            <v>once</v>
          </cell>
          <cell r="AC184">
            <v>1</v>
          </cell>
          <cell r="AD184">
            <v>6</v>
          </cell>
          <cell r="AE184" t="str">
            <v>everyone</v>
          </cell>
        </row>
        <row r="185">
          <cell r="A185" t="str">
            <v>10025_1</v>
          </cell>
          <cell r="B185">
            <v>3</v>
          </cell>
          <cell r="C185">
            <v>10025</v>
          </cell>
          <cell r="D185" t="str">
            <v>【1回のみ】イブとトモダチと狼男</v>
          </cell>
          <cell r="E185" t="str">
            <v>ランク開放クエスト Lv25</v>
          </cell>
          <cell r="F185">
            <v>1</v>
          </cell>
          <cell r="G185" t="str">
            <v>ja</v>
          </cell>
          <cell r="H185" t="str">
            <v>【1回のみ】イブとトモダチと狼男</v>
          </cell>
          <cell r="I185" t="str">
            <v>クリア目標となるクエスト（シングルプレイのみ）</v>
          </cell>
          <cell r="J185" t="str">
            <v>NULL</v>
          </cell>
          <cell r="K185">
            <v>12</v>
          </cell>
          <cell r="L185">
            <v>958</v>
          </cell>
          <cell r="M185">
            <v>1</v>
          </cell>
          <cell r="N185">
            <v>1</v>
          </cell>
          <cell r="O185">
            <v>1</v>
          </cell>
          <cell r="P185">
            <v>1</v>
          </cell>
          <cell r="Q185">
            <v>1</v>
          </cell>
          <cell r="R185">
            <v>3</v>
          </cell>
          <cell r="S185" t="str">
            <v>character</v>
          </cell>
          <cell r="T185">
            <v>125</v>
          </cell>
          <cell r="U185" t="str">
            <v>NULL</v>
          </cell>
          <cell r="V185" t="str">
            <v>NULL</v>
          </cell>
          <cell r="W185" t="str">
            <v/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 t="str">
            <v>once</v>
          </cell>
          <cell r="AC185">
            <v>1</v>
          </cell>
          <cell r="AD185">
            <v>6</v>
          </cell>
          <cell r="AE185" t="str">
            <v>everyone</v>
          </cell>
        </row>
        <row r="186">
          <cell r="A186" t="str">
            <v>10030_1</v>
          </cell>
          <cell r="B186">
            <v>3</v>
          </cell>
          <cell r="C186">
            <v>10030</v>
          </cell>
          <cell r="D186" t="str">
            <v>【1回のみ】陸と海</v>
          </cell>
          <cell r="E186" t="str">
            <v>ランク開放クエスト Lv30</v>
          </cell>
          <cell r="F186">
            <v>1</v>
          </cell>
          <cell r="G186" t="str">
            <v>ja</v>
          </cell>
          <cell r="H186" t="str">
            <v>【1回のみ】陸と海</v>
          </cell>
          <cell r="I186" t="str">
            <v>クリア目標となるクエスト（シングルプレイのみ）</v>
          </cell>
          <cell r="J186" t="str">
            <v>NULL</v>
          </cell>
          <cell r="K186">
            <v>14</v>
          </cell>
          <cell r="L186">
            <v>1380</v>
          </cell>
          <cell r="M186">
            <v>1</v>
          </cell>
          <cell r="N186">
            <v>1</v>
          </cell>
          <cell r="O186">
            <v>1</v>
          </cell>
          <cell r="P186">
            <v>1</v>
          </cell>
          <cell r="Q186">
            <v>1</v>
          </cell>
          <cell r="R186">
            <v>3</v>
          </cell>
          <cell r="S186" t="str">
            <v>character</v>
          </cell>
          <cell r="T186">
            <v>125</v>
          </cell>
          <cell r="U186" t="str">
            <v>NULL</v>
          </cell>
          <cell r="V186" t="str">
            <v>NULL</v>
          </cell>
          <cell r="W186" t="str">
            <v/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 t="str">
            <v>once</v>
          </cell>
          <cell r="AC186">
            <v>1</v>
          </cell>
          <cell r="AD186">
            <v>6</v>
          </cell>
          <cell r="AE186" t="str">
            <v>everyone</v>
          </cell>
        </row>
        <row r="187">
          <cell r="A187" t="str">
            <v>10035_1</v>
          </cell>
          <cell r="B187">
            <v>3</v>
          </cell>
          <cell r="C187">
            <v>10035</v>
          </cell>
          <cell r="D187" t="str">
            <v>【1回のみ】二人の関係は？</v>
          </cell>
          <cell r="E187" t="str">
            <v>ランク開放クエスト Lv35</v>
          </cell>
          <cell r="F187">
            <v>1</v>
          </cell>
          <cell r="G187" t="str">
            <v>ja</v>
          </cell>
          <cell r="H187" t="str">
            <v>【1回のみ】二人の関係は？</v>
          </cell>
          <cell r="I187" t="str">
            <v>クリア目標となるクエスト（シングルプレイのみ）</v>
          </cell>
          <cell r="J187" t="str">
            <v>NULL</v>
          </cell>
          <cell r="K187">
            <v>17</v>
          </cell>
          <cell r="L187">
            <v>1932</v>
          </cell>
          <cell r="M187">
            <v>1</v>
          </cell>
          <cell r="N187">
            <v>1</v>
          </cell>
          <cell r="O187">
            <v>1</v>
          </cell>
          <cell r="P187">
            <v>1</v>
          </cell>
          <cell r="Q187">
            <v>1</v>
          </cell>
          <cell r="R187">
            <v>3</v>
          </cell>
          <cell r="S187" t="str">
            <v>character</v>
          </cell>
          <cell r="T187">
            <v>125</v>
          </cell>
          <cell r="U187" t="str">
            <v>NULL</v>
          </cell>
          <cell r="V187" t="str">
            <v>NULL</v>
          </cell>
          <cell r="W187" t="str">
            <v/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 t="str">
            <v>once</v>
          </cell>
          <cell r="AC187">
            <v>1</v>
          </cell>
          <cell r="AD187">
            <v>6</v>
          </cell>
          <cell r="AE187" t="str">
            <v>everyone</v>
          </cell>
        </row>
        <row r="188">
          <cell r="A188" t="str">
            <v>10040_1</v>
          </cell>
          <cell r="B188">
            <v>3</v>
          </cell>
          <cell r="C188">
            <v>10040</v>
          </cell>
          <cell r="D188" t="str">
            <v>【1回のみ】大地の杖</v>
          </cell>
          <cell r="E188" t="str">
            <v>ランク開放クエスト Lv40</v>
          </cell>
          <cell r="F188">
            <v>1</v>
          </cell>
          <cell r="G188" t="str">
            <v>ja</v>
          </cell>
          <cell r="H188" t="str">
            <v>【1回のみ】大地の杖</v>
          </cell>
          <cell r="I188" t="str">
            <v>クリア目標となるクエスト（シングルプレイのみ）</v>
          </cell>
          <cell r="J188" t="str">
            <v>NULL</v>
          </cell>
          <cell r="K188">
            <v>18</v>
          </cell>
          <cell r="L188">
            <v>2645</v>
          </cell>
          <cell r="M188">
            <v>1</v>
          </cell>
          <cell r="N188">
            <v>1</v>
          </cell>
          <cell r="O188">
            <v>1</v>
          </cell>
          <cell r="P188">
            <v>1</v>
          </cell>
          <cell r="Q188">
            <v>1</v>
          </cell>
          <cell r="R188">
            <v>3</v>
          </cell>
          <cell r="S188" t="str">
            <v>character</v>
          </cell>
          <cell r="T188">
            <v>125</v>
          </cell>
          <cell r="U188" t="str">
            <v>NULL</v>
          </cell>
          <cell r="V188" t="str">
            <v>NULL</v>
          </cell>
          <cell r="W188" t="str">
            <v/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 t="str">
            <v>once</v>
          </cell>
          <cell r="AC188">
            <v>1</v>
          </cell>
          <cell r="AD188">
            <v>6</v>
          </cell>
          <cell r="AE188" t="str">
            <v>everyone</v>
          </cell>
        </row>
        <row r="189">
          <cell r="A189" t="str">
            <v>10045_1</v>
          </cell>
          <cell r="B189">
            <v>3</v>
          </cell>
          <cell r="C189">
            <v>10045</v>
          </cell>
          <cell r="D189" t="str">
            <v>【1回のみ】迅雷</v>
          </cell>
          <cell r="E189" t="str">
            <v>ランク開放クエスト Lv45</v>
          </cell>
          <cell r="F189">
            <v>1</v>
          </cell>
          <cell r="G189" t="str">
            <v>ja</v>
          </cell>
          <cell r="H189" t="str">
            <v>【1回のみ】迅雷</v>
          </cell>
          <cell r="I189" t="str">
            <v>クリア目標となるクエスト（シングルプレイのみ）</v>
          </cell>
          <cell r="J189" t="str">
            <v>NULL</v>
          </cell>
          <cell r="K189">
            <v>21</v>
          </cell>
          <cell r="L189">
            <v>3737</v>
          </cell>
          <cell r="M189">
            <v>1</v>
          </cell>
          <cell r="N189">
            <v>1</v>
          </cell>
          <cell r="O189">
            <v>1</v>
          </cell>
          <cell r="P189">
            <v>1</v>
          </cell>
          <cell r="Q189">
            <v>1</v>
          </cell>
          <cell r="R189">
            <v>3</v>
          </cell>
          <cell r="S189" t="str">
            <v>character</v>
          </cell>
          <cell r="T189">
            <v>125</v>
          </cell>
          <cell r="U189" t="str">
            <v>NULL</v>
          </cell>
          <cell r="V189" t="str">
            <v>NULL</v>
          </cell>
          <cell r="W189" t="str">
            <v/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 t="str">
            <v>once</v>
          </cell>
          <cell r="AC189">
            <v>1</v>
          </cell>
          <cell r="AD189">
            <v>6</v>
          </cell>
          <cell r="AE189" t="str">
            <v>everyone</v>
          </cell>
        </row>
        <row r="190">
          <cell r="A190" t="str">
            <v>10050_1</v>
          </cell>
          <cell r="B190">
            <v>3</v>
          </cell>
          <cell r="C190">
            <v>10050</v>
          </cell>
          <cell r="D190" t="str">
            <v>【1回のみ】噛み合わない二柱</v>
          </cell>
          <cell r="E190" t="str">
            <v>ランク開放クエスト Lv50</v>
          </cell>
          <cell r="F190">
            <v>1</v>
          </cell>
          <cell r="G190" t="str">
            <v>ja</v>
          </cell>
          <cell r="H190" t="str">
            <v>【1回のみ】噛み合わない二柱</v>
          </cell>
          <cell r="I190" t="str">
            <v>クリア目標となるクエスト（シングルプレイのみ）</v>
          </cell>
          <cell r="J190" t="str">
            <v>NULL</v>
          </cell>
          <cell r="K190">
            <v>22</v>
          </cell>
          <cell r="L190">
            <v>5031</v>
          </cell>
          <cell r="M190">
            <v>1</v>
          </cell>
          <cell r="N190">
            <v>1</v>
          </cell>
          <cell r="O190">
            <v>1</v>
          </cell>
          <cell r="P190">
            <v>1</v>
          </cell>
          <cell r="Q190">
            <v>1</v>
          </cell>
          <cell r="R190">
            <v>3</v>
          </cell>
          <cell r="S190" t="str">
            <v>character</v>
          </cell>
          <cell r="T190">
            <v>125</v>
          </cell>
          <cell r="U190" t="str">
            <v>NULL</v>
          </cell>
          <cell r="V190" t="str">
            <v>NULL</v>
          </cell>
          <cell r="W190" t="str">
            <v/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 t="str">
            <v>once</v>
          </cell>
          <cell r="AC190">
            <v>1</v>
          </cell>
          <cell r="AD190">
            <v>6</v>
          </cell>
          <cell r="AE190" t="str">
            <v>everyone</v>
          </cell>
        </row>
        <row r="191">
          <cell r="A191" t="str">
            <v>10055_1</v>
          </cell>
          <cell r="B191">
            <v>3</v>
          </cell>
          <cell r="C191">
            <v>10055</v>
          </cell>
          <cell r="D191" t="str">
            <v>【1回のみ】美女と美獣</v>
          </cell>
          <cell r="E191" t="str">
            <v>ランク開放クエスト Lv55</v>
          </cell>
          <cell r="F191">
            <v>1</v>
          </cell>
          <cell r="G191" t="str">
            <v>ja</v>
          </cell>
          <cell r="H191" t="str">
            <v>【1回のみ】美女と美獣</v>
          </cell>
          <cell r="I191" t="str">
            <v>クリア目標となるクエスト（シングルプレイのみ）</v>
          </cell>
          <cell r="J191" t="str">
            <v>NULL</v>
          </cell>
          <cell r="K191">
            <v>27</v>
          </cell>
          <cell r="L191">
            <v>7012</v>
          </cell>
          <cell r="M191">
            <v>1</v>
          </cell>
          <cell r="N191">
            <v>1</v>
          </cell>
          <cell r="O191">
            <v>1</v>
          </cell>
          <cell r="P191">
            <v>1</v>
          </cell>
          <cell r="Q191">
            <v>1</v>
          </cell>
          <cell r="R191">
            <v>3</v>
          </cell>
          <cell r="S191" t="str">
            <v>character</v>
          </cell>
          <cell r="T191">
            <v>125</v>
          </cell>
          <cell r="U191" t="str">
            <v>NULL</v>
          </cell>
          <cell r="V191" t="str">
            <v>NULL</v>
          </cell>
          <cell r="W191" t="str">
            <v/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 t="str">
            <v>once</v>
          </cell>
          <cell r="AC191">
            <v>1</v>
          </cell>
          <cell r="AD191">
            <v>6</v>
          </cell>
          <cell r="AE191" t="str">
            <v>everyone</v>
          </cell>
        </row>
        <row r="192">
          <cell r="A192" t="str">
            <v>10060_1</v>
          </cell>
          <cell r="B192">
            <v>3</v>
          </cell>
          <cell r="C192">
            <v>10060</v>
          </cell>
          <cell r="D192" t="str">
            <v>【1回のみ】東と西の女神</v>
          </cell>
          <cell r="E192" t="str">
            <v>ランク開放クエスト Lv60</v>
          </cell>
          <cell r="F192">
            <v>1</v>
          </cell>
          <cell r="G192" t="str">
            <v>ja</v>
          </cell>
          <cell r="H192" t="str">
            <v>【1回のみ】東と西の女神</v>
          </cell>
          <cell r="I192" t="str">
            <v>クリア目標となるクエスト（シングルプレイのみ）</v>
          </cell>
          <cell r="J192" t="str">
            <v>NULL</v>
          </cell>
          <cell r="K192">
            <v>28</v>
          </cell>
          <cell r="L192">
            <v>8140</v>
          </cell>
          <cell r="M192">
            <v>1</v>
          </cell>
          <cell r="N192">
            <v>1</v>
          </cell>
          <cell r="O192">
            <v>1</v>
          </cell>
          <cell r="P192">
            <v>1</v>
          </cell>
          <cell r="Q192">
            <v>1</v>
          </cell>
          <cell r="R192">
            <v>3</v>
          </cell>
          <cell r="S192" t="str">
            <v>character</v>
          </cell>
          <cell r="T192">
            <v>125</v>
          </cell>
          <cell r="U192" t="str">
            <v>NULL</v>
          </cell>
          <cell r="V192" t="str">
            <v>NULL</v>
          </cell>
          <cell r="W192" t="str">
            <v/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 t="str">
            <v>once</v>
          </cell>
          <cell r="AC192">
            <v>1</v>
          </cell>
          <cell r="AD192">
            <v>6</v>
          </cell>
          <cell r="AE192" t="str">
            <v>everyone</v>
          </cell>
        </row>
        <row r="193">
          <cell r="A193" t="str">
            <v>10065_1</v>
          </cell>
          <cell r="B193">
            <v>1</v>
          </cell>
          <cell r="C193">
            <v>10065</v>
          </cell>
          <cell r="D193" t="str">
            <v>【ランク65開放】【1回のみ】 奪還！太陽神！【仮開放】</v>
          </cell>
          <cell r="E193" t="str">
            <v>ランク開放クエスト Lv65</v>
          </cell>
          <cell r="F193">
            <v>1</v>
          </cell>
          <cell r="G193" t="str">
            <v>ja</v>
          </cell>
          <cell r="H193" t="str">
            <v>【ランク65開放】【1回のみ】 奪還！太陽神！【仮開放】</v>
          </cell>
          <cell r="I193" t="str">
            <v>クリア目標となるクエスト（シングルプレイのみ）</v>
          </cell>
          <cell r="J193" t="str">
            <v>NULL</v>
          </cell>
          <cell r="K193">
            <v>22</v>
          </cell>
          <cell r="L193">
            <v>5031</v>
          </cell>
          <cell r="M193">
            <v>1</v>
          </cell>
          <cell r="N193">
            <v>1</v>
          </cell>
          <cell r="O193">
            <v>1</v>
          </cell>
          <cell r="P193">
            <v>1</v>
          </cell>
          <cell r="Q193">
            <v>1</v>
          </cell>
          <cell r="R193">
            <v>3</v>
          </cell>
          <cell r="S193" t="str">
            <v>character</v>
          </cell>
          <cell r="T193">
            <v>125</v>
          </cell>
          <cell r="U193" t="str">
            <v>NULL</v>
          </cell>
          <cell r="V193" t="str">
            <v>NULL</v>
          </cell>
          <cell r="W193" t="str">
            <v/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 t="str">
            <v>anytime</v>
          </cell>
          <cell r="AC193">
            <v>1</v>
          </cell>
          <cell r="AD193">
            <v>6</v>
          </cell>
          <cell r="AE193" t="str">
            <v>everyone</v>
          </cell>
        </row>
        <row r="194">
          <cell r="A194" t="str">
            <v>10090_1</v>
          </cell>
          <cell r="B194">
            <v>0</v>
          </cell>
          <cell r="C194">
            <v>10090</v>
          </cell>
          <cell r="D194" t="str">
            <v>【ランク90開放】【1回のみ】 星の降る夜に</v>
          </cell>
          <cell r="E194" t="str">
            <v>ランク開放クエスト Lv90</v>
          </cell>
          <cell r="F194">
            <v>1</v>
          </cell>
          <cell r="G194" t="str">
            <v>ja</v>
          </cell>
          <cell r="H194" t="str">
            <v>【ランク90開放】【1回のみ】 星の降る夜に</v>
          </cell>
          <cell r="I194" t="str">
            <v>クリア目標となるクエスト（シングルプレイのみ）</v>
          </cell>
          <cell r="J194" t="str">
            <v>NULL</v>
          </cell>
          <cell r="K194">
            <v>27</v>
          </cell>
          <cell r="L194">
            <v>1</v>
          </cell>
          <cell r="M194">
            <v>1</v>
          </cell>
          <cell r="N194">
            <v>1</v>
          </cell>
          <cell r="O194">
            <v>1</v>
          </cell>
          <cell r="P194">
            <v>1</v>
          </cell>
          <cell r="Q194">
            <v>1</v>
          </cell>
          <cell r="R194">
            <v>3</v>
          </cell>
          <cell r="S194" t="str">
            <v>none</v>
          </cell>
          <cell r="T194">
            <v>0</v>
          </cell>
          <cell r="U194" t="str">
            <v>NULL</v>
          </cell>
          <cell r="V194" t="str">
            <v>NULL</v>
          </cell>
          <cell r="W194" t="str">
            <v/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 t="str">
            <v>once</v>
          </cell>
          <cell r="AC194">
            <v>1</v>
          </cell>
          <cell r="AD194">
            <v>6</v>
          </cell>
          <cell r="AE194" t="str">
            <v>everyone</v>
          </cell>
        </row>
        <row r="195">
          <cell r="A195" t="str">
            <v>10100_1</v>
          </cell>
          <cell r="B195">
            <v>0</v>
          </cell>
          <cell r="C195">
            <v>10100</v>
          </cell>
          <cell r="D195" t="str">
            <v>【ランク100開放】【1回のみ】 お前のものは誰のもの？</v>
          </cell>
          <cell r="E195" t="str">
            <v>ランク開放クエスト Lv100</v>
          </cell>
          <cell r="F195">
            <v>1</v>
          </cell>
          <cell r="G195" t="str">
            <v>ja</v>
          </cell>
          <cell r="H195" t="str">
            <v>【ランク100開放】【1回のみ】 お前のものは誰のもの？</v>
          </cell>
          <cell r="I195" t="str">
            <v>クリア目標となるクエスト（シングルプレイのみ）</v>
          </cell>
          <cell r="J195" t="str">
            <v>NULL</v>
          </cell>
          <cell r="K195">
            <v>29</v>
          </cell>
          <cell r="L195">
            <v>1</v>
          </cell>
          <cell r="M195">
            <v>1</v>
          </cell>
          <cell r="N195">
            <v>1</v>
          </cell>
          <cell r="O195">
            <v>1</v>
          </cell>
          <cell r="P195">
            <v>1</v>
          </cell>
          <cell r="Q195">
            <v>1</v>
          </cell>
          <cell r="R195">
            <v>3</v>
          </cell>
          <cell r="S195" t="str">
            <v>none</v>
          </cell>
          <cell r="T195">
            <v>0</v>
          </cell>
          <cell r="U195" t="str">
            <v>NULL</v>
          </cell>
          <cell r="V195" t="str">
            <v>NULL</v>
          </cell>
          <cell r="W195" t="str">
            <v/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 t="str">
            <v>once</v>
          </cell>
          <cell r="AC195">
            <v>1</v>
          </cell>
          <cell r="AD195">
            <v>6</v>
          </cell>
          <cell r="AE195" t="str">
            <v>everyone</v>
          </cell>
        </row>
        <row r="196">
          <cell r="A196" t="str">
            <v>11001_1</v>
          </cell>
          <cell r="B196">
            <v>3</v>
          </cell>
          <cell r="C196">
            <v>11001</v>
          </cell>
          <cell r="D196" t="str">
            <v>【月曜限定】 黄の素材</v>
          </cell>
          <cell r="E196" t="str">
            <v>月曜クエスト</v>
          </cell>
          <cell r="F196">
            <v>1</v>
          </cell>
          <cell r="G196" t="str">
            <v>ja</v>
          </cell>
          <cell r="H196" t="str">
            <v>【初級】雷のチェシャ猫</v>
          </cell>
          <cell r="I196" t="str">
            <v>初級</v>
          </cell>
          <cell r="J196">
            <v>113</v>
          </cell>
          <cell r="K196">
            <v>8</v>
          </cell>
          <cell r="L196">
            <v>240</v>
          </cell>
          <cell r="M196">
            <v>1</v>
          </cell>
          <cell r="N196">
            <v>1</v>
          </cell>
          <cell r="O196">
            <v>1</v>
          </cell>
          <cell r="P196">
            <v>1</v>
          </cell>
          <cell r="Q196">
            <v>1</v>
          </cell>
          <cell r="R196">
            <v>3</v>
          </cell>
          <cell r="S196" t="str">
            <v>none</v>
          </cell>
          <cell r="T196">
            <v>0</v>
          </cell>
          <cell r="U196" t="str">
            <v>NULL</v>
          </cell>
          <cell r="V196" t="str">
            <v>NULL</v>
          </cell>
          <cell r="W196" t="str">
            <v/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 t="str">
            <v>anytime</v>
          </cell>
          <cell r="AC196">
            <v>101</v>
          </cell>
          <cell r="AD196">
            <v>6</v>
          </cell>
          <cell r="AE196" t="str">
            <v>everyone</v>
          </cell>
        </row>
        <row r="197">
          <cell r="A197" t="str">
            <v>11001_2</v>
          </cell>
          <cell r="B197">
            <v>3</v>
          </cell>
          <cell r="C197">
            <v>11001</v>
          </cell>
          <cell r="D197" t="str">
            <v>【月曜限定】 黄の素材</v>
          </cell>
          <cell r="E197" t="str">
            <v>月曜クエスト</v>
          </cell>
          <cell r="F197">
            <v>2</v>
          </cell>
          <cell r="G197" t="str">
            <v>ja</v>
          </cell>
          <cell r="H197" t="str">
            <v>【中級】雷のウサギ</v>
          </cell>
          <cell r="I197" t="str">
            <v>中級</v>
          </cell>
          <cell r="J197">
            <v>114</v>
          </cell>
          <cell r="K197">
            <v>15</v>
          </cell>
          <cell r="L197">
            <v>525</v>
          </cell>
          <cell r="M197">
            <v>1</v>
          </cell>
          <cell r="N197">
            <v>1</v>
          </cell>
          <cell r="O197">
            <v>1</v>
          </cell>
          <cell r="P197">
            <v>1</v>
          </cell>
          <cell r="Q197">
            <v>1</v>
          </cell>
          <cell r="R197">
            <v>3</v>
          </cell>
          <cell r="S197" t="str">
            <v>none</v>
          </cell>
          <cell r="T197">
            <v>0</v>
          </cell>
          <cell r="U197" t="str">
            <v>NULL</v>
          </cell>
          <cell r="V197" t="str">
            <v>NULL</v>
          </cell>
          <cell r="W197" t="str">
            <v/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 t="str">
            <v>anytime</v>
          </cell>
          <cell r="AC197">
            <v>101</v>
          </cell>
          <cell r="AD197">
            <v>6</v>
          </cell>
          <cell r="AE197" t="str">
            <v>everyone</v>
          </cell>
        </row>
        <row r="198">
          <cell r="A198" t="str">
            <v>11001_3</v>
          </cell>
          <cell r="B198">
            <v>0</v>
          </cell>
          <cell r="C198">
            <v>11001</v>
          </cell>
          <cell r="D198" t="str">
            <v>【月曜限定】 黄の素材</v>
          </cell>
          <cell r="E198" t="str">
            <v>月曜クエスト</v>
          </cell>
          <cell r="F198">
            <v>3</v>
          </cell>
          <cell r="G198" t="str">
            <v>ja</v>
          </cell>
          <cell r="H198" t="str">
            <v>【上級】雷のイモムシ</v>
          </cell>
          <cell r="I198" t="str">
            <v>上級</v>
          </cell>
          <cell r="J198">
            <v>115</v>
          </cell>
          <cell r="K198">
            <v>20</v>
          </cell>
          <cell r="L198">
            <v>860</v>
          </cell>
          <cell r="M198">
            <v>1</v>
          </cell>
          <cell r="N198">
            <v>1</v>
          </cell>
          <cell r="O198">
            <v>1</v>
          </cell>
          <cell r="P198">
            <v>1</v>
          </cell>
          <cell r="Q198">
            <v>1</v>
          </cell>
          <cell r="R198">
            <v>3</v>
          </cell>
          <cell r="S198" t="str">
            <v>none</v>
          </cell>
          <cell r="T198">
            <v>0</v>
          </cell>
          <cell r="U198" t="str">
            <v>NULL</v>
          </cell>
          <cell r="V198" t="str">
            <v>NULL</v>
          </cell>
          <cell r="W198" t="str">
            <v/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 t="str">
            <v>anytime</v>
          </cell>
          <cell r="AC198">
            <v>101</v>
          </cell>
          <cell r="AD198">
            <v>6</v>
          </cell>
          <cell r="AE198" t="str">
            <v>everyone</v>
          </cell>
        </row>
        <row r="199">
          <cell r="A199" t="str">
            <v>11001_4</v>
          </cell>
          <cell r="B199">
            <v>3</v>
          </cell>
          <cell r="C199">
            <v>11001</v>
          </cell>
          <cell r="D199" t="str">
            <v>【月曜限定】 黄の素材</v>
          </cell>
          <cell r="E199" t="str">
            <v>月曜クエスト</v>
          </cell>
          <cell r="F199">
            <v>4</v>
          </cell>
          <cell r="G199" t="str">
            <v>ja</v>
          </cell>
          <cell r="H199" t="str">
            <v>【上級】雷のイモムシ</v>
          </cell>
          <cell r="I199" t="str">
            <v>上級</v>
          </cell>
          <cell r="J199">
            <v>115</v>
          </cell>
          <cell r="K199">
            <v>20</v>
          </cell>
          <cell r="L199">
            <v>860</v>
          </cell>
          <cell r="M199">
            <v>1</v>
          </cell>
          <cell r="N199">
            <v>1</v>
          </cell>
          <cell r="O199">
            <v>1</v>
          </cell>
          <cell r="P199">
            <v>1</v>
          </cell>
          <cell r="Q199">
            <v>1</v>
          </cell>
          <cell r="R199">
            <v>3</v>
          </cell>
          <cell r="S199" t="str">
            <v>none</v>
          </cell>
          <cell r="T199">
            <v>0</v>
          </cell>
          <cell r="U199" t="str">
            <v>NULL</v>
          </cell>
          <cell r="V199" t="str">
            <v>NULL</v>
          </cell>
          <cell r="W199" t="str">
            <v/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 t="str">
            <v>anytime</v>
          </cell>
          <cell r="AC199">
            <v>101</v>
          </cell>
          <cell r="AD199">
            <v>6</v>
          </cell>
          <cell r="AE199" t="str">
            <v>everyone</v>
          </cell>
        </row>
        <row r="200">
          <cell r="A200" t="str">
            <v>11001_10</v>
          </cell>
          <cell r="B200">
            <v>3</v>
          </cell>
          <cell r="C200">
            <v>11001</v>
          </cell>
          <cell r="D200" t="str">
            <v>【月曜限定】 黄の素材</v>
          </cell>
          <cell r="E200" t="str">
            <v>月曜クエスト</v>
          </cell>
          <cell r="F200">
            <v>10</v>
          </cell>
          <cell r="G200" t="str">
            <v>ja</v>
          </cell>
          <cell r="H200" t="str">
            <v>【超絶級】醒電の眠りネズミ</v>
          </cell>
          <cell r="I200" t="str">
            <v>超絶級（★6覚醒素材）</v>
          </cell>
          <cell r="J200">
            <v>359</v>
          </cell>
          <cell r="K200">
            <v>35</v>
          </cell>
          <cell r="L200">
            <v>2240</v>
          </cell>
          <cell r="M200">
            <v>1</v>
          </cell>
          <cell r="N200">
            <v>1</v>
          </cell>
          <cell r="O200">
            <v>1</v>
          </cell>
          <cell r="P200">
            <v>1</v>
          </cell>
          <cell r="Q200">
            <v>1</v>
          </cell>
          <cell r="R200">
            <v>3</v>
          </cell>
          <cell r="S200" t="str">
            <v>none</v>
          </cell>
          <cell r="T200">
            <v>0</v>
          </cell>
          <cell r="U200" t="str">
            <v>NULL</v>
          </cell>
          <cell r="V200" t="str">
            <v>NULL</v>
          </cell>
          <cell r="W200" t="str">
            <v/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 t="str">
            <v>anytime</v>
          </cell>
          <cell r="AC200">
            <v>101</v>
          </cell>
          <cell r="AD200">
            <v>6</v>
          </cell>
          <cell r="AE200" t="str">
            <v>everyone</v>
          </cell>
        </row>
        <row r="201">
          <cell r="A201" t="str">
            <v>11002_1</v>
          </cell>
          <cell r="B201">
            <v>3</v>
          </cell>
          <cell r="C201">
            <v>11002</v>
          </cell>
          <cell r="D201" t="str">
            <v>【火曜限定】 赤の素材</v>
          </cell>
          <cell r="E201" t="str">
            <v>火曜クエスト</v>
          </cell>
          <cell r="F201">
            <v>1</v>
          </cell>
          <cell r="G201" t="str">
            <v>ja</v>
          </cell>
          <cell r="H201" t="str">
            <v xml:space="preserve">【初級】火のチェシャ猫 </v>
          </cell>
          <cell r="I201" t="str">
            <v>初級</v>
          </cell>
          <cell r="J201">
            <v>101</v>
          </cell>
          <cell r="K201">
            <v>8</v>
          </cell>
          <cell r="L201">
            <v>240</v>
          </cell>
          <cell r="M201">
            <v>1</v>
          </cell>
          <cell r="N201">
            <v>1</v>
          </cell>
          <cell r="O201">
            <v>1</v>
          </cell>
          <cell r="P201">
            <v>1</v>
          </cell>
          <cell r="Q201">
            <v>1</v>
          </cell>
          <cell r="R201">
            <v>3</v>
          </cell>
          <cell r="S201" t="str">
            <v>none</v>
          </cell>
          <cell r="T201">
            <v>0</v>
          </cell>
          <cell r="U201" t="str">
            <v>NULL</v>
          </cell>
          <cell r="V201" t="str">
            <v>NULL</v>
          </cell>
          <cell r="W201" t="str">
            <v/>
          </cell>
          <cell r="X201">
            <v>0</v>
          </cell>
          <cell r="Y201">
            <v>0</v>
          </cell>
          <cell r="Z201">
            <v>0</v>
          </cell>
          <cell r="AA201">
            <v>0</v>
          </cell>
          <cell r="AB201" t="str">
            <v>anytime</v>
          </cell>
          <cell r="AC201">
            <v>102</v>
          </cell>
          <cell r="AD201">
            <v>6</v>
          </cell>
          <cell r="AE201" t="str">
            <v>everyone</v>
          </cell>
        </row>
        <row r="202">
          <cell r="A202" t="str">
            <v>11002_2</v>
          </cell>
          <cell r="B202">
            <v>3</v>
          </cell>
          <cell r="C202">
            <v>11002</v>
          </cell>
          <cell r="D202" t="str">
            <v>【火曜限定】 赤の素材</v>
          </cell>
          <cell r="E202" t="str">
            <v>火曜クエスト</v>
          </cell>
          <cell r="F202">
            <v>2</v>
          </cell>
          <cell r="G202" t="str">
            <v>ja</v>
          </cell>
          <cell r="H202" t="str">
            <v xml:space="preserve">【中級】火のウサギ </v>
          </cell>
          <cell r="I202" t="str">
            <v>中級</v>
          </cell>
          <cell r="J202">
            <v>102</v>
          </cell>
          <cell r="K202">
            <v>15</v>
          </cell>
          <cell r="L202">
            <v>525</v>
          </cell>
          <cell r="M202">
            <v>1</v>
          </cell>
          <cell r="N202">
            <v>1</v>
          </cell>
          <cell r="O202">
            <v>1</v>
          </cell>
          <cell r="P202">
            <v>1</v>
          </cell>
          <cell r="Q202">
            <v>1</v>
          </cell>
          <cell r="R202">
            <v>3</v>
          </cell>
          <cell r="S202" t="str">
            <v>none</v>
          </cell>
          <cell r="T202">
            <v>0</v>
          </cell>
          <cell r="U202" t="str">
            <v>NULL</v>
          </cell>
          <cell r="V202" t="str">
            <v>NULL</v>
          </cell>
          <cell r="W202" t="str">
            <v/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 t="str">
            <v>anytime</v>
          </cell>
          <cell r="AC202">
            <v>102</v>
          </cell>
          <cell r="AD202">
            <v>6</v>
          </cell>
          <cell r="AE202" t="str">
            <v>everyone</v>
          </cell>
        </row>
        <row r="203">
          <cell r="A203" t="str">
            <v>11002_3</v>
          </cell>
          <cell r="B203">
            <v>0</v>
          </cell>
          <cell r="C203">
            <v>11002</v>
          </cell>
          <cell r="D203" t="str">
            <v>【火曜限定】 赤の素材</v>
          </cell>
          <cell r="E203" t="str">
            <v>火曜クエスト</v>
          </cell>
          <cell r="F203">
            <v>3</v>
          </cell>
          <cell r="G203" t="str">
            <v>ja</v>
          </cell>
          <cell r="H203" t="str">
            <v xml:space="preserve">【上級】火のイモムシ </v>
          </cell>
          <cell r="I203" t="str">
            <v>上級</v>
          </cell>
          <cell r="J203">
            <v>103</v>
          </cell>
          <cell r="K203">
            <v>20</v>
          </cell>
          <cell r="L203">
            <v>860</v>
          </cell>
          <cell r="M203">
            <v>1</v>
          </cell>
          <cell r="N203">
            <v>1</v>
          </cell>
          <cell r="O203">
            <v>1</v>
          </cell>
          <cell r="P203">
            <v>1</v>
          </cell>
          <cell r="Q203">
            <v>1</v>
          </cell>
          <cell r="R203">
            <v>3</v>
          </cell>
          <cell r="S203" t="str">
            <v>none</v>
          </cell>
          <cell r="T203">
            <v>0</v>
          </cell>
          <cell r="U203" t="str">
            <v>NULL</v>
          </cell>
          <cell r="V203" t="str">
            <v>NULL</v>
          </cell>
          <cell r="W203" t="str">
            <v/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 t="str">
            <v>anytime</v>
          </cell>
          <cell r="AC203">
            <v>102</v>
          </cell>
          <cell r="AD203">
            <v>6</v>
          </cell>
          <cell r="AE203" t="str">
            <v>everyone</v>
          </cell>
        </row>
        <row r="204">
          <cell r="A204" t="str">
            <v>11002_4</v>
          </cell>
          <cell r="B204">
            <v>3</v>
          </cell>
          <cell r="C204">
            <v>11002</v>
          </cell>
          <cell r="D204" t="str">
            <v>【火曜限定】 赤の素材</v>
          </cell>
          <cell r="E204" t="str">
            <v>火曜クエスト</v>
          </cell>
          <cell r="F204">
            <v>4</v>
          </cell>
          <cell r="G204" t="str">
            <v>ja</v>
          </cell>
          <cell r="H204" t="str">
            <v xml:space="preserve">【上級】火のイモムシ </v>
          </cell>
          <cell r="I204" t="str">
            <v>上級</v>
          </cell>
          <cell r="J204">
            <v>103</v>
          </cell>
          <cell r="K204">
            <v>20</v>
          </cell>
          <cell r="L204">
            <v>860</v>
          </cell>
          <cell r="M204">
            <v>1</v>
          </cell>
          <cell r="N204">
            <v>1</v>
          </cell>
          <cell r="O204">
            <v>1</v>
          </cell>
          <cell r="P204">
            <v>1</v>
          </cell>
          <cell r="Q204">
            <v>1</v>
          </cell>
          <cell r="R204">
            <v>3</v>
          </cell>
          <cell r="S204" t="str">
            <v>none</v>
          </cell>
          <cell r="T204">
            <v>0</v>
          </cell>
          <cell r="U204" t="str">
            <v>NULL</v>
          </cell>
          <cell r="V204" t="str">
            <v>NULL</v>
          </cell>
          <cell r="W204" t="str">
            <v/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 t="str">
            <v>anytime</v>
          </cell>
          <cell r="AC204">
            <v>102</v>
          </cell>
          <cell r="AD204">
            <v>6</v>
          </cell>
          <cell r="AE204" t="str">
            <v>everyone</v>
          </cell>
        </row>
        <row r="205">
          <cell r="A205" t="str">
            <v>11002_10</v>
          </cell>
          <cell r="B205">
            <v>3</v>
          </cell>
          <cell r="C205">
            <v>11002</v>
          </cell>
          <cell r="D205" t="str">
            <v>【火曜限定】 赤の素材</v>
          </cell>
          <cell r="E205" t="str">
            <v>火曜クエスト</v>
          </cell>
          <cell r="F205">
            <v>10</v>
          </cell>
          <cell r="G205" t="str">
            <v>ja</v>
          </cell>
          <cell r="H205" t="str">
            <v>【超絶級】炎上のドードー</v>
          </cell>
          <cell r="I205" t="str">
            <v>超絶級（★6覚醒素材）</v>
          </cell>
          <cell r="J205">
            <v>356</v>
          </cell>
          <cell r="K205">
            <v>35</v>
          </cell>
          <cell r="L205">
            <v>2240</v>
          </cell>
          <cell r="M205">
            <v>1</v>
          </cell>
          <cell r="N205">
            <v>1</v>
          </cell>
          <cell r="O205">
            <v>1</v>
          </cell>
          <cell r="P205">
            <v>1</v>
          </cell>
          <cell r="Q205">
            <v>1</v>
          </cell>
          <cell r="R205">
            <v>3</v>
          </cell>
          <cell r="S205" t="str">
            <v>none</v>
          </cell>
          <cell r="T205">
            <v>0</v>
          </cell>
          <cell r="U205" t="str">
            <v>NULL</v>
          </cell>
          <cell r="V205" t="str">
            <v>NULL</v>
          </cell>
          <cell r="W205" t="str">
            <v/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 t="str">
            <v>anytime</v>
          </cell>
          <cell r="AC205">
            <v>102</v>
          </cell>
          <cell r="AD205">
            <v>6</v>
          </cell>
          <cell r="AE205" t="str">
            <v>everyone</v>
          </cell>
        </row>
        <row r="206">
          <cell r="A206" t="str">
            <v>11003_1</v>
          </cell>
          <cell r="B206">
            <v>3</v>
          </cell>
          <cell r="C206">
            <v>11003</v>
          </cell>
          <cell r="D206" t="str">
            <v>【水曜限定】 青の素材</v>
          </cell>
          <cell r="E206" t="str">
            <v>水曜クエスト</v>
          </cell>
          <cell r="F206">
            <v>1</v>
          </cell>
          <cell r="G206" t="str">
            <v>ja</v>
          </cell>
          <cell r="H206" t="str">
            <v>【初級】水のチェシャ猫</v>
          </cell>
          <cell r="I206" t="str">
            <v>初級</v>
          </cell>
          <cell r="J206">
            <v>109</v>
          </cell>
          <cell r="K206">
            <v>8</v>
          </cell>
          <cell r="L206">
            <v>240</v>
          </cell>
          <cell r="M206">
            <v>1</v>
          </cell>
          <cell r="N206">
            <v>1</v>
          </cell>
          <cell r="O206">
            <v>1</v>
          </cell>
          <cell r="P206">
            <v>1</v>
          </cell>
          <cell r="Q206">
            <v>1</v>
          </cell>
          <cell r="R206">
            <v>3</v>
          </cell>
          <cell r="S206" t="str">
            <v>none</v>
          </cell>
          <cell r="T206">
            <v>0</v>
          </cell>
          <cell r="U206" t="str">
            <v>NULL</v>
          </cell>
          <cell r="V206" t="str">
            <v>NULL</v>
          </cell>
          <cell r="W206" t="str">
            <v/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 t="str">
            <v>anytime</v>
          </cell>
          <cell r="AC206">
            <v>103</v>
          </cell>
          <cell r="AD206">
            <v>6</v>
          </cell>
          <cell r="AE206" t="str">
            <v>everyone</v>
          </cell>
        </row>
        <row r="207">
          <cell r="A207" t="str">
            <v>11003_2</v>
          </cell>
          <cell r="B207">
            <v>3</v>
          </cell>
          <cell r="C207">
            <v>11003</v>
          </cell>
          <cell r="D207" t="str">
            <v>【水曜限定】 青の素材</v>
          </cell>
          <cell r="E207" t="str">
            <v>水曜クエスト</v>
          </cell>
          <cell r="F207">
            <v>2</v>
          </cell>
          <cell r="G207" t="str">
            <v>ja</v>
          </cell>
          <cell r="H207" t="str">
            <v xml:space="preserve">【中級】水のウサギ </v>
          </cell>
          <cell r="I207" t="str">
            <v>中級</v>
          </cell>
          <cell r="J207">
            <v>110</v>
          </cell>
          <cell r="K207">
            <v>15</v>
          </cell>
          <cell r="L207">
            <v>525</v>
          </cell>
          <cell r="M207">
            <v>1</v>
          </cell>
          <cell r="N207">
            <v>1</v>
          </cell>
          <cell r="O207">
            <v>1</v>
          </cell>
          <cell r="P207">
            <v>1</v>
          </cell>
          <cell r="Q207">
            <v>1</v>
          </cell>
          <cell r="R207">
            <v>3</v>
          </cell>
          <cell r="S207" t="str">
            <v>none</v>
          </cell>
          <cell r="T207">
            <v>0</v>
          </cell>
          <cell r="U207" t="str">
            <v>NULL</v>
          </cell>
          <cell r="V207" t="str">
            <v>NULL</v>
          </cell>
          <cell r="W207" t="str">
            <v/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 t="str">
            <v>anytime</v>
          </cell>
          <cell r="AC207">
            <v>103</v>
          </cell>
          <cell r="AD207">
            <v>6</v>
          </cell>
          <cell r="AE207" t="str">
            <v>everyone</v>
          </cell>
        </row>
        <row r="208">
          <cell r="A208" t="str">
            <v>11003_3</v>
          </cell>
          <cell r="B208">
            <v>0</v>
          </cell>
          <cell r="C208">
            <v>11003</v>
          </cell>
          <cell r="D208" t="str">
            <v>【水曜限定】 青の素材</v>
          </cell>
          <cell r="E208" t="str">
            <v>水曜クエスト</v>
          </cell>
          <cell r="F208">
            <v>3</v>
          </cell>
          <cell r="G208" t="str">
            <v>ja</v>
          </cell>
          <cell r="H208" t="str">
            <v>【上級】水のイモムシ</v>
          </cell>
          <cell r="I208" t="str">
            <v>上級</v>
          </cell>
          <cell r="J208">
            <v>111</v>
          </cell>
          <cell r="K208">
            <v>20</v>
          </cell>
          <cell r="L208">
            <v>860</v>
          </cell>
          <cell r="M208">
            <v>1</v>
          </cell>
          <cell r="N208">
            <v>1</v>
          </cell>
          <cell r="O208">
            <v>1</v>
          </cell>
          <cell r="P208">
            <v>1</v>
          </cell>
          <cell r="Q208">
            <v>1</v>
          </cell>
          <cell r="R208">
            <v>3</v>
          </cell>
          <cell r="S208" t="str">
            <v>none</v>
          </cell>
          <cell r="T208">
            <v>0</v>
          </cell>
          <cell r="U208" t="str">
            <v>NULL</v>
          </cell>
          <cell r="V208" t="str">
            <v>NULL</v>
          </cell>
          <cell r="W208" t="str">
            <v/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 t="str">
            <v>anytime</v>
          </cell>
          <cell r="AC208">
            <v>103</v>
          </cell>
          <cell r="AD208">
            <v>6</v>
          </cell>
          <cell r="AE208" t="str">
            <v>everyone</v>
          </cell>
        </row>
        <row r="209">
          <cell r="A209" t="str">
            <v>11003_4</v>
          </cell>
          <cell r="B209">
            <v>3</v>
          </cell>
          <cell r="C209">
            <v>11003</v>
          </cell>
          <cell r="D209" t="str">
            <v>【水曜限定】 青の素材</v>
          </cell>
          <cell r="E209" t="str">
            <v>水曜クエスト</v>
          </cell>
          <cell r="F209">
            <v>4</v>
          </cell>
          <cell r="G209" t="str">
            <v>ja</v>
          </cell>
          <cell r="H209" t="str">
            <v>【上級】水のイモムシ</v>
          </cell>
          <cell r="I209" t="str">
            <v>上級</v>
          </cell>
          <cell r="J209">
            <v>111</v>
          </cell>
          <cell r="K209">
            <v>20</v>
          </cell>
          <cell r="L209">
            <v>860</v>
          </cell>
          <cell r="M209">
            <v>1</v>
          </cell>
          <cell r="N209">
            <v>1</v>
          </cell>
          <cell r="O209">
            <v>1</v>
          </cell>
          <cell r="P209">
            <v>1</v>
          </cell>
          <cell r="Q209">
            <v>1</v>
          </cell>
          <cell r="R209">
            <v>3</v>
          </cell>
          <cell r="S209" t="str">
            <v>none</v>
          </cell>
          <cell r="T209">
            <v>0</v>
          </cell>
          <cell r="U209" t="str">
            <v>NULL</v>
          </cell>
          <cell r="V209" t="str">
            <v>NULL</v>
          </cell>
          <cell r="W209" t="str">
            <v/>
          </cell>
          <cell r="X209">
            <v>0</v>
          </cell>
          <cell r="Y209">
            <v>0</v>
          </cell>
          <cell r="Z209">
            <v>0</v>
          </cell>
          <cell r="AA209">
            <v>0</v>
          </cell>
          <cell r="AB209" t="str">
            <v>anytime</v>
          </cell>
          <cell r="AC209">
            <v>103</v>
          </cell>
          <cell r="AD209">
            <v>6</v>
          </cell>
          <cell r="AE209" t="str">
            <v>everyone</v>
          </cell>
        </row>
        <row r="210">
          <cell r="A210" t="str">
            <v>11003_10</v>
          </cell>
          <cell r="B210">
            <v>3</v>
          </cell>
          <cell r="C210">
            <v>11003</v>
          </cell>
          <cell r="D210" t="str">
            <v>【水曜限定】 青の素材</v>
          </cell>
          <cell r="E210" t="str">
            <v>水曜クエスト</v>
          </cell>
          <cell r="F210">
            <v>10</v>
          </cell>
          <cell r="G210" t="str">
            <v>ja</v>
          </cell>
          <cell r="H210" t="str">
            <v>【超絶級】深淵の代用ウミガメ</v>
          </cell>
          <cell r="I210" t="str">
            <v>超絶級（★6覚醒素材）</v>
          </cell>
          <cell r="J210">
            <v>358</v>
          </cell>
          <cell r="K210">
            <v>35</v>
          </cell>
          <cell r="L210">
            <v>2240</v>
          </cell>
          <cell r="M210">
            <v>1</v>
          </cell>
          <cell r="N210">
            <v>1</v>
          </cell>
          <cell r="O210">
            <v>1</v>
          </cell>
          <cell r="P210">
            <v>1</v>
          </cell>
          <cell r="Q210">
            <v>1</v>
          </cell>
          <cell r="R210">
            <v>3</v>
          </cell>
          <cell r="S210" t="str">
            <v>none</v>
          </cell>
          <cell r="T210">
            <v>0</v>
          </cell>
          <cell r="U210" t="str">
            <v>NULL</v>
          </cell>
          <cell r="V210" t="str">
            <v>NULL</v>
          </cell>
          <cell r="W210" t="str">
            <v/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 t="str">
            <v>anytime</v>
          </cell>
          <cell r="AC210">
            <v>103</v>
          </cell>
          <cell r="AD210">
            <v>6</v>
          </cell>
          <cell r="AE210" t="str">
            <v>everyone</v>
          </cell>
        </row>
        <row r="211">
          <cell r="A211" t="str">
            <v>11004_1</v>
          </cell>
          <cell r="B211">
            <v>3</v>
          </cell>
          <cell r="C211">
            <v>11004</v>
          </cell>
          <cell r="D211" t="str">
            <v>【木曜限定】 緑の素材</v>
          </cell>
          <cell r="E211" t="str">
            <v>木曜クエスト</v>
          </cell>
          <cell r="F211">
            <v>1</v>
          </cell>
          <cell r="G211" t="str">
            <v>ja</v>
          </cell>
          <cell r="H211" t="str">
            <v xml:space="preserve">【初級】樹のチェシャ猫 </v>
          </cell>
          <cell r="I211" t="str">
            <v>初級</v>
          </cell>
          <cell r="J211">
            <v>105</v>
          </cell>
          <cell r="K211">
            <v>8</v>
          </cell>
          <cell r="L211">
            <v>240</v>
          </cell>
          <cell r="M211">
            <v>1</v>
          </cell>
          <cell r="N211">
            <v>1</v>
          </cell>
          <cell r="O211">
            <v>1</v>
          </cell>
          <cell r="P211">
            <v>1</v>
          </cell>
          <cell r="Q211">
            <v>1</v>
          </cell>
          <cell r="R211">
            <v>3</v>
          </cell>
          <cell r="S211" t="str">
            <v>none</v>
          </cell>
          <cell r="T211">
            <v>0</v>
          </cell>
          <cell r="U211" t="str">
            <v>NULL</v>
          </cell>
          <cell r="V211" t="str">
            <v>NULL</v>
          </cell>
          <cell r="W211" t="str">
            <v/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 t="str">
            <v>anytime</v>
          </cell>
          <cell r="AC211">
            <v>104</v>
          </cell>
          <cell r="AD211">
            <v>6</v>
          </cell>
          <cell r="AE211" t="str">
            <v>everyone</v>
          </cell>
        </row>
        <row r="212">
          <cell r="A212" t="str">
            <v>11004_2</v>
          </cell>
          <cell r="B212">
            <v>3</v>
          </cell>
          <cell r="C212">
            <v>11004</v>
          </cell>
          <cell r="D212" t="str">
            <v>【木曜限定】 緑の素材</v>
          </cell>
          <cell r="E212" t="str">
            <v>木曜クエスト</v>
          </cell>
          <cell r="F212">
            <v>2</v>
          </cell>
          <cell r="G212" t="str">
            <v>ja</v>
          </cell>
          <cell r="H212" t="str">
            <v>【中級】樹のウサギ</v>
          </cell>
          <cell r="I212" t="str">
            <v>中級</v>
          </cell>
          <cell r="J212">
            <v>106</v>
          </cell>
          <cell r="K212">
            <v>15</v>
          </cell>
          <cell r="L212">
            <v>525</v>
          </cell>
          <cell r="M212">
            <v>1</v>
          </cell>
          <cell r="N212">
            <v>1</v>
          </cell>
          <cell r="O212">
            <v>1</v>
          </cell>
          <cell r="P212">
            <v>1</v>
          </cell>
          <cell r="Q212">
            <v>1</v>
          </cell>
          <cell r="R212">
            <v>3</v>
          </cell>
          <cell r="S212" t="str">
            <v>none</v>
          </cell>
          <cell r="T212">
            <v>0</v>
          </cell>
          <cell r="U212" t="str">
            <v>NULL</v>
          </cell>
          <cell r="V212" t="str">
            <v>NULL</v>
          </cell>
          <cell r="W212" t="str">
            <v/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 t="str">
            <v>anytime</v>
          </cell>
          <cell r="AC212">
            <v>104</v>
          </cell>
          <cell r="AD212">
            <v>6</v>
          </cell>
          <cell r="AE212" t="str">
            <v>everyone</v>
          </cell>
        </row>
        <row r="213">
          <cell r="A213" t="str">
            <v>11004_3</v>
          </cell>
          <cell r="B213">
            <v>0</v>
          </cell>
          <cell r="C213">
            <v>11004</v>
          </cell>
          <cell r="D213" t="str">
            <v>【木曜限定】 緑の素材</v>
          </cell>
          <cell r="E213" t="str">
            <v>木曜クエスト</v>
          </cell>
          <cell r="F213">
            <v>3</v>
          </cell>
          <cell r="G213" t="str">
            <v>ja</v>
          </cell>
          <cell r="H213" t="str">
            <v xml:space="preserve">【上級】樹のイモムシ </v>
          </cell>
          <cell r="I213" t="str">
            <v>上級</v>
          </cell>
          <cell r="J213">
            <v>107</v>
          </cell>
          <cell r="K213">
            <v>20</v>
          </cell>
          <cell r="L213">
            <v>860</v>
          </cell>
          <cell r="M213">
            <v>1</v>
          </cell>
          <cell r="N213">
            <v>1</v>
          </cell>
          <cell r="O213">
            <v>1</v>
          </cell>
          <cell r="P213">
            <v>1</v>
          </cell>
          <cell r="Q213">
            <v>1</v>
          </cell>
          <cell r="R213">
            <v>3</v>
          </cell>
          <cell r="S213" t="str">
            <v>none</v>
          </cell>
          <cell r="T213">
            <v>0</v>
          </cell>
          <cell r="U213" t="str">
            <v>NULL</v>
          </cell>
          <cell r="V213" t="str">
            <v>NULL</v>
          </cell>
          <cell r="W213" t="str">
            <v/>
          </cell>
          <cell r="X213">
            <v>0</v>
          </cell>
          <cell r="Y213">
            <v>0</v>
          </cell>
          <cell r="Z213">
            <v>0</v>
          </cell>
          <cell r="AA213">
            <v>0</v>
          </cell>
          <cell r="AB213" t="str">
            <v>anytime</v>
          </cell>
          <cell r="AC213">
            <v>104</v>
          </cell>
          <cell r="AD213">
            <v>6</v>
          </cell>
          <cell r="AE213" t="str">
            <v>everyone</v>
          </cell>
        </row>
        <row r="214">
          <cell r="A214" t="str">
            <v>11004_4</v>
          </cell>
          <cell r="B214">
            <v>3</v>
          </cell>
          <cell r="C214">
            <v>11004</v>
          </cell>
          <cell r="D214" t="str">
            <v>【木曜限定】 緑の素材</v>
          </cell>
          <cell r="E214" t="str">
            <v>木曜クエスト</v>
          </cell>
          <cell r="F214">
            <v>4</v>
          </cell>
          <cell r="G214" t="str">
            <v>ja</v>
          </cell>
          <cell r="H214" t="str">
            <v xml:space="preserve">【上級】樹のイモムシ </v>
          </cell>
          <cell r="I214" t="str">
            <v>上級</v>
          </cell>
          <cell r="J214">
            <v>107</v>
          </cell>
          <cell r="K214">
            <v>20</v>
          </cell>
          <cell r="L214">
            <v>860</v>
          </cell>
          <cell r="M214">
            <v>1</v>
          </cell>
          <cell r="N214">
            <v>1</v>
          </cell>
          <cell r="O214">
            <v>1</v>
          </cell>
          <cell r="P214">
            <v>1</v>
          </cell>
          <cell r="Q214">
            <v>1</v>
          </cell>
          <cell r="R214">
            <v>3</v>
          </cell>
          <cell r="S214" t="str">
            <v>none</v>
          </cell>
          <cell r="T214">
            <v>0</v>
          </cell>
          <cell r="U214" t="str">
            <v>NULL</v>
          </cell>
          <cell r="V214" t="str">
            <v>NULL</v>
          </cell>
          <cell r="W214" t="str">
            <v/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 t="str">
            <v>anytime</v>
          </cell>
          <cell r="AC214">
            <v>104</v>
          </cell>
          <cell r="AD214">
            <v>6</v>
          </cell>
          <cell r="AE214" t="str">
            <v>everyone</v>
          </cell>
        </row>
        <row r="215">
          <cell r="A215" t="str">
            <v>11004_10</v>
          </cell>
          <cell r="B215">
            <v>3</v>
          </cell>
          <cell r="C215">
            <v>11004</v>
          </cell>
          <cell r="D215" t="str">
            <v>【木曜限定】 緑の素材</v>
          </cell>
          <cell r="E215" t="str">
            <v>木曜クエスト</v>
          </cell>
          <cell r="F215">
            <v>10</v>
          </cell>
          <cell r="G215" t="str">
            <v>ja</v>
          </cell>
          <cell r="H215" t="str">
            <v>【超絶級】千風のグリフォン</v>
          </cell>
          <cell r="I215" t="str">
            <v>超絶級（★6覚醒素材）</v>
          </cell>
          <cell r="J215">
            <v>357</v>
          </cell>
          <cell r="K215">
            <v>35</v>
          </cell>
          <cell r="L215">
            <v>2240</v>
          </cell>
          <cell r="M215">
            <v>1</v>
          </cell>
          <cell r="N215">
            <v>1</v>
          </cell>
          <cell r="O215">
            <v>1</v>
          </cell>
          <cell r="P215">
            <v>1</v>
          </cell>
          <cell r="Q215">
            <v>1</v>
          </cell>
          <cell r="R215">
            <v>3</v>
          </cell>
          <cell r="S215" t="str">
            <v>none</v>
          </cell>
          <cell r="T215">
            <v>0</v>
          </cell>
          <cell r="U215" t="str">
            <v>NULL</v>
          </cell>
          <cell r="V215" t="str">
            <v>NULL</v>
          </cell>
          <cell r="W215" t="str">
            <v/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 t="str">
            <v>anytime</v>
          </cell>
          <cell r="AC215">
            <v>104</v>
          </cell>
          <cell r="AD215">
            <v>6</v>
          </cell>
          <cell r="AE215" t="str">
            <v>everyone</v>
          </cell>
        </row>
        <row r="216">
          <cell r="A216" t="str">
            <v>11005_1</v>
          </cell>
          <cell r="B216">
            <v>3</v>
          </cell>
          <cell r="C216">
            <v>11005</v>
          </cell>
          <cell r="D216" t="str">
            <v>【金曜限定】 帽子屋を追え！</v>
          </cell>
          <cell r="E216" t="str">
            <v>金曜クエスト</v>
          </cell>
          <cell r="F216">
            <v>1</v>
          </cell>
          <cell r="G216" t="str">
            <v>ja</v>
          </cell>
          <cell r="H216" t="str">
            <v xml:space="preserve">【超級】火の帽子屋 </v>
          </cell>
          <cell r="I216" t="str">
            <v>赤R5</v>
          </cell>
          <cell r="J216">
            <v>104</v>
          </cell>
          <cell r="K216">
            <v>30</v>
          </cell>
          <cell r="L216">
            <v>1400</v>
          </cell>
          <cell r="M216">
            <v>1</v>
          </cell>
          <cell r="N216">
            <v>1</v>
          </cell>
          <cell r="O216">
            <v>1</v>
          </cell>
          <cell r="P216">
            <v>1</v>
          </cell>
          <cell r="Q216">
            <v>1</v>
          </cell>
          <cell r="R216">
            <v>3</v>
          </cell>
          <cell r="S216" t="str">
            <v>none</v>
          </cell>
          <cell r="T216">
            <v>0</v>
          </cell>
          <cell r="U216" t="str">
            <v>NULL</v>
          </cell>
          <cell r="V216" t="str">
            <v>NULL</v>
          </cell>
          <cell r="W216" t="str">
            <v/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 t="str">
            <v>anytime</v>
          </cell>
          <cell r="AC216">
            <v>102</v>
          </cell>
          <cell r="AD216">
            <v>6</v>
          </cell>
          <cell r="AE216" t="str">
            <v>everyone</v>
          </cell>
        </row>
        <row r="217">
          <cell r="A217" t="str">
            <v>11005_2</v>
          </cell>
          <cell r="B217">
            <v>3</v>
          </cell>
          <cell r="C217">
            <v>11005</v>
          </cell>
          <cell r="D217" t="str">
            <v>【金曜限定】 帽子屋を追え！</v>
          </cell>
          <cell r="E217" t="str">
            <v>金曜クエスト</v>
          </cell>
          <cell r="F217">
            <v>2</v>
          </cell>
          <cell r="G217" t="str">
            <v>ja</v>
          </cell>
          <cell r="H217" t="str">
            <v xml:space="preserve">【超級】樹の帽子屋 </v>
          </cell>
          <cell r="I217" t="str">
            <v>緑R5</v>
          </cell>
          <cell r="J217">
            <v>108</v>
          </cell>
          <cell r="K217">
            <v>30</v>
          </cell>
          <cell r="L217">
            <v>1400</v>
          </cell>
          <cell r="M217">
            <v>1</v>
          </cell>
          <cell r="N217">
            <v>1</v>
          </cell>
          <cell r="O217">
            <v>1</v>
          </cell>
          <cell r="P217">
            <v>1</v>
          </cell>
          <cell r="Q217">
            <v>1</v>
          </cell>
          <cell r="R217">
            <v>3</v>
          </cell>
          <cell r="S217" t="str">
            <v>none</v>
          </cell>
          <cell r="T217">
            <v>0</v>
          </cell>
          <cell r="U217" t="str">
            <v>NULL</v>
          </cell>
          <cell r="V217" t="str">
            <v>NULL</v>
          </cell>
          <cell r="W217" t="str">
            <v/>
          </cell>
          <cell r="X217">
            <v>0</v>
          </cell>
          <cell r="Y217">
            <v>0</v>
          </cell>
          <cell r="Z217">
            <v>0</v>
          </cell>
          <cell r="AA217">
            <v>0</v>
          </cell>
          <cell r="AB217" t="str">
            <v>anytime</v>
          </cell>
          <cell r="AC217">
            <v>104</v>
          </cell>
          <cell r="AD217">
            <v>6</v>
          </cell>
          <cell r="AE217" t="str">
            <v>everyone</v>
          </cell>
        </row>
        <row r="218">
          <cell r="A218" t="str">
            <v>11005_3</v>
          </cell>
          <cell r="B218">
            <v>3</v>
          </cell>
          <cell r="C218">
            <v>11005</v>
          </cell>
          <cell r="D218" t="str">
            <v>【金曜限定】 帽子屋を追え！</v>
          </cell>
          <cell r="E218" t="str">
            <v>金曜クエスト</v>
          </cell>
          <cell r="F218">
            <v>3</v>
          </cell>
          <cell r="G218" t="str">
            <v>ja</v>
          </cell>
          <cell r="H218" t="str">
            <v xml:space="preserve">【超級】水の帽子屋 </v>
          </cell>
          <cell r="I218" t="str">
            <v>青R5</v>
          </cell>
          <cell r="J218">
            <v>112</v>
          </cell>
          <cell r="K218">
            <v>30</v>
          </cell>
          <cell r="L218">
            <v>1400</v>
          </cell>
          <cell r="M218">
            <v>1</v>
          </cell>
          <cell r="N218">
            <v>1</v>
          </cell>
          <cell r="O218">
            <v>1</v>
          </cell>
          <cell r="P218">
            <v>1</v>
          </cell>
          <cell r="Q218">
            <v>1</v>
          </cell>
          <cell r="R218">
            <v>3</v>
          </cell>
          <cell r="S218" t="str">
            <v>none</v>
          </cell>
          <cell r="T218">
            <v>0</v>
          </cell>
          <cell r="U218" t="str">
            <v>NULL</v>
          </cell>
          <cell r="V218" t="str">
            <v>NULL</v>
          </cell>
          <cell r="W218" t="str">
            <v/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 t="str">
            <v>anytime</v>
          </cell>
          <cell r="AC218">
            <v>103</v>
          </cell>
          <cell r="AD218">
            <v>6</v>
          </cell>
          <cell r="AE218" t="str">
            <v>everyone</v>
          </cell>
        </row>
        <row r="219">
          <cell r="A219" t="str">
            <v>11005_4</v>
          </cell>
          <cell r="B219">
            <v>3</v>
          </cell>
          <cell r="C219">
            <v>11005</v>
          </cell>
          <cell r="D219" t="str">
            <v>【金曜限定】 帽子屋を追え！</v>
          </cell>
          <cell r="E219" t="str">
            <v>金曜クエスト</v>
          </cell>
          <cell r="F219">
            <v>4</v>
          </cell>
          <cell r="G219" t="str">
            <v>ja</v>
          </cell>
          <cell r="H219" t="str">
            <v>【超級】雷の帽子屋</v>
          </cell>
          <cell r="I219" t="str">
            <v>黄R5</v>
          </cell>
          <cell r="J219">
            <v>116</v>
          </cell>
          <cell r="K219">
            <v>30</v>
          </cell>
          <cell r="L219">
            <v>1400</v>
          </cell>
          <cell r="M219">
            <v>1</v>
          </cell>
          <cell r="N219">
            <v>1</v>
          </cell>
          <cell r="O219">
            <v>1</v>
          </cell>
          <cell r="P219">
            <v>1</v>
          </cell>
          <cell r="Q219">
            <v>1</v>
          </cell>
          <cell r="R219">
            <v>3</v>
          </cell>
          <cell r="S219" t="str">
            <v>none</v>
          </cell>
          <cell r="T219">
            <v>0</v>
          </cell>
          <cell r="U219" t="str">
            <v>NULL</v>
          </cell>
          <cell r="V219" t="str">
            <v>NULL</v>
          </cell>
          <cell r="W219" t="str">
            <v/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 t="str">
            <v>anytime</v>
          </cell>
          <cell r="AC219">
            <v>101</v>
          </cell>
          <cell r="AD219">
            <v>6</v>
          </cell>
          <cell r="AE219" t="str">
            <v>everyone</v>
          </cell>
        </row>
        <row r="220">
          <cell r="A220" t="str">
            <v>11006_1</v>
          </cell>
          <cell r="B220">
            <v>3</v>
          </cell>
          <cell r="C220">
            <v>11006</v>
          </cell>
          <cell r="D220" t="str">
            <v>【土日限定】 ゴールドカジノ</v>
          </cell>
          <cell r="E220" t="str">
            <v>土日クエスト</v>
          </cell>
          <cell r="F220">
            <v>1</v>
          </cell>
          <cell r="G220" t="str">
            <v>ja</v>
          </cell>
          <cell r="H220" t="str">
            <v>【初級】ゴールドカジノ</v>
          </cell>
          <cell r="I220" t="str">
            <v>初級</v>
          </cell>
          <cell r="J220">
            <v>117</v>
          </cell>
          <cell r="K220">
            <v>8</v>
          </cell>
          <cell r="L220">
            <v>140</v>
          </cell>
          <cell r="M220">
            <v>1</v>
          </cell>
          <cell r="N220">
            <v>1</v>
          </cell>
          <cell r="O220">
            <v>1</v>
          </cell>
          <cell r="P220">
            <v>1</v>
          </cell>
          <cell r="Q220">
            <v>0</v>
          </cell>
          <cell r="R220">
            <v>3</v>
          </cell>
          <cell r="S220" t="str">
            <v>none</v>
          </cell>
          <cell r="T220">
            <v>0</v>
          </cell>
          <cell r="U220" t="str">
            <v>NULL</v>
          </cell>
          <cell r="V220" t="str">
            <v>NULL</v>
          </cell>
          <cell r="W220" t="str">
            <v/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 t="str">
            <v>anytime</v>
          </cell>
          <cell r="AC220">
            <v>105</v>
          </cell>
          <cell r="AD220">
            <v>6</v>
          </cell>
          <cell r="AE220" t="str">
            <v>everyone</v>
          </cell>
        </row>
        <row r="221">
          <cell r="A221" t="str">
            <v>11006_2</v>
          </cell>
          <cell r="B221">
            <v>3</v>
          </cell>
          <cell r="C221">
            <v>11006</v>
          </cell>
          <cell r="D221" t="str">
            <v>【土日限定】 ゴールドカジノ</v>
          </cell>
          <cell r="E221" t="str">
            <v>土日クエスト</v>
          </cell>
          <cell r="F221">
            <v>2</v>
          </cell>
          <cell r="G221" t="str">
            <v>ja</v>
          </cell>
          <cell r="H221" t="str">
            <v xml:space="preserve">【中級】ゴールドカジノ </v>
          </cell>
          <cell r="I221" t="str">
            <v>中級</v>
          </cell>
          <cell r="J221">
            <v>118</v>
          </cell>
          <cell r="K221">
            <v>15</v>
          </cell>
          <cell r="L221">
            <v>350</v>
          </cell>
          <cell r="M221">
            <v>1</v>
          </cell>
          <cell r="N221">
            <v>1</v>
          </cell>
          <cell r="O221">
            <v>1</v>
          </cell>
          <cell r="P221">
            <v>1</v>
          </cell>
          <cell r="Q221">
            <v>0</v>
          </cell>
          <cell r="R221">
            <v>3</v>
          </cell>
          <cell r="S221" t="str">
            <v>none</v>
          </cell>
          <cell r="T221">
            <v>0</v>
          </cell>
          <cell r="U221" t="str">
            <v>NULL</v>
          </cell>
          <cell r="V221" t="str">
            <v>NULL</v>
          </cell>
          <cell r="W221" t="str">
            <v/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 t="str">
            <v>anytime</v>
          </cell>
          <cell r="AC221">
            <v>105</v>
          </cell>
          <cell r="AD221">
            <v>6</v>
          </cell>
          <cell r="AE221" t="str">
            <v>everyone</v>
          </cell>
        </row>
        <row r="222">
          <cell r="A222" t="str">
            <v>11006_3</v>
          </cell>
          <cell r="B222">
            <v>3</v>
          </cell>
          <cell r="C222">
            <v>11006</v>
          </cell>
          <cell r="D222" t="str">
            <v>【土日限定】 ゴールドカジノ</v>
          </cell>
          <cell r="E222" t="str">
            <v>土日クエスト</v>
          </cell>
          <cell r="F222">
            <v>3</v>
          </cell>
          <cell r="G222" t="str">
            <v>ja</v>
          </cell>
          <cell r="H222" t="str">
            <v xml:space="preserve">【上級】ゴールドカジノ </v>
          </cell>
          <cell r="I222" t="str">
            <v>上級</v>
          </cell>
          <cell r="J222">
            <v>119</v>
          </cell>
          <cell r="K222">
            <v>20</v>
          </cell>
          <cell r="L222">
            <v>860</v>
          </cell>
          <cell r="M222">
            <v>1</v>
          </cell>
          <cell r="N222">
            <v>1</v>
          </cell>
          <cell r="O222">
            <v>1</v>
          </cell>
          <cell r="P222">
            <v>1</v>
          </cell>
          <cell r="Q222">
            <v>0</v>
          </cell>
          <cell r="R222">
            <v>3</v>
          </cell>
          <cell r="S222" t="str">
            <v>none</v>
          </cell>
          <cell r="T222">
            <v>0</v>
          </cell>
          <cell r="U222" t="str">
            <v>NULL</v>
          </cell>
          <cell r="V222" t="str">
            <v>NULL</v>
          </cell>
          <cell r="W222" t="str">
            <v/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 t="str">
            <v>anytime</v>
          </cell>
          <cell r="AC222">
            <v>105</v>
          </cell>
          <cell r="AD222">
            <v>6</v>
          </cell>
          <cell r="AE222" t="str">
            <v>everyone</v>
          </cell>
        </row>
        <row r="223">
          <cell r="A223" t="str">
            <v>11006_4</v>
          </cell>
          <cell r="B223">
            <v>3</v>
          </cell>
          <cell r="C223">
            <v>11006</v>
          </cell>
          <cell r="D223" t="str">
            <v>【土日限定】 ゴールドカジノ</v>
          </cell>
          <cell r="E223" t="str">
            <v>土日クエスト</v>
          </cell>
          <cell r="F223">
            <v>4</v>
          </cell>
          <cell r="G223" t="str">
            <v>ja</v>
          </cell>
          <cell r="H223" t="str">
            <v xml:space="preserve">【超級】ゴールドカジノ </v>
          </cell>
          <cell r="I223" t="str">
            <v>超級</v>
          </cell>
          <cell r="J223">
            <v>120</v>
          </cell>
          <cell r="K223">
            <v>30</v>
          </cell>
          <cell r="L223">
            <v>1400</v>
          </cell>
          <cell r="M223">
            <v>1</v>
          </cell>
          <cell r="N223">
            <v>1</v>
          </cell>
          <cell r="O223">
            <v>1</v>
          </cell>
          <cell r="P223">
            <v>1</v>
          </cell>
          <cell r="Q223">
            <v>0</v>
          </cell>
          <cell r="R223">
            <v>3</v>
          </cell>
          <cell r="S223" t="str">
            <v>none</v>
          </cell>
          <cell r="T223">
            <v>0</v>
          </cell>
          <cell r="U223" t="str">
            <v>NULL</v>
          </cell>
          <cell r="V223" t="str">
            <v>NULL</v>
          </cell>
          <cell r="W223" t="str">
            <v/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 t="str">
            <v>anytime</v>
          </cell>
          <cell r="AC223">
            <v>105</v>
          </cell>
          <cell r="AD223">
            <v>6</v>
          </cell>
          <cell r="AE223" t="str">
            <v>everyone</v>
          </cell>
        </row>
        <row r="224">
          <cell r="A224" t="str">
            <v>11007_1</v>
          </cell>
          <cell r="B224">
            <v>3</v>
          </cell>
          <cell r="C224">
            <v>11007</v>
          </cell>
          <cell r="D224" t="str">
            <v>【土曜限定】 赤と緑の素材</v>
          </cell>
          <cell r="E224" t="str">
            <v>土曜クエスト</v>
          </cell>
          <cell r="F224">
            <v>1</v>
          </cell>
          <cell r="G224" t="str">
            <v>ja</v>
          </cell>
          <cell r="H224" t="str">
            <v xml:space="preserve">【初級】火と樹のチェシャ猫 </v>
          </cell>
          <cell r="I224" t="str">
            <v>初級</v>
          </cell>
          <cell r="J224">
            <v>101</v>
          </cell>
          <cell r="K224">
            <v>8</v>
          </cell>
          <cell r="L224">
            <v>240</v>
          </cell>
          <cell r="M224">
            <v>1</v>
          </cell>
          <cell r="N224">
            <v>1</v>
          </cell>
          <cell r="O224">
            <v>1</v>
          </cell>
          <cell r="P224">
            <v>1</v>
          </cell>
          <cell r="Q224">
            <v>1</v>
          </cell>
          <cell r="R224">
            <v>3</v>
          </cell>
          <cell r="S224" t="str">
            <v>none</v>
          </cell>
          <cell r="T224">
            <v>0</v>
          </cell>
          <cell r="U224" t="str">
            <v>NULL</v>
          </cell>
          <cell r="V224" t="str">
            <v>NULL</v>
          </cell>
          <cell r="W224" t="str">
            <v/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 t="str">
            <v>anytime</v>
          </cell>
          <cell r="AC224">
            <v>104</v>
          </cell>
          <cell r="AD224">
            <v>6</v>
          </cell>
          <cell r="AE224" t="str">
            <v>everyone</v>
          </cell>
        </row>
        <row r="225">
          <cell r="A225" t="str">
            <v>11007_2</v>
          </cell>
          <cell r="B225">
            <v>3</v>
          </cell>
          <cell r="C225">
            <v>11007</v>
          </cell>
          <cell r="D225" t="str">
            <v>【土曜限定】 赤と緑の素材</v>
          </cell>
          <cell r="E225" t="str">
            <v>土曜クエスト</v>
          </cell>
          <cell r="F225">
            <v>2</v>
          </cell>
          <cell r="G225" t="str">
            <v>ja</v>
          </cell>
          <cell r="H225" t="str">
            <v xml:space="preserve">【中級】火と樹のウサギ </v>
          </cell>
          <cell r="I225" t="str">
            <v>中級</v>
          </cell>
          <cell r="J225">
            <v>106</v>
          </cell>
          <cell r="K225">
            <v>15</v>
          </cell>
          <cell r="L225">
            <v>525</v>
          </cell>
          <cell r="M225">
            <v>1</v>
          </cell>
          <cell r="N225">
            <v>1</v>
          </cell>
          <cell r="O225">
            <v>1</v>
          </cell>
          <cell r="P225">
            <v>1</v>
          </cell>
          <cell r="Q225">
            <v>1</v>
          </cell>
          <cell r="R225">
            <v>3</v>
          </cell>
          <cell r="S225" t="str">
            <v>none</v>
          </cell>
          <cell r="T225">
            <v>0</v>
          </cell>
          <cell r="U225" t="str">
            <v>NULL</v>
          </cell>
          <cell r="V225" t="str">
            <v>NULL</v>
          </cell>
          <cell r="W225" t="str">
            <v/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 t="str">
            <v>anytime</v>
          </cell>
          <cell r="AC225">
            <v>102</v>
          </cell>
          <cell r="AD225">
            <v>6</v>
          </cell>
          <cell r="AE225" t="str">
            <v>everyone</v>
          </cell>
        </row>
        <row r="226">
          <cell r="A226" t="str">
            <v>11007_3</v>
          </cell>
          <cell r="B226">
            <v>3</v>
          </cell>
          <cell r="C226">
            <v>11007</v>
          </cell>
          <cell r="D226" t="str">
            <v>【土曜限定】 赤と緑の素材</v>
          </cell>
          <cell r="E226" t="str">
            <v>土曜クエスト</v>
          </cell>
          <cell r="F226">
            <v>3</v>
          </cell>
          <cell r="G226" t="str">
            <v>ja</v>
          </cell>
          <cell r="H226" t="str">
            <v xml:space="preserve">【上級】火と樹のイモムシ </v>
          </cell>
          <cell r="I226" t="str">
            <v>上級</v>
          </cell>
          <cell r="J226">
            <v>103</v>
          </cell>
          <cell r="K226">
            <v>20</v>
          </cell>
          <cell r="L226">
            <v>860</v>
          </cell>
          <cell r="M226">
            <v>1</v>
          </cell>
          <cell r="N226">
            <v>1</v>
          </cell>
          <cell r="O226">
            <v>1</v>
          </cell>
          <cell r="P226">
            <v>1</v>
          </cell>
          <cell r="Q226">
            <v>1</v>
          </cell>
          <cell r="R226">
            <v>3</v>
          </cell>
          <cell r="S226" t="str">
            <v>none</v>
          </cell>
          <cell r="T226">
            <v>0</v>
          </cell>
          <cell r="U226" t="str">
            <v>NULL</v>
          </cell>
          <cell r="V226" t="str">
            <v>NULL</v>
          </cell>
          <cell r="W226" t="str">
            <v/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 t="str">
            <v>anytime</v>
          </cell>
          <cell r="AC226">
            <v>104</v>
          </cell>
          <cell r="AD226">
            <v>6</v>
          </cell>
          <cell r="AE226" t="str">
            <v>everyone</v>
          </cell>
        </row>
        <row r="227">
          <cell r="A227" t="str">
            <v>11007_4</v>
          </cell>
          <cell r="B227">
            <v>3</v>
          </cell>
          <cell r="C227">
            <v>11007</v>
          </cell>
          <cell r="D227" t="str">
            <v>【土曜限定】 赤と緑の素材</v>
          </cell>
          <cell r="E227" t="str">
            <v>土曜クエスト</v>
          </cell>
          <cell r="F227">
            <v>4</v>
          </cell>
          <cell r="G227" t="str">
            <v>ja</v>
          </cell>
          <cell r="H227" t="str">
            <v xml:space="preserve">【超級】火と樹の帽子屋 </v>
          </cell>
          <cell r="I227" t="str">
            <v>超級（★5覚醒素材）</v>
          </cell>
          <cell r="J227">
            <v>108</v>
          </cell>
          <cell r="K227">
            <v>30</v>
          </cell>
          <cell r="L227">
            <v>1400</v>
          </cell>
          <cell r="M227">
            <v>1</v>
          </cell>
          <cell r="N227">
            <v>1</v>
          </cell>
          <cell r="O227">
            <v>1</v>
          </cell>
          <cell r="P227">
            <v>1</v>
          </cell>
          <cell r="Q227">
            <v>1</v>
          </cell>
          <cell r="R227">
            <v>3</v>
          </cell>
          <cell r="S227" t="str">
            <v>none</v>
          </cell>
          <cell r="T227">
            <v>0</v>
          </cell>
          <cell r="U227" t="str">
            <v>NULL</v>
          </cell>
          <cell r="V227" t="str">
            <v>NULL</v>
          </cell>
          <cell r="W227" t="str">
            <v/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 t="str">
            <v>anytime</v>
          </cell>
          <cell r="AC227">
            <v>102</v>
          </cell>
          <cell r="AD227">
            <v>6</v>
          </cell>
          <cell r="AE227" t="str">
            <v>everyone</v>
          </cell>
        </row>
        <row r="228">
          <cell r="A228" t="str">
            <v>11007_5</v>
          </cell>
          <cell r="B228">
            <v>3</v>
          </cell>
          <cell r="C228">
            <v>11007</v>
          </cell>
          <cell r="D228" t="str">
            <v>【土曜限定】 赤と緑の素材</v>
          </cell>
          <cell r="E228" t="str">
            <v>土曜クエスト</v>
          </cell>
          <cell r="F228">
            <v>5</v>
          </cell>
          <cell r="G228" t="str">
            <v>ja</v>
          </cell>
          <cell r="H228" t="str">
            <v>【超絶級】ドードーとグリフォン</v>
          </cell>
          <cell r="I228" t="str">
            <v>超絶級（★6覚醒素材）</v>
          </cell>
          <cell r="J228">
            <v>356</v>
          </cell>
          <cell r="K228">
            <v>35</v>
          </cell>
          <cell r="L228">
            <v>2240</v>
          </cell>
          <cell r="M228">
            <v>1</v>
          </cell>
          <cell r="N228">
            <v>1</v>
          </cell>
          <cell r="O228">
            <v>1</v>
          </cell>
          <cell r="P228">
            <v>1</v>
          </cell>
          <cell r="Q228">
            <v>1</v>
          </cell>
          <cell r="R228">
            <v>3</v>
          </cell>
          <cell r="S228" t="str">
            <v>none</v>
          </cell>
          <cell r="T228">
            <v>0</v>
          </cell>
          <cell r="U228" t="str">
            <v>NULL</v>
          </cell>
          <cell r="V228" t="str">
            <v>NULL</v>
          </cell>
          <cell r="W228" t="str">
            <v/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 t="str">
            <v>anytime</v>
          </cell>
          <cell r="AC228">
            <v>104</v>
          </cell>
          <cell r="AD228">
            <v>6</v>
          </cell>
          <cell r="AE228" t="str">
            <v>everyone</v>
          </cell>
        </row>
        <row r="229">
          <cell r="A229" t="str">
            <v>11008_1</v>
          </cell>
          <cell r="B229">
            <v>3</v>
          </cell>
          <cell r="C229">
            <v>11008</v>
          </cell>
          <cell r="D229" t="str">
            <v>【日曜限定】 青と黄の素材</v>
          </cell>
          <cell r="E229" t="str">
            <v>日曜クエスト</v>
          </cell>
          <cell r="F229">
            <v>1</v>
          </cell>
          <cell r="G229" t="str">
            <v>ja</v>
          </cell>
          <cell r="H229" t="str">
            <v xml:space="preserve">【初級】水と雷のチェシャ猫 </v>
          </cell>
          <cell r="I229" t="str">
            <v>初級</v>
          </cell>
          <cell r="J229">
            <v>109</v>
          </cell>
          <cell r="K229">
            <v>8</v>
          </cell>
          <cell r="L229">
            <v>240</v>
          </cell>
          <cell r="M229">
            <v>1</v>
          </cell>
          <cell r="N229">
            <v>1</v>
          </cell>
          <cell r="O229">
            <v>1</v>
          </cell>
          <cell r="P229">
            <v>1</v>
          </cell>
          <cell r="Q229">
            <v>1</v>
          </cell>
          <cell r="R229">
            <v>3</v>
          </cell>
          <cell r="S229" t="str">
            <v>none</v>
          </cell>
          <cell r="T229">
            <v>0</v>
          </cell>
          <cell r="U229" t="str">
            <v>NULL</v>
          </cell>
          <cell r="V229" t="str">
            <v>NULL</v>
          </cell>
          <cell r="W229" t="str">
            <v/>
          </cell>
          <cell r="X229">
            <v>0</v>
          </cell>
          <cell r="Y229">
            <v>0</v>
          </cell>
          <cell r="Z229">
            <v>0</v>
          </cell>
          <cell r="AA229">
            <v>0</v>
          </cell>
          <cell r="AB229" t="str">
            <v>anytime</v>
          </cell>
          <cell r="AC229">
            <v>103</v>
          </cell>
          <cell r="AD229">
            <v>6</v>
          </cell>
          <cell r="AE229" t="str">
            <v>everyone</v>
          </cell>
        </row>
        <row r="230">
          <cell r="A230" t="str">
            <v>11008_2</v>
          </cell>
          <cell r="B230">
            <v>3</v>
          </cell>
          <cell r="C230">
            <v>11008</v>
          </cell>
          <cell r="D230" t="str">
            <v>【日曜限定】 青と黄の素材</v>
          </cell>
          <cell r="E230" t="str">
            <v>日曜クエスト</v>
          </cell>
          <cell r="F230">
            <v>2</v>
          </cell>
          <cell r="G230" t="str">
            <v>ja</v>
          </cell>
          <cell r="H230" t="str">
            <v xml:space="preserve">【中級】水と雷のウサギ </v>
          </cell>
          <cell r="I230" t="str">
            <v>中級</v>
          </cell>
          <cell r="J230">
            <v>114</v>
          </cell>
          <cell r="K230">
            <v>15</v>
          </cell>
          <cell r="L230">
            <v>525</v>
          </cell>
          <cell r="M230">
            <v>1</v>
          </cell>
          <cell r="N230">
            <v>1</v>
          </cell>
          <cell r="O230">
            <v>1</v>
          </cell>
          <cell r="P230">
            <v>1</v>
          </cell>
          <cell r="Q230">
            <v>1</v>
          </cell>
          <cell r="R230">
            <v>3</v>
          </cell>
          <cell r="S230" t="str">
            <v>none</v>
          </cell>
          <cell r="T230">
            <v>0</v>
          </cell>
          <cell r="U230" t="str">
            <v>NULL</v>
          </cell>
          <cell r="V230" t="str">
            <v>NULL</v>
          </cell>
          <cell r="W230" t="str">
            <v/>
          </cell>
          <cell r="X230">
            <v>0</v>
          </cell>
          <cell r="Y230">
            <v>0</v>
          </cell>
          <cell r="Z230">
            <v>0</v>
          </cell>
          <cell r="AA230">
            <v>0</v>
          </cell>
          <cell r="AB230" t="str">
            <v>anytime</v>
          </cell>
          <cell r="AC230">
            <v>101</v>
          </cell>
          <cell r="AD230">
            <v>6</v>
          </cell>
          <cell r="AE230" t="str">
            <v>everyone</v>
          </cell>
        </row>
        <row r="231">
          <cell r="A231" t="str">
            <v>11008_3</v>
          </cell>
          <cell r="B231">
            <v>3</v>
          </cell>
          <cell r="C231">
            <v>11008</v>
          </cell>
          <cell r="D231" t="str">
            <v>【日曜限定】 青と黄の素材</v>
          </cell>
          <cell r="E231" t="str">
            <v>日曜クエスト</v>
          </cell>
          <cell r="F231">
            <v>3</v>
          </cell>
          <cell r="G231" t="str">
            <v>ja</v>
          </cell>
          <cell r="H231" t="str">
            <v xml:space="preserve">【上級】水と雷のイモムシ </v>
          </cell>
          <cell r="I231" t="str">
            <v>上級</v>
          </cell>
          <cell r="J231">
            <v>111</v>
          </cell>
          <cell r="K231">
            <v>20</v>
          </cell>
          <cell r="L231">
            <v>860</v>
          </cell>
          <cell r="M231">
            <v>1</v>
          </cell>
          <cell r="N231">
            <v>1</v>
          </cell>
          <cell r="O231">
            <v>1</v>
          </cell>
          <cell r="P231">
            <v>1</v>
          </cell>
          <cell r="Q231">
            <v>1</v>
          </cell>
          <cell r="R231">
            <v>3</v>
          </cell>
          <cell r="S231" t="str">
            <v>none</v>
          </cell>
          <cell r="T231">
            <v>0</v>
          </cell>
          <cell r="U231" t="str">
            <v>NULL</v>
          </cell>
          <cell r="V231" t="str">
            <v>NULL</v>
          </cell>
          <cell r="W231" t="str">
            <v/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 t="str">
            <v>anytime</v>
          </cell>
          <cell r="AC231">
            <v>103</v>
          </cell>
          <cell r="AD231">
            <v>6</v>
          </cell>
          <cell r="AE231" t="str">
            <v>everyone</v>
          </cell>
        </row>
        <row r="232">
          <cell r="A232" t="str">
            <v>11008_4</v>
          </cell>
          <cell r="B232">
            <v>3</v>
          </cell>
          <cell r="C232">
            <v>11008</v>
          </cell>
          <cell r="D232" t="str">
            <v>【日曜限定】 青と黄の素材</v>
          </cell>
          <cell r="E232" t="str">
            <v>日曜クエスト</v>
          </cell>
          <cell r="F232">
            <v>4</v>
          </cell>
          <cell r="G232" t="str">
            <v>ja</v>
          </cell>
          <cell r="H232" t="str">
            <v xml:space="preserve">【超級】水と雷の帽子屋 </v>
          </cell>
          <cell r="I232" t="str">
            <v>超級（★5覚醒素材）</v>
          </cell>
          <cell r="J232">
            <v>116</v>
          </cell>
          <cell r="K232">
            <v>30</v>
          </cell>
          <cell r="L232">
            <v>1400</v>
          </cell>
          <cell r="M232">
            <v>1</v>
          </cell>
          <cell r="N232">
            <v>1</v>
          </cell>
          <cell r="O232">
            <v>1</v>
          </cell>
          <cell r="P232">
            <v>1</v>
          </cell>
          <cell r="Q232">
            <v>1</v>
          </cell>
          <cell r="R232">
            <v>3</v>
          </cell>
          <cell r="S232" t="str">
            <v>none</v>
          </cell>
          <cell r="T232">
            <v>0</v>
          </cell>
          <cell r="U232" t="str">
            <v>NULL</v>
          </cell>
          <cell r="V232" t="str">
            <v>NULL</v>
          </cell>
          <cell r="W232" t="str">
            <v/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 t="str">
            <v>anytime</v>
          </cell>
          <cell r="AC232">
            <v>101</v>
          </cell>
          <cell r="AD232">
            <v>6</v>
          </cell>
          <cell r="AE232" t="str">
            <v>everyone</v>
          </cell>
        </row>
        <row r="233">
          <cell r="A233" t="str">
            <v>11008_5</v>
          </cell>
          <cell r="B233">
            <v>3</v>
          </cell>
          <cell r="C233">
            <v>11008</v>
          </cell>
          <cell r="D233" t="str">
            <v>【日曜限定】 青と黄の素材</v>
          </cell>
          <cell r="E233" t="str">
            <v>日曜クエスト</v>
          </cell>
          <cell r="F233">
            <v>5</v>
          </cell>
          <cell r="G233" t="str">
            <v>ja</v>
          </cell>
          <cell r="H233" t="str">
            <v>【超絶級】ウミガメとネズミ</v>
          </cell>
          <cell r="I233" t="str">
            <v>超絶級（★6覚醒素材）</v>
          </cell>
          <cell r="J233">
            <v>358</v>
          </cell>
          <cell r="K233">
            <v>35</v>
          </cell>
          <cell r="L233">
            <v>2240</v>
          </cell>
          <cell r="M233">
            <v>1</v>
          </cell>
          <cell r="N233">
            <v>1</v>
          </cell>
          <cell r="O233">
            <v>1</v>
          </cell>
          <cell r="P233">
            <v>1</v>
          </cell>
          <cell r="Q233">
            <v>1</v>
          </cell>
          <cell r="R233">
            <v>3</v>
          </cell>
          <cell r="S233" t="str">
            <v>none</v>
          </cell>
          <cell r="T233">
            <v>0</v>
          </cell>
          <cell r="U233" t="str">
            <v>NULL</v>
          </cell>
          <cell r="V233" t="str">
            <v>NULL</v>
          </cell>
          <cell r="W233" t="str">
            <v/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 t="str">
            <v>anytime</v>
          </cell>
          <cell r="AC233">
            <v>103</v>
          </cell>
          <cell r="AD233">
            <v>6</v>
          </cell>
          <cell r="AE233" t="str">
            <v>everyone</v>
          </cell>
        </row>
        <row r="234">
          <cell r="A234" t="str">
            <v>11016_1</v>
          </cell>
          <cell r="B234">
            <v>3</v>
          </cell>
          <cell r="C234">
            <v>11016</v>
          </cell>
          <cell r="D234" t="str">
            <v>【マルチ専用1/2】 ゴールドカジノ</v>
          </cell>
          <cell r="E234" t="str">
            <v>土日クエスト1</v>
          </cell>
          <cell r="F234">
            <v>1</v>
          </cell>
          <cell r="G234" t="str">
            <v>ja</v>
          </cell>
          <cell r="H234" t="str">
            <v xml:space="preserve">【上級】ゴールドカジノ </v>
          </cell>
          <cell r="I234" t="str">
            <v>上級</v>
          </cell>
          <cell r="J234">
            <v>119</v>
          </cell>
          <cell r="K234">
            <v>10</v>
          </cell>
          <cell r="L234">
            <v>860</v>
          </cell>
          <cell r="M234">
            <v>1</v>
          </cell>
          <cell r="N234">
            <v>1</v>
          </cell>
          <cell r="O234">
            <v>1</v>
          </cell>
          <cell r="P234">
            <v>1</v>
          </cell>
          <cell r="Q234">
            <v>0</v>
          </cell>
          <cell r="R234">
            <v>3</v>
          </cell>
          <cell r="S234" t="str">
            <v>none</v>
          </cell>
          <cell r="T234">
            <v>0</v>
          </cell>
          <cell r="U234" t="str">
            <v>NULL</v>
          </cell>
          <cell r="V234" t="str">
            <v>NULL</v>
          </cell>
          <cell r="W234" t="str">
            <v/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 t="str">
            <v>anytime</v>
          </cell>
          <cell r="AC234">
            <v>105</v>
          </cell>
          <cell r="AD234">
            <v>6</v>
          </cell>
          <cell r="AE234" t="str">
            <v>multionly</v>
          </cell>
        </row>
        <row r="235">
          <cell r="A235" t="str">
            <v>11017_1</v>
          </cell>
          <cell r="B235">
            <v>3</v>
          </cell>
          <cell r="C235">
            <v>11017</v>
          </cell>
          <cell r="D235" t="str">
            <v>【期間限定】リトルハンプティを追え！</v>
          </cell>
          <cell r="E235" t="str">
            <v>期間限定クエスト</v>
          </cell>
          <cell r="F235">
            <v>1</v>
          </cell>
          <cell r="G235" t="str">
            <v>ja</v>
          </cell>
          <cell r="H235" t="str">
            <v>【上級】リトルハンプティを追え！</v>
          </cell>
          <cell r="I235" t="str">
            <v>上級</v>
          </cell>
          <cell r="J235">
            <v>837</v>
          </cell>
          <cell r="K235">
            <v>20</v>
          </cell>
          <cell r="L235">
            <v>860</v>
          </cell>
          <cell r="M235">
            <v>1</v>
          </cell>
          <cell r="N235">
            <v>1</v>
          </cell>
          <cell r="O235">
            <v>1</v>
          </cell>
          <cell r="P235">
            <v>1</v>
          </cell>
          <cell r="Q235">
            <v>0</v>
          </cell>
          <cell r="R235">
            <v>3</v>
          </cell>
          <cell r="S235" t="str">
            <v>none</v>
          </cell>
          <cell r="T235">
            <v>0</v>
          </cell>
          <cell r="U235" t="str">
            <v>NULL</v>
          </cell>
          <cell r="V235" t="str">
            <v>NULL</v>
          </cell>
          <cell r="W235" t="str">
            <v/>
          </cell>
          <cell r="X235">
            <v>0</v>
          </cell>
          <cell r="Y235">
            <v>0</v>
          </cell>
          <cell r="Z235">
            <v>0</v>
          </cell>
          <cell r="AA235">
            <v>0</v>
          </cell>
          <cell r="AB235" t="str">
            <v>anytime</v>
          </cell>
          <cell r="AC235">
            <v>1</v>
          </cell>
          <cell r="AD235">
            <v>6</v>
          </cell>
          <cell r="AE235" t="str">
            <v>everyone</v>
          </cell>
        </row>
        <row r="236">
          <cell r="A236" t="str">
            <v>11018_1</v>
          </cell>
          <cell r="B236">
            <v>3</v>
          </cell>
          <cell r="C236">
            <v>11018</v>
          </cell>
          <cell r="D236" t="str">
            <v>【エナジー1/2】 ゴールドカジノ</v>
          </cell>
          <cell r="E236" t="str">
            <v>土日クエスト1</v>
          </cell>
          <cell r="F236">
            <v>1</v>
          </cell>
          <cell r="G236" t="str">
            <v>ja</v>
          </cell>
          <cell r="H236" t="str">
            <v xml:space="preserve">【上級】ゴールドカジノ </v>
          </cell>
          <cell r="I236" t="str">
            <v>上級</v>
          </cell>
          <cell r="J236">
            <v>119</v>
          </cell>
          <cell r="K236">
            <v>10</v>
          </cell>
          <cell r="L236">
            <v>860</v>
          </cell>
          <cell r="M236">
            <v>1</v>
          </cell>
          <cell r="N236">
            <v>1</v>
          </cell>
          <cell r="O236">
            <v>1</v>
          </cell>
          <cell r="P236">
            <v>1</v>
          </cell>
          <cell r="Q236">
            <v>0</v>
          </cell>
          <cell r="R236">
            <v>3</v>
          </cell>
          <cell r="S236" t="str">
            <v>none</v>
          </cell>
          <cell r="T236">
            <v>0</v>
          </cell>
          <cell r="U236" t="str">
            <v>NULL</v>
          </cell>
          <cell r="V236" t="str">
            <v>NULL</v>
          </cell>
          <cell r="W236" t="str">
            <v/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 t="str">
            <v>anytime</v>
          </cell>
          <cell r="AC236">
            <v>105</v>
          </cell>
          <cell r="AD236">
            <v>6</v>
          </cell>
          <cell r="AE236" t="str">
            <v>everyone</v>
          </cell>
        </row>
        <row r="237">
          <cell r="A237" t="str">
            <v>11101_1</v>
          </cell>
          <cell r="B237">
            <v>3</v>
          </cell>
          <cell r="C237">
            <v>11101</v>
          </cell>
          <cell r="D237" t="str">
            <v>【期間限定】 黄の素材</v>
          </cell>
          <cell r="E237" t="str">
            <v>月曜クエスト</v>
          </cell>
          <cell r="F237">
            <v>1</v>
          </cell>
          <cell r="G237" t="str">
            <v>ja</v>
          </cell>
          <cell r="H237" t="str">
            <v>【初級】雷のチェシャ猫</v>
          </cell>
          <cell r="I237" t="str">
            <v>初級</v>
          </cell>
          <cell r="J237">
            <v>113</v>
          </cell>
          <cell r="K237">
            <v>8</v>
          </cell>
          <cell r="L237">
            <v>240</v>
          </cell>
          <cell r="M237">
            <v>1</v>
          </cell>
          <cell r="N237">
            <v>1</v>
          </cell>
          <cell r="O237">
            <v>1</v>
          </cell>
          <cell r="P237">
            <v>1</v>
          </cell>
          <cell r="Q237">
            <v>1</v>
          </cell>
          <cell r="R237">
            <v>3</v>
          </cell>
          <cell r="S237" t="str">
            <v>none</v>
          </cell>
          <cell r="T237">
            <v>0</v>
          </cell>
          <cell r="U237" t="str">
            <v>NULL</v>
          </cell>
          <cell r="V237" t="str">
            <v>NULL</v>
          </cell>
          <cell r="W237" t="str">
            <v/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 t="str">
            <v>anytime</v>
          </cell>
          <cell r="AC237">
            <v>101</v>
          </cell>
          <cell r="AD237">
            <v>6</v>
          </cell>
          <cell r="AE237" t="str">
            <v>everyone</v>
          </cell>
        </row>
        <row r="238">
          <cell r="A238" t="str">
            <v>11101_2</v>
          </cell>
          <cell r="B238">
            <v>3</v>
          </cell>
          <cell r="C238">
            <v>11101</v>
          </cell>
          <cell r="D238" t="str">
            <v>【期間限定】 黄の素材</v>
          </cell>
          <cell r="E238" t="str">
            <v>月曜クエスト</v>
          </cell>
          <cell r="F238">
            <v>2</v>
          </cell>
          <cell r="G238" t="str">
            <v>ja</v>
          </cell>
          <cell r="H238" t="str">
            <v xml:space="preserve">【中級】雷のウサギ </v>
          </cell>
          <cell r="I238" t="str">
            <v>中級</v>
          </cell>
          <cell r="J238">
            <v>114</v>
          </cell>
          <cell r="K238">
            <v>15</v>
          </cell>
          <cell r="L238">
            <v>525</v>
          </cell>
          <cell r="M238">
            <v>1</v>
          </cell>
          <cell r="N238">
            <v>1</v>
          </cell>
          <cell r="O238">
            <v>1</v>
          </cell>
          <cell r="P238">
            <v>1</v>
          </cell>
          <cell r="Q238">
            <v>1</v>
          </cell>
          <cell r="R238">
            <v>3</v>
          </cell>
          <cell r="S238" t="str">
            <v>none</v>
          </cell>
          <cell r="T238">
            <v>0</v>
          </cell>
          <cell r="U238" t="str">
            <v>NULL</v>
          </cell>
          <cell r="V238" t="str">
            <v>NULL</v>
          </cell>
          <cell r="W238" t="str">
            <v/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 t="str">
            <v>anytime</v>
          </cell>
          <cell r="AC238">
            <v>101</v>
          </cell>
          <cell r="AD238">
            <v>6</v>
          </cell>
          <cell r="AE238" t="str">
            <v>everyone</v>
          </cell>
        </row>
        <row r="239">
          <cell r="A239" t="str">
            <v>11101_3</v>
          </cell>
          <cell r="B239">
            <v>0</v>
          </cell>
          <cell r="C239">
            <v>11101</v>
          </cell>
          <cell r="D239" t="str">
            <v>【期間限定】 黄の素材</v>
          </cell>
          <cell r="E239" t="str">
            <v>月曜クエスト</v>
          </cell>
          <cell r="F239">
            <v>3</v>
          </cell>
          <cell r="G239" t="str">
            <v>ja</v>
          </cell>
          <cell r="H239" t="str">
            <v>【上級】雷のイモムシ</v>
          </cell>
          <cell r="I239" t="str">
            <v>上級</v>
          </cell>
          <cell r="J239">
            <v>115</v>
          </cell>
          <cell r="K239">
            <v>20</v>
          </cell>
          <cell r="L239">
            <v>860</v>
          </cell>
          <cell r="M239">
            <v>1</v>
          </cell>
          <cell r="N239">
            <v>1</v>
          </cell>
          <cell r="O239">
            <v>1</v>
          </cell>
          <cell r="P239">
            <v>1</v>
          </cell>
          <cell r="Q239">
            <v>1</v>
          </cell>
          <cell r="R239">
            <v>3</v>
          </cell>
          <cell r="S239" t="str">
            <v>none</v>
          </cell>
          <cell r="T239">
            <v>0</v>
          </cell>
          <cell r="U239" t="str">
            <v>NULL</v>
          </cell>
          <cell r="V239" t="str">
            <v>NULL</v>
          </cell>
          <cell r="W239" t="str">
            <v/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 t="str">
            <v>anytime</v>
          </cell>
          <cell r="AC239">
            <v>101</v>
          </cell>
          <cell r="AD239">
            <v>6</v>
          </cell>
          <cell r="AE239" t="str">
            <v>everyone</v>
          </cell>
        </row>
        <row r="240">
          <cell r="A240" t="str">
            <v>11101_4</v>
          </cell>
          <cell r="B240">
            <v>3</v>
          </cell>
          <cell r="C240">
            <v>11101</v>
          </cell>
          <cell r="D240" t="str">
            <v>【期間限定】 黄の素材</v>
          </cell>
          <cell r="E240" t="str">
            <v>月曜クエスト</v>
          </cell>
          <cell r="F240">
            <v>4</v>
          </cell>
          <cell r="G240" t="str">
            <v>ja</v>
          </cell>
          <cell r="H240" t="str">
            <v>【上級】雷のイモムシ</v>
          </cell>
          <cell r="I240" t="str">
            <v>上級</v>
          </cell>
          <cell r="J240">
            <v>115</v>
          </cell>
          <cell r="K240">
            <v>20</v>
          </cell>
          <cell r="L240">
            <v>860</v>
          </cell>
          <cell r="M240">
            <v>1</v>
          </cell>
          <cell r="N240">
            <v>1</v>
          </cell>
          <cell r="O240">
            <v>1</v>
          </cell>
          <cell r="P240">
            <v>1</v>
          </cell>
          <cell r="Q240">
            <v>1</v>
          </cell>
          <cell r="R240">
            <v>3</v>
          </cell>
          <cell r="S240" t="str">
            <v>none</v>
          </cell>
          <cell r="T240">
            <v>0</v>
          </cell>
          <cell r="U240" t="str">
            <v>NULL</v>
          </cell>
          <cell r="V240" t="str">
            <v>NULL</v>
          </cell>
          <cell r="W240" t="str">
            <v/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 t="str">
            <v>anytime</v>
          </cell>
          <cell r="AC240">
            <v>101</v>
          </cell>
          <cell r="AD240">
            <v>6</v>
          </cell>
          <cell r="AE240" t="str">
            <v>everyone</v>
          </cell>
        </row>
        <row r="241">
          <cell r="A241" t="str">
            <v>11101_10</v>
          </cell>
          <cell r="B241">
            <v>3</v>
          </cell>
          <cell r="C241">
            <v>11101</v>
          </cell>
          <cell r="D241" t="str">
            <v>【期間限定】 黄の素材</v>
          </cell>
          <cell r="E241" t="str">
            <v>月曜クエスト</v>
          </cell>
          <cell r="F241">
            <v>10</v>
          </cell>
          <cell r="G241" t="str">
            <v>ja</v>
          </cell>
          <cell r="H241" t="str">
            <v>【超絶級】醒電の眠りネズミ</v>
          </cell>
          <cell r="I241" t="str">
            <v>超絶級（★6覚醒素材）</v>
          </cell>
          <cell r="J241">
            <v>359</v>
          </cell>
          <cell r="K241">
            <v>35</v>
          </cell>
          <cell r="L241">
            <v>2240</v>
          </cell>
          <cell r="M241">
            <v>1</v>
          </cell>
          <cell r="N241">
            <v>1</v>
          </cell>
          <cell r="O241">
            <v>1</v>
          </cell>
          <cell r="P241">
            <v>1</v>
          </cell>
          <cell r="Q241">
            <v>1</v>
          </cell>
          <cell r="R241">
            <v>3</v>
          </cell>
          <cell r="S241" t="str">
            <v>none</v>
          </cell>
          <cell r="T241">
            <v>0</v>
          </cell>
          <cell r="U241" t="str">
            <v>NULL</v>
          </cell>
          <cell r="V241" t="str">
            <v>NULL</v>
          </cell>
          <cell r="W241" t="str">
            <v/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 t="str">
            <v>anytime</v>
          </cell>
          <cell r="AC241">
            <v>101</v>
          </cell>
          <cell r="AD241">
            <v>6</v>
          </cell>
          <cell r="AE241" t="str">
            <v>everyone</v>
          </cell>
        </row>
        <row r="242">
          <cell r="A242" t="str">
            <v>11102_1</v>
          </cell>
          <cell r="B242">
            <v>3</v>
          </cell>
          <cell r="C242">
            <v>11102</v>
          </cell>
          <cell r="D242" t="str">
            <v>【期間限定】 赤の素材</v>
          </cell>
          <cell r="E242" t="str">
            <v>火曜クエスト</v>
          </cell>
          <cell r="F242">
            <v>1</v>
          </cell>
          <cell r="G242" t="str">
            <v>ja</v>
          </cell>
          <cell r="H242" t="str">
            <v xml:space="preserve">【初級】火のチェシャ猫 </v>
          </cell>
          <cell r="I242" t="str">
            <v>初級</v>
          </cell>
          <cell r="J242">
            <v>101</v>
          </cell>
          <cell r="K242">
            <v>8</v>
          </cell>
          <cell r="L242">
            <v>240</v>
          </cell>
          <cell r="M242">
            <v>1</v>
          </cell>
          <cell r="N242">
            <v>1</v>
          </cell>
          <cell r="O242">
            <v>1</v>
          </cell>
          <cell r="P242">
            <v>1</v>
          </cell>
          <cell r="Q242">
            <v>1</v>
          </cell>
          <cell r="R242">
            <v>3</v>
          </cell>
          <cell r="S242" t="str">
            <v>none</v>
          </cell>
          <cell r="T242">
            <v>0</v>
          </cell>
          <cell r="U242" t="str">
            <v>NULL</v>
          </cell>
          <cell r="V242" t="str">
            <v>NULL</v>
          </cell>
          <cell r="W242" t="str">
            <v/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 t="str">
            <v>anytime</v>
          </cell>
          <cell r="AC242">
            <v>102</v>
          </cell>
          <cell r="AD242">
            <v>6</v>
          </cell>
          <cell r="AE242" t="str">
            <v>everyone</v>
          </cell>
        </row>
        <row r="243">
          <cell r="A243" t="str">
            <v>11102_2</v>
          </cell>
          <cell r="B243">
            <v>3</v>
          </cell>
          <cell r="C243">
            <v>11102</v>
          </cell>
          <cell r="D243" t="str">
            <v>【期間限定】 赤の素材</v>
          </cell>
          <cell r="E243" t="str">
            <v>火曜クエスト</v>
          </cell>
          <cell r="F243">
            <v>2</v>
          </cell>
          <cell r="G243" t="str">
            <v>ja</v>
          </cell>
          <cell r="H243" t="str">
            <v xml:space="preserve">【中級】火のウサギ </v>
          </cell>
          <cell r="I243" t="str">
            <v>中級</v>
          </cell>
          <cell r="J243">
            <v>102</v>
          </cell>
          <cell r="K243">
            <v>15</v>
          </cell>
          <cell r="L243">
            <v>525</v>
          </cell>
          <cell r="M243">
            <v>1</v>
          </cell>
          <cell r="N243">
            <v>1</v>
          </cell>
          <cell r="O243">
            <v>1</v>
          </cell>
          <cell r="P243">
            <v>1</v>
          </cell>
          <cell r="Q243">
            <v>1</v>
          </cell>
          <cell r="R243">
            <v>3</v>
          </cell>
          <cell r="S243" t="str">
            <v>none</v>
          </cell>
          <cell r="T243">
            <v>0</v>
          </cell>
          <cell r="U243" t="str">
            <v>NULL</v>
          </cell>
          <cell r="V243" t="str">
            <v>NULL</v>
          </cell>
          <cell r="W243" t="str">
            <v/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 t="str">
            <v>anytime</v>
          </cell>
          <cell r="AC243">
            <v>102</v>
          </cell>
          <cell r="AD243">
            <v>6</v>
          </cell>
          <cell r="AE243" t="str">
            <v>everyone</v>
          </cell>
        </row>
        <row r="244">
          <cell r="A244" t="str">
            <v>11102_3</v>
          </cell>
          <cell r="B244">
            <v>0</v>
          </cell>
          <cell r="C244">
            <v>11102</v>
          </cell>
          <cell r="D244" t="str">
            <v>【期間限定】 赤の素材</v>
          </cell>
          <cell r="E244" t="str">
            <v>火曜クエスト</v>
          </cell>
          <cell r="F244">
            <v>3</v>
          </cell>
          <cell r="G244" t="str">
            <v>ja</v>
          </cell>
          <cell r="H244" t="str">
            <v xml:space="preserve">【上級】火のイモムシ </v>
          </cell>
          <cell r="I244" t="str">
            <v>上級</v>
          </cell>
          <cell r="J244">
            <v>103</v>
          </cell>
          <cell r="K244">
            <v>20</v>
          </cell>
          <cell r="L244">
            <v>860</v>
          </cell>
          <cell r="M244">
            <v>1</v>
          </cell>
          <cell r="N244">
            <v>1</v>
          </cell>
          <cell r="O244">
            <v>1</v>
          </cell>
          <cell r="P244">
            <v>1</v>
          </cell>
          <cell r="Q244">
            <v>1</v>
          </cell>
          <cell r="R244">
            <v>3</v>
          </cell>
          <cell r="S244" t="str">
            <v>none</v>
          </cell>
          <cell r="T244">
            <v>0</v>
          </cell>
          <cell r="U244" t="str">
            <v>NULL</v>
          </cell>
          <cell r="V244" t="str">
            <v>NULL</v>
          </cell>
          <cell r="W244" t="str">
            <v/>
          </cell>
          <cell r="X244">
            <v>0</v>
          </cell>
          <cell r="Y244">
            <v>0</v>
          </cell>
          <cell r="Z244">
            <v>0</v>
          </cell>
          <cell r="AA244">
            <v>0</v>
          </cell>
          <cell r="AB244" t="str">
            <v>anytime</v>
          </cell>
          <cell r="AC244">
            <v>102</v>
          </cell>
          <cell r="AD244">
            <v>6</v>
          </cell>
          <cell r="AE244" t="str">
            <v>everyone</v>
          </cell>
        </row>
        <row r="245">
          <cell r="A245" t="str">
            <v>11102_4</v>
          </cell>
          <cell r="B245">
            <v>3</v>
          </cell>
          <cell r="C245">
            <v>11102</v>
          </cell>
          <cell r="D245" t="str">
            <v>【期間限定】 赤の素材</v>
          </cell>
          <cell r="E245" t="str">
            <v>火曜クエスト</v>
          </cell>
          <cell r="F245">
            <v>4</v>
          </cell>
          <cell r="G245" t="str">
            <v>ja</v>
          </cell>
          <cell r="H245" t="str">
            <v xml:space="preserve">【上級】火のイモムシ </v>
          </cell>
          <cell r="I245" t="str">
            <v>上級</v>
          </cell>
          <cell r="J245">
            <v>103</v>
          </cell>
          <cell r="K245">
            <v>20</v>
          </cell>
          <cell r="L245">
            <v>860</v>
          </cell>
          <cell r="M245">
            <v>1</v>
          </cell>
          <cell r="N245">
            <v>1</v>
          </cell>
          <cell r="O245">
            <v>1</v>
          </cell>
          <cell r="P245">
            <v>1</v>
          </cell>
          <cell r="Q245">
            <v>1</v>
          </cell>
          <cell r="R245">
            <v>3</v>
          </cell>
          <cell r="S245" t="str">
            <v>none</v>
          </cell>
          <cell r="T245">
            <v>0</v>
          </cell>
          <cell r="U245" t="str">
            <v>NULL</v>
          </cell>
          <cell r="V245" t="str">
            <v>NULL</v>
          </cell>
          <cell r="W245" t="str">
            <v/>
          </cell>
          <cell r="X245">
            <v>0</v>
          </cell>
          <cell r="Y245">
            <v>0</v>
          </cell>
          <cell r="Z245">
            <v>0</v>
          </cell>
          <cell r="AA245">
            <v>0</v>
          </cell>
          <cell r="AB245" t="str">
            <v>anytime</v>
          </cell>
          <cell r="AC245">
            <v>102</v>
          </cell>
          <cell r="AD245">
            <v>6</v>
          </cell>
          <cell r="AE245" t="str">
            <v>everyone</v>
          </cell>
        </row>
        <row r="246">
          <cell r="A246" t="str">
            <v>11102_10</v>
          </cell>
          <cell r="B246">
            <v>3</v>
          </cell>
          <cell r="C246">
            <v>11102</v>
          </cell>
          <cell r="D246" t="str">
            <v>【期間限定】 赤の素材</v>
          </cell>
          <cell r="E246" t="str">
            <v>火曜クエスト</v>
          </cell>
          <cell r="F246">
            <v>10</v>
          </cell>
          <cell r="G246" t="str">
            <v>ja</v>
          </cell>
          <cell r="H246" t="str">
            <v>【超絶級】炎上のドードー</v>
          </cell>
          <cell r="I246" t="str">
            <v>超絶級（★6覚醒素材）</v>
          </cell>
          <cell r="J246">
            <v>356</v>
          </cell>
          <cell r="K246">
            <v>35</v>
          </cell>
          <cell r="L246">
            <v>2240</v>
          </cell>
          <cell r="M246">
            <v>1</v>
          </cell>
          <cell r="N246">
            <v>1</v>
          </cell>
          <cell r="O246">
            <v>1</v>
          </cell>
          <cell r="P246">
            <v>1</v>
          </cell>
          <cell r="Q246">
            <v>1</v>
          </cell>
          <cell r="R246">
            <v>3</v>
          </cell>
          <cell r="S246" t="str">
            <v>none</v>
          </cell>
          <cell r="T246">
            <v>0</v>
          </cell>
          <cell r="U246" t="str">
            <v>NULL</v>
          </cell>
          <cell r="V246" t="str">
            <v>NULL</v>
          </cell>
          <cell r="W246" t="str">
            <v/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 t="str">
            <v>anytime</v>
          </cell>
          <cell r="AC246">
            <v>102</v>
          </cell>
          <cell r="AD246">
            <v>6</v>
          </cell>
          <cell r="AE246" t="str">
            <v>everyone</v>
          </cell>
        </row>
        <row r="247">
          <cell r="A247" t="str">
            <v>11103_1</v>
          </cell>
          <cell r="B247">
            <v>3</v>
          </cell>
          <cell r="C247">
            <v>11103</v>
          </cell>
          <cell r="D247" t="str">
            <v>【期間限定】 青の素材</v>
          </cell>
          <cell r="E247" t="str">
            <v>水曜クエスト</v>
          </cell>
          <cell r="F247">
            <v>1</v>
          </cell>
          <cell r="G247" t="str">
            <v>ja</v>
          </cell>
          <cell r="H247" t="str">
            <v>【初級】水のチェシャ猫</v>
          </cell>
          <cell r="I247" t="str">
            <v>初級</v>
          </cell>
          <cell r="J247">
            <v>109</v>
          </cell>
          <cell r="K247">
            <v>8</v>
          </cell>
          <cell r="L247">
            <v>240</v>
          </cell>
          <cell r="M247">
            <v>1</v>
          </cell>
          <cell r="N247">
            <v>1</v>
          </cell>
          <cell r="O247">
            <v>1</v>
          </cell>
          <cell r="P247">
            <v>1</v>
          </cell>
          <cell r="Q247">
            <v>1</v>
          </cell>
          <cell r="R247">
            <v>3</v>
          </cell>
          <cell r="S247" t="str">
            <v>none</v>
          </cell>
          <cell r="T247">
            <v>0</v>
          </cell>
          <cell r="U247" t="str">
            <v>NULL</v>
          </cell>
          <cell r="V247" t="str">
            <v>NULL</v>
          </cell>
          <cell r="W247" t="str">
            <v/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 t="str">
            <v>anytime</v>
          </cell>
          <cell r="AC247">
            <v>103</v>
          </cell>
          <cell r="AD247">
            <v>6</v>
          </cell>
          <cell r="AE247" t="str">
            <v>everyone</v>
          </cell>
        </row>
        <row r="248">
          <cell r="A248" t="str">
            <v>11103_2</v>
          </cell>
          <cell r="B248">
            <v>3</v>
          </cell>
          <cell r="C248">
            <v>11103</v>
          </cell>
          <cell r="D248" t="str">
            <v>【期間限定】 青の素材</v>
          </cell>
          <cell r="E248" t="str">
            <v>水曜クエスト</v>
          </cell>
          <cell r="F248">
            <v>2</v>
          </cell>
          <cell r="G248" t="str">
            <v>ja</v>
          </cell>
          <cell r="H248" t="str">
            <v xml:space="preserve">【中級】水のウサギ </v>
          </cell>
          <cell r="I248" t="str">
            <v>中級</v>
          </cell>
          <cell r="J248">
            <v>110</v>
          </cell>
          <cell r="K248">
            <v>15</v>
          </cell>
          <cell r="L248">
            <v>525</v>
          </cell>
          <cell r="M248">
            <v>1</v>
          </cell>
          <cell r="N248">
            <v>1</v>
          </cell>
          <cell r="O248">
            <v>1</v>
          </cell>
          <cell r="P248">
            <v>1</v>
          </cell>
          <cell r="Q248">
            <v>1</v>
          </cell>
          <cell r="R248">
            <v>3</v>
          </cell>
          <cell r="S248" t="str">
            <v>none</v>
          </cell>
          <cell r="T248">
            <v>0</v>
          </cell>
          <cell r="U248" t="str">
            <v>NULL</v>
          </cell>
          <cell r="V248" t="str">
            <v>NULL</v>
          </cell>
          <cell r="W248" t="str">
            <v/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 t="str">
            <v>anytime</v>
          </cell>
          <cell r="AC248">
            <v>103</v>
          </cell>
          <cell r="AD248">
            <v>6</v>
          </cell>
          <cell r="AE248" t="str">
            <v>everyone</v>
          </cell>
        </row>
        <row r="249">
          <cell r="A249" t="str">
            <v>11103_3</v>
          </cell>
          <cell r="B249">
            <v>0</v>
          </cell>
          <cell r="C249">
            <v>11103</v>
          </cell>
          <cell r="D249" t="str">
            <v>【期間限定】 青の素材</v>
          </cell>
          <cell r="E249" t="str">
            <v>水曜クエスト</v>
          </cell>
          <cell r="F249">
            <v>3</v>
          </cell>
          <cell r="G249" t="str">
            <v>ja</v>
          </cell>
          <cell r="H249" t="str">
            <v xml:space="preserve">【上級】水のイモムシ </v>
          </cell>
          <cell r="I249" t="str">
            <v>上級</v>
          </cell>
          <cell r="J249">
            <v>111</v>
          </cell>
          <cell r="K249">
            <v>20</v>
          </cell>
          <cell r="L249">
            <v>860</v>
          </cell>
          <cell r="M249">
            <v>1</v>
          </cell>
          <cell r="N249">
            <v>1</v>
          </cell>
          <cell r="O249">
            <v>1</v>
          </cell>
          <cell r="P249">
            <v>1</v>
          </cell>
          <cell r="Q249">
            <v>1</v>
          </cell>
          <cell r="R249">
            <v>3</v>
          </cell>
          <cell r="S249" t="str">
            <v>none</v>
          </cell>
          <cell r="T249">
            <v>0</v>
          </cell>
          <cell r="U249" t="str">
            <v>NULL</v>
          </cell>
          <cell r="V249" t="str">
            <v>NULL</v>
          </cell>
          <cell r="W249" t="str">
            <v/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 t="str">
            <v>anytime</v>
          </cell>
          <cell r="AC249">
            <v>103</v>
          </cell>
          <cell r="AD249">
            <v>6</v>
          </cell>
          <cell r="AE249" t="str">
            <v>everyone</v>
          </cell>
        </row>
        <row r="250">
          <cell r="A250" t="str">
            <v>11103_4</v>
          </cell>
          <cell r="B250">
            <v>3</v>
          </cell>
          <cell r="C250">
            <v>11103</v>
          </cell>
          <cell r="D250" t="str">
            <v>【期間限定】 青の素材</v>
          </cell>
          <cell r="E250" t="str">
            <v>水曜クエスト</v>
          </cell>
          <cell r="F250">
            <v>4</v>
          </cell>
          <cell r="G250" t="str">
            <v>ja</v>
          </cell>
          <cell r="H250" t="str">
            <v xml:space="preserve">【上級】水のイモムシ </v>
          </cell>
          <cell r="I250" t="str">
            <v>上級</v>
          </cell>
          <cell r="J250">
            <v>111</v>
          </cell>
          <cell r="K250">
            <v>20</v>
          </cell>
          <cell r="L250">
            <v>860</v>
          </cell>
          <cell r="M250">
            <v>1</v>
          </cell>
          <cell r="N250">
            <v>1</v>
          </cell>
          <cell r="O250">
            <v>1</v>
          </cell>
          <cell r="P250">
            <v>1</v>
          </cell>
          <cell r="Q250">
            <v>1</v>
          </cell>
          <cell r="R250">
            <v>3</v>
          </cell>
          <cell r="S250" t="str">
            <v>none</v>
          </cell>
          <cell r="T250">
            <v>0</v>
          </cell>
          <cell r="U250" t="str">
            <v>NULL</v>
          </cell>
          <cell r="V250" t="str">
            <v>NULL</v>
          </cell>
          <cell r="W250" t="str">
            <v/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 t="str">
            <v>anytime</v>
          </cell>
          <cell r="AC250">
            <v>103</v>
          </cell>
          <cell r="AD250">
            <v>6</v>
          </cell>
          <cell r="AE250" t="str">
            <v>everyone</v>
          </cell>
        </row>
        <row r="251">
          <cell r="A251" t="str">
            <v>11103_10</v>
          </cell>
          <cell r="B251">
            <v>3</v>
          </cell>
          <cell r="C251">
            <v>11103</v>
          </cell>
          <cell r="D251" t="str">
            <v>【期間限定】 青の素材</v>
          </cell>
          <cell r="E251" t="str">
            <v>水曜クエスト</v>
          </cell>
          <cell r="F251">
            <v>10</v>
          </cell>
          <cell r="G251" t="str">
            <v>ja</v>
          </cell>
          <cell r="H251" t="str">
            <v>【超絶級】深淵の代用ウミガメ</v>
          </cell>
          <cell r="I251" t="str">
            <v>超絶級（★6覚醒素材）</v>
          </cell>
          <cell r="J251">
            <v>358</v>
          </cell>
          <cell r="K251">
            <v>35</v>
          </cell>
          <cell r="L251">
            <v>2240</v>
          </cell>
          <cell r="M251">
            <v>1</v>
          </cell>
          <cell r="N251">
            <v>1</v>
          </cell>
          <cell r="O251">
            <v>1</v>
          </cell>
          <cell r="P251">
            <v>1</v>
          </cell>
          <cell r="Q251">
            <v>1</v>
          </cell>
          <cell r="R251">
            <v>3</v>
          </cell>
          <cell r="S251" t="str">
            <v>none</v>
          </cell>
          <cell r="T251">
            <v>0</v>
          </cell>
          <cell r="U251" t="str">
            <v>NULL</v>
          </cell>
          <cell r="V251" t="str">
            <v>NULL</v>
          </cell>
          <cell r="W251" t="str">
            <v/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 t="str">
            <v>anytime</v>
          </cell>
          <cell r="AC251">
            <v>103</v>
          </cell>
          <cell r="AD251">
            <v>6</v>
          </cell>
          <cell r="AE251" t="str">
            <v>everyone</v>
          </cell>
        </row>
        <row r="252">
          <cell r="A252" t="str">
            <v>11104_1</v>
          </cell>
          <cell r="B252">
            <v>3</v>
          </cell>
          <cell r="C252">
            <v>11104</v>
          </cell>
          <cell r="D252" t="str">
            <v>【期間限定】 緑の素材</v>
          </cell>
          <cell r="E252" t="str">
            <v>木曜クエスト</v>
          </cell>
          <cell r="F252">
            <v>1</v>
          </cell>
          <cell r="G252" t="str">
            <v>ja</v>
          </cell>
          <cell r="H252" t="str">
            <v xml:space="preserve">【初級】樹のチェシャ猫 </v>
          </cell>
          <cell r="I252" t="str">
            <v>初級</v>
          </cell>
          <cell r="J252">
            <v>105</v>
          </cell>
          <cell r="K252">
            <v>8</v>
          </cell>
          <cell r="L252">
            <v>240</v>
          </cell>
          <cell r="M252">
            <v>1</v>
          </cell>
          <cell r="N252">
            <v>1</v>
          </cell>
          <cell r="O252">
            <v>1</v>
          </cell>
          <cell r="P252">
            <v>1</v>
          </cell>
          <cell r="Q252">
            <v>1</v>
          </cell>
          <cell r="R252">
            <v>3</v>
          </cell>
          <cell r="S252" t="str">
            <v>none</v>
          </cell>
          <cell r="T252">
            <v>0</v>
          </cell>
          <cell r="U252" t="str">
            <v>NULL</v>
          </cell>
          <cell r="V252" t="str">
            <v>NULL</v>
          </cell>
          <cell r="W252" t="str">
            <v/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 t="str">
            <v>anytime</v>
          </cell>
          <cell r="AC252">
            <v>104</v>
          </cell>
          <cell r="AD252">
            <v>6</v>
          </cell>
          <cell r="AE252" t="str">
            <v>everyone</v>
          </cell>
        </row>
        <row r="253">
          <cell r="A253" t="str">
            <v>11104_2</v>
          </cell>
          <cell r="B253">
            <v>3</v>
          </cell>
          <cell r="C253">
            <v>11104</v>
          </cell>
          <cell r="D253" t="str">
            <v>【期間限定】 緑の素材</v>
          </cell>
          <cell r="E253" t="str">
            <v>木曜クエスト</v>
          </cell>
          <cell r="F253">
            <v>2</v>
          </cell>
          <cell r="G253" t="str">
            <v>ja</v>
          </cell>
          <cell r="H253" t="str">
            <v xml:space="preserve">【中級】樹のウサギ </v>
          </cell>
          <cell r="I253" t="str">
            <v>中級</v>
          </cell>
          <cell r="J253">
            <v>106</v>
          </cell>
          <cell r="K253">
            <v>15</v>
          </cell>
          <cell r="L253">
            <v>525</v>
          </cell>
          <cell r="M253">
            <v>1</v>
          </cell>
          <cell r="N253">
            <v>1</v>
          </cell>
          <cell r="O253">
            <v>1</v>
          </cell>
          <cell r="P253">
            <v>1</v>
          </cell>
          <cell r="Q253">
            <v>1</v>
          </cell>
          <cell r="R253">
            <v>3</v>
          </cell>
          <cell r="S253" t="str">
            <v>none</v>
          </cell>
          <cell r="T253">
            <v>0</v>
          </cell>
          <cell r="U253" t="str">
            <v>NULL</v>
          </cell>
          <cell r="V253" t="str">
            <v>NULL</v>
          </cell>
          <cell r="W253" t="str">
            <v/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 t="str">
            <v>anytime</v>
          </cell>
          <cell r="AC253">
            <v>104</v>
          </cell>
          <cell r="AD253">
            <v>6</v>
          </cell>
          <cell r="AE253" t="str">
            <v>everyone</v>
          </cell>
        </row>
        <row r="254">
          <cell r="A254" t="str">
            <v>11104_3</v>
          </cell>
          <cell r="B254">
            <v>0</v>
          </cell>
          <cell r="C254">
            <v>11104</v>
          </cell>
          <cell r="D254" t="str">
            <v>【期間限定】 緑の素材</v>
          </cell>
          <cell r="E254" t="str">
            <v>木曜クエスト</v>
          </cell>
          <cell r="F254">
            <v>3</v>
          </cell>
          <cell r="G254" t="str">
            <v>ja</v>
          </cell>
          <cell r="H254" t="str">
            <v>【上級】樹のイモムシ</v>
          </cell>
          <cell r="I254" t="str">
            <v>上級</v>
          </cell>
          <cell r="J254">
            <v>107</v>
          </cell>
          <cell r="K254">
            <v>20</v>
          </cell>
          <cell r="L254">
            <v>860</v>
          </cell>
          <cell r="M254">
            <v>1</v>
          </cell>
          <cell r="N254">
            <v>1</v>
          </cell>
          <cell r="O254">
            <v>1</v>
          </cell>
          <cell r="P254">
            <v>1</v>
          </cell>
          <cell r="Q254">
            <v>1</v>
          </cell>
          <cell r="R254">
            <v>3</v>
          </cell>
          <cell r="S254" t="str">
            <v>none</v>
          </cell>
          <cell r="T254">
            <v>0</v>
          </cell>
          <cell r="U254" t="str">
            <v>NULL</v>
          </cell>
          <cell r="V254" t="str">
            <v>NULL</v>
          </cell>
          <cell r="W254" t="str">
            <v/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  <cell r="AB254" t="str">
            <v>anytime</v>
          </cell>
          <cell r="AC254">
            <v>104</v>
          </cell>
          <cell r="AD254">
            <v>6</v>
          </cell>
          <cell r="AE254" t="str">
            <v>everyone</v>
          </cell>
        </row>
        <row r="255">
          <cell r="A255" t="str">
            <v>11104_4</v>
          </cell>
          <cell r="B255">
            <v>3</v>
          </cell>
          <cell r="C255">
            <v>11104</v>
          </cell>
          <cell r="D255" t="str">
            <v>【期間限定】 緑の素材</v>
          </cell>
          <cell r="E255" t="str">
            <v>木曜クエスト</v>
          </cell>
          <cell r="F255">
            <v>4</v>
          </cell>
          <cell r="G255" t="str">
            <v>ja</v>
          </cell>
          <cell r="H255" t="str">
            <v>【上級】樹のイモムシ</v>
          </cell>
          <cell r="I255" t="str">
            <v>上級</v>
          </cell>
          <cell r="J255">
            <v>107</v>
          </cell>
          <cell r="K255">
            <v>20</v>
          </cell>
          <cell r="L255">
            <v>860</v>
          </cell>
          <cell r="M255">
            <v>1</v>
          </cell>
          <cell r="N255">
            <v>1</v>
          </cell>
          <cell r="O255">
            <v>1</v>
          </cell>
          <cell r="P255">
            <v>1</v>
          </cell>
          <cell r="Q255">
            <v>1</v>
          </cell>
          <cell r="R255">
            <v>3</v>
          </cell>
          <cell r="S255" t="str">
            <v>none</v>
          </cell>
          <cell r="T255">
            <v>0</v>
          </cell>
          <cell r="U255" t="str">
            <v>NULL</v>
          </cell>
          <cell r="V255" t="str">
            <v>NULL</v>
          </cell>
          <cell r="W255" t="str">
            <v/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 t="str">
            <v>anytime</v>
          </cell>
          <cell r="AC255">
            <v>104</v>
          </cell>
          <cell r="AD255">
            <v>6</v>
          </cell>
          <cell r="AE255" t="str">
            <v>everyone</v>
          </cell>
        </row>
        <row r="256">
          <cell r="A256" t="str">
            <v>11104_10</v>
          </cell>
          <cell r="B256">
            <v>3</v>
          </cell>
          <cell r="C256">
            <v>11104</v>
          </cell>
          <cell r="D256" t="str">
            <v>【期間限定】 緑の素材</v>
          </cell>
          <cell r="E256" t="str">
            <v>木曜クエスト</v>
          </cell>
          <cell r="F256">
            <v>10</v>
          </cell>
          <cell r="G256" t="str">
            <v>ja</v>
          </cell>
          <cell r="H256" t="str">
            <v>【超絶級】千風のグリフォン</v>
          </cell>
          <cell r="I256" t="str">
            <v>超絶級（★6覚醒素材）</v>
          </cell>
          <cell r="J256">
            <v>357</v>
          </cell>
          <cell r="K256">
            <v>35</v>
          </cell>
          <cell r="L256">
            <v>2240</v>
          </cell>
          <cell r="M256">
            <v>1</v>
          </cell>
          <cell r="N256">
            <v>1</v>
          </cell>
          <cell r="O256">
            <v>1</v>
          </cell>
          <cell r="P256">
            <v>1</v>
          </cell>
          <cell r="Q256">
            <v>1</v>
          </cell>
          <cell r="R256">
            <v>3</v>
          </cell>
          <cell r="S256" t="str">
            <v>none</v>
          </cell>
          <cell r="T256">
            <v>0</v>
          </cell>
          <cell r="U256" t="str">
            <v>NULL</v>
          </cell>
          <cell r="V256" t="str">
            <v>NULL</v>
          </cell>
          <cell r="W256" t="str">
            <v/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 t="str">
            <v>anytime</v>
          </cell>
          <cell r="AC256">
            <v>104</v>
          </cell>
          <cell r="AD256">
            <v>6</v>
          </cell>
          <cell r="AE256" t="str">
            <v>everyone</v>
          </cell>
        </row>
        <row r="257">
          <cell r="A257" t="str">
            <v>11105_1</v>
          </cell>
          <cell r="B257">
            <v>3</v>
          </cell>
          <cell r="C257">
            <v>11105</v>
          </cell>
          <cell r="D257" t="str">
            <v>【期間限定】 帽子屋を追え！</v>
          </cell>
          <cell r="E257" t="str">
            <v>金曜クエスト</v>
          </cell>
          <cell r="F257">
            <v>1</v>
          </cell>
          <cell r="G257" t="str">
            <v>ja</v>
          </cell>
          <cell r="H257" t="str">
            <v xml:space="preserve">【超級】火の帽子屋 </v>
          </cell>
          <cell r="I257" t="str">
            <v>赤R5</v>
          </cell>
          <cell r="J257">
            <v>104</v>
          </cell>
          <cell r="K257">
            <v>30</v>
          </cell>
          <cell r="L257">
            <v>1400</v>
          </cell>
          <cell r="M257">
            <v>1</v>
          </cell>
          <cell r="N257">
            <v>1</v>
          </cell>
          <cell r="O257">
            <v>1</v>
          </cell>
          <cell r="P257">
            <v>1</v>
          </cell>
          <cell r="Q257">
            <v>1</v>
          </cell>
          <cell r="R257">
            <v>3</v>
          </cell>
          <cell r="S257" t="str">
            <v>none</v>
          </cell>
          <cell r="T257">
            <v>0</v>
          </cell>
          <cell r="U257" t="str">
            <v>NULL</v>
          </cell>
          <cell r="V257" t="str">
            <v>NULL</v>
          </cell>
          <cell r="W257" t="str">
            <v/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 t="str">
            <v>anytime</v>
          </cell>
          <cell r="AC257">
            <v>102</v>
          </cell>
          <cell r="AD257">
            <v>6</v>
          </cell>
          <cell r="AE257" t="str">
            <v>everyone</v>
          </cell>
        </row>
        <row r="258">
          <cell r="A258" t="str">
            <v>11105_2</v>
          </cell>
          <cell r="B258">
            <v>3</v>
          </cell>
          <cell r="C258">
            <v>11105</v>
          </cell>
          <cell r="D258" t="str">
            <v>【期間限定】 帽子屋を追え！</v>
          </cell>
          <cell r="E258" t="str">
            <v>金曜クエスト</v>
          </cell>
          <cell r="F258">
            <v>2</v>
          </cell>
          <cell r="G258" t="str">
            <v>ja</v>
          </cell>
          <cell r="H258" t="str">
            <v>【超級】樹の帽子屋</v>
          </cell>
          <cell r="I258" t="str">
            <v>緑R5</v>
          </cell>
          <cell r="J258">
            <v>108</v>
          </cell>
          <cell r="K258">
            <v>30</v>
          </cell>
          <cell r="L258">
            <v>1400</v>
          </cell>
          <cell r="M258">
            <v>1</v>
          </cell>
          <cell r="N258">
            <v>1</v>
          </cell>
          <cell r="O258">
            <v>1</v>
          </cell>
          <cell r="P258">
            <v>1</v>
          </cell>
          <cell r="Q258">
            <v>1</v>
          </cell>
          <cell r="R258">
            <v>3</v>
          </cell>
          <cell r="S258" t="str">
            <v>none</v>
          </cell>
          <cell r="T258">
            <v>0</v>
          </cell>
          <cell r="U258" t="str">
            <v>NULL</v>
          </cell>
          <cell r="V258" t="str">
            <v>NULL</v>
          </cell>
          <cell r="W258" t="str">
            <v/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 t="str">
            <v>anytime</v>
          </cell>
          <cell r="AC258">
            <v>104</v>
          </cell>
          <cell r="AD258">
            <v>6</v>
          </cell>
          <cell r="AE258" t="str">
            <v>everyone</v>
          </cell>
        </row>
        <row r="259">
          <cell r="A259" t="str">
            <v>11105_3</v>
          </cell>
          <cell r="B259">
            <v>3</v>
          </cell>
          <cell r="C259">
            <v>11105</v>
          </cell>
          <cell r="D259" t="str">
            <v>【期間限定】 帽子屋を追え！</v>
          </cell>
          <cell r="E259" t="str">
            <v>金曜クエスト</v>
          </cell>
          <cell r="F259">
            <v>3</v>
          </cell>
          <cell r="G259" t="str">
            <v>ja</v>
          </cell>
          <cell r="H259" t="str">
            <v xml:space="preserve">【超級】水の帽子屋 </v>
          </cell>
          <cell r="I259" t="str">
            <v>青R5</v>
          </cell>
          <cell r="J259">
            <v>112</v>
          </cell>
          <cell r="K259">
            <v>30</v>
          </cell>
          <cell r="L259">
            <v>1400</v>
          </cell>
          <cell r="M259">
            <v>1</v>
          </cell>
          <cell r="N259">
            <v>1</v>
          </cell>
          <cell r="O259">
            <v>1</v>
          </cell>
          <cell r="P259">
            <v>1</v>
          </cell>
          <cell r="Q259">
            <v>1</v>
          </cell>
          <cell r="R259">
            <v>3</v>
          </cell>
          <cell r="S259" t="str">
            <v>none</v>
          </cell>
          <cell r="T259">
            <v>0</v>
          </cell>
          <cell r="U259" t="str">
            <v>NULL</v>
          </cell>
          <cell r="V259" t="str">
            <v>NULL</v>
          </cell>
          <cell r="W259" t="str">
            <v/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 t="str">
            <v>anytime</v>
          </cell>
          <cell r="AC259">
            <v>103</v>
          </cell>
          <cell r="AD259">
            <v>6</v>
          </cell>
          <cell r="AE259" t="str">
            <v>everyone</v>
          </cell>
        </row>
        <row r="260">
          <cell r="A260" t="str">
            <v>11105_4</v>
          </cell>
          <cell r="B260">
            <v>3</v>
          </cell>
          <cell r="C260">
            <v>11105</v>
          </cell>
          <cell r="D260" t="str">
            <v>【期間限定】 帽子屋を追え！</v>
          </cell>
          <cell r="E260" t="str">
            <v>金曜クエスト</v>
          </cell>
          <cell r="F260">
            <v>4</v>
          </cell>
          <cell r="G260" t="str">
            <v>ja</v>
          </cell>
          <cell r="H260" t="str">
            <v xml:space="preserve">【超級】雷の帽子屋 </v>
          </cell>
          <cell r="I260" t="str">
            <v>黄R5</v>
          </cell>
          <cell r="J260">
            <v>116</v>
          </cell>
          <cell r="K260">
            <v>30</v>
          </cell>
          <cell r="L260">
            <v>1400</v>
          </cell>
          <cell r="M260">
            <v>1</v>
          </cell>
          <cell r="N260">
            <v>1</v>
          </cell>
          <cell r="O260">
            <v>1</v>
          </cell>
          <cell r="P260">
            <v>1</v>
          </cell>
          <cell r="Q260">
            <v>1</v>
          </cell>
          <cell r="R260">
            <v>3</v>
          </cell>
          <cell r="S260" t="str">
            <v>none</v>
          </cell>
          <cell r="T260">
            <v>0</v>
          </cell>
          <cell r="U260" t="str">
            <v>NULL</v>
          </cell>
          <cell r="V260" t="str">
            <v>NULL</v>
          </cell>
          <cell r="W260" t="str">
            <v/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 t="str">
            <v>anytime</v>
          </cell>
          <cell r="AC260">
            <v>101</v>
          </cell>
          <cell r="AD260">
            <v>6</v>
          </cell>
          <cell r="AE260" t="str">
            <v>everyone</v>
          </cell>
        </row>
        <row r="261">
          <cell r="A261" t="str">
            <v>11106_1</v>
          </cell>
          <cell r="B261">
            <v>0</v>
          </cell>
          <cell r="C261">
            <v>11106</v>
          </cell>
          <cell r="D261" t="str">
            <v>【キャンペーン限定】 ゴールドカジノ</v>
          </cell>
          <cell r="E261" t="str">
            <v>土日クエスト1</v>
          </cell>
          <cell r="F261">
            <v>1</v>
          </cell>
          <cell r="G261" t="str">
            <v>ja</v>
          </cell>
          <cell r="H261" t="str">
            <v xml:space="preserve">【初級】ゴールドカジノ </v>
          </cell>
          <cell r="I261" t="str">
            <v>初級</v>
          </cell>
          <cell r="J261">
            <v>117</v>
          </cell>
          <cell r="K261">
            <v>8</v>
          </cell>
          <cell r="L261">
            <v>140</v>
          </cell>
          <cell r="M261">
            <v>1</v>
          </cell>
          <cell r="N261">
            <v>1</v>
          </cell>
          <cell r="O261">
            <v>1</v>
          </cell>
          <cell r="P261">
            <v>1</v>
          </cell>
          <cell r="Q261">
            <v>1</v>
          </cell>
          <cell r="R261">
            <v>3</v>
          </cell>
          <cell r="S261" t="str">
            <v>none</v>
          </cell>
          <cell r="T261">
            <v>0</v>
          </cell>
          <cell r="U261" t="str">
            <v>NULL</v>
          </cell>
          <cell r="V261" t="str">
            <v>NULL</v>
          </cell>
          <cell r="W261" t="str">
            <v/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 t="str">
            <v>anytime</v>
          </cell>
          <cell r="AC261">
            <v>105</v>
          </cell>
          <cell r="AD261">
            <v>6</v>
          </cell>
          <cell r="AE261" t="str">
            <v>everyone</v>
          </cell>
        </row>
        <row r="262">
          <cell r="A262" t="str">
            <v>11106_2</v>
          </cell>
          <cell r="B262">
            <v>0</v>
          </cell>
          <cell r="C262">
            <v>11106</v>
          </cell>
          <cell r="D262" t="str">
            <v>【キャンペーン限定】 ゴールドカジノ</v>
          </cell>
          <cell r="E262" t="str">
            <v>土日クエスト1</v>
          </cell>
          <cell r="F262">
            <v>2</v>
          </cell>
          <cell r="G262" t="str">
            <v>ja</v>
          </cell>
          <cell r="H262" t="str">
            <v xml:space="preserve">【中級】ゴールドカジノ </v>
          </cell>
          <cell r="I262" t="str">
            <v>中級</v>
          </cell>
          <cell r="J262">
            <v>118</v>
          </cell>
          <cell r="K262">
            <v>15</v>
          </cell>
          <cell r="L262">
            <v>350</v>
          </cell>
          <cell r="M262">
            <v>1</v>
          </cell>
          <cell r="N262">
            <v>1</v>
          </cell>
          <cell r="O262">
            <v>1</v>
          </cell>
          <cell r="P262">
            <v>1</v>
          </cell>
          <cell r="Q262">
            <v>1</v>
          </cell>
          <cell r="R262">
            <v>3</v>
          </cell>
          <cell r="S262" t="str">
            <v>none</v>
          </cell>
          <cell r="T262">
            <v>0</v>
          </cell>
          <cell r="U262" t="str">
            <v>NULL</v>
          </cell>
          <cell r="V262" t="str">
            <v>NULL</v>
          </cell>
          <cell r="W262" t="str">
            <v/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 t="str">
            <v>anytime</v>
          </cell>
          <cell r="AC262">
            <v>105</v>
          </cell>
          <cell r="AD262">
            <v>6</v>
          </cell>
          <cell r="AE262" t="str">
            <v>everyone</v>
          </cell>
        </row>
        <row r="263">
          <cell r="A263" t="str">
            <v>11106_3</v>
          </cell>
          <cell r="B263">
            <v>0</v>
          </cell>
          <cell r="C263">
            <v>11106</v>
          </cell>
          <cell r="D263" t="str">
            <v>【キャンペーン限定】 ゴールドカジノ</v>
          </cell>
          <cell r="E263" t="str">
            <v>土日クエスト1</v>
          </cell>
          <cell r="F263">
            <v>3</v>
          </cell>
          <cell r="G263" t="str">
            <v>ja</v>
          </cell>
          <cell r="H263" t="str">
            <v xml:space="preserve">【上級】ゴールドカジノ </v>
          </cell>
          <cell r="I263" t="str">
            <v>上級</v>
          </cell>
          <cell r="J263">
            <v>119</v>
          </cell>
          <cell r="K263">
            <v>20</v>
          </cell>
          <cell r="L263">
            <v>860</v>
          </cell>
          <cell r="M263">
            <v>1</v>
          </cell>
          <cell r="N263">
            <v>1</v>
          </cell>
          <cell r="O263">
            <v>1</v>
          </cell>
          <cell r="P263">
            <v>1</v>
          </cell>
          <cell r="Q263">
            <v>1</v>
          </cell>
          <cell r="R263">
            <v>3</v>
          </cell>
          <cell r="S263" t="str">
            <v>none</v>
          </cell>
          <cell r="T263">
            <v>0</v>
          </cell>
          <cell r="U263" t="str">
            <v>NULL</v>
          </cell>
          <cell r="V263" t="str">
            <v>NULL</v>
          </cell>
          <cell r="W263" t="str">
            <v/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 t="str">
            <v>anytime</v>
          </cell>
          <cell r="AC263">
            <v>105</v>
          </cell>
          <cell r="AD263">
            <v>6</v>
          </cell>
          <cell r="AE263" t="str">
            <v>everyone</v>
          </cell>
        </row>
        <row r="264">
          <cell r="A264" t="str">
            <v>11206_1</v>
          </cell>
          <cell r="B264">
            <v>0</v>
          </cell>
          <cell r="C264">
            <v>11206</v>
          </cell>
          <cell r="D264" t="str">
            <v>【キャンペーン限定】 ゴールドカジノ</v>
          </cell>
          <cell r="E264" t="str">
            <v>土日クエスト2</v>
          </cell>
          <cell r="F264">
            <v>1</v>
          </cell>
          <cell r="G264" t="str">
            <v>ja</v>
          </cell>
          <cell r="H264" t="str">
            <v>【初級】ゴールドカジノ</v>
          </cell>
          <cell r="I264" t="str">
            <v>初級</v>
          </cell>
          <cell r="J264">
            <v>117</v>
          </cell>
          <cell r="K264">
            <v>8</v>
          </cell>
          <cell r="L264">
            <v>140</v>
          </cell>
          <cell r="M264">
            <v>1</v>
          </cell>
          <cell r="N264">
            <v>1</v>
          </cell>
          <cell r="O264">
            <v>1</v>
          </cell>
          <cell r="P264">
            <v>1</v>
          </cell>
          <cell r="Q264">
            <v>1</v>
          </cell>
          <cell r="R264">
            <v>3</v>
          </cell>
          <cell r="S264" t="str">
            <v>none</v>
          </cell>
          <cell r="T264">
            <v>0</v>
          </cell>
          <cell r="U264" t="str">
            <v>NULL</v>
          </cell>
          <cell r="V264" t="str">
            <v>NULL</v>
          </cell>
          <cell r="W264" t="str">
            <v/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 t="str">
            <v>anytime</v>
          </cell>
          <cell r="AC264">
            <v>105</v>
          </cell>
          <cell r="AD264">
            <v>6</v>
          </cell>
          <cell r="AE264" t="str">
            <v>everyone</v>
          </cell>
        </row>
        <row r="265">
          <cell r="A265" t="str">
            <v>11206_2</v>
          </cell>
          <cell r="B265">
            <v>0</v>
          </cell>
          <cell r="C265">
            <v>11206</v>
          </cell>
          <cell r="D265" t="str">
            <v>【キャンペーン限定】 ゴールドカジノ</v>
          </cell>
          <cell r="E265" t="str">
            <v>土日クエスト2</v>
          </cell>
          <cell r="F265">
            <v>2</v>
          </cell>
          <cell r="G265" t="str">
            <v>ja</v>
          </cell>
          <cell r="H265" t="str">
            <v xml:space="preserve">【中級】ゴールドカジノ </v>
          </cell>
          <cell r="I265" t="str">
            <v>中級</v>
          </cell>
          <cell r="J265">
            <v>118</v>
          </cell>
          <cell r="K265">
            <v>15</v>
          </cell>
          <cell r="L265">
            <v>350</v>
          </cell>
          <cell r="M265">
            <v>1</v>
          </cell>
          <cell r="N265">
            <v>1</v>
          </cell>
          <cell r="O265">
            <v>1</v>
          </cell>
          <cell r="P265">
            <v>1</v>
          </cell>
          <cell r="Q265">
            <v>1</v>
          </cell>
          <cell r="R265">
            <v>3</v>
          </cell>
          <cell r="S265" t="str">
            <v>none</v>
          </cell>
          <cell r="T265">
            <v>0</v>
          </cell>
          <cell r="U265" t="str">
            <v>NULL</v>
          </cell>
          <cell r="V265" t="str">
            <v>NULL</v>
          </cell>
          <cell r="W265" t="str">
            <v/>
          </cell>
          <cell r="X265">
            <v>0</v>
          </cell>
          <cell r="Y265">
            <v>0</v>
          </cell>
          <cell r="Z265">
            <v>0</v>
          </cell>
          <cell r="AA265">
            <v>0</v>
          </cell>
          <cell r="AB265" t="str">
            <v>anytime</v>
          </cell>
          <cell r="AC265">
            <v>105</v>
          </cell>
          <cell r="AD265">
            <v>6</v>
          </cell>
          <cell r="AE265" t="str">
            <v>everyone</v>
          </cell>
        </row>
        <row r="266">
          <cell r="A266" t="str">
            <v>11206_3</v>
          </cell>
          <cell r="B266">
            <v>0</v>
          </cell>
          <cell r="C266">
            <v>11206</v>
          </cell>
          <cell r="D266" t="str">
            <v>【キャンペーン限定】 ゴールドカジノ</v>
          </cell>
          <cell r="E266" t="str">
            <v>土日クエスト2</v>
          </cell>
          <cell r="F266">
            <v>3</v>
          </cell>
          <cell r="G266" t="str">
            <v>ja</v>
          </cell>
          <cell r="H266" t="str">
            <v xml:space="preserve">【上級】ゴールドカジノ </v>
          </cell>
          <cell r="I266" t="str">
            <v>上級</v>
          </cell>
          <cell r="J266">
            <v>119</v>
          </cell>
          <cell r="K266">
            <v>20</v>
          </cell>
          <cell r="L266">
            <v>860</v>
          </cell>
          <cell r="M266">
            <v>1</v>
          </cell>
          <cell r="N266">
            <v>1</v>
          </cell>
          <cell r="O266">
            <v>1</v>
          </cell>
          <cell r="P266">
            <v>1</v>
          </cell>
          <cell r="Q266">
            <v>1</v>
          </cell>
          <cell r="R266">
            <v>3</v>
          </cell>
          <cell r="S266" t="str">
            <v>none</v>
          </cell>
          <cell r="T266">
            <v>0</v>
          </cell>
          <cell r="U266" t="str">
            <v>NULL</v>
          </cell>
          <cell r="V266" t="str">
            <v>NULL</v>
          </cell>
          <cell r="W266" t="str">
            <v/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 t="str">
            <v>anytime</v>
          </cell>
          <cell r="AC266">
            <v>105</v>
          </cell>
          <cell r="AD266">
            <v>6</v>
          </cell>
          <cell r="AE266" t="str">
            <v>everyone</v>
          </cell>
        </row>
        <row r="267">
          <cell r="A267" t="str">
            <v>11207_1</v>
          </cell>
          <cell r="B267">
            <v>3</v>
          </cell>
          <cell r="C267">
            <v>11207</v>
          </cell>
          <cell r="D267" t="str">
            <v>果実達の大宴会</v>
          </cell>
          <cell r="E267">
            <v>0</v>
          </cell>
          <cell r="F267">
            <v>1</v>
          </cell>
          <cell r="G267" t="str">
            <v>ja</v>
          </cell>
          <cell r="H267" t="str">
            <v>【上級】果実達の大宴会</v>
          </cell>
          <cell r="I267" t="str">
            <v>ボーナス</v>
          </cell>
          <cell r="J267" t="str">
            <v>NULL</v>
          </cell>
          <cell r="K267">
            <v>20</v>
          </cell>
          <cell r="L267">
            <v>525</v>
          </cell>
          <cell r="M267">
            <v>1</v>
          </cell>
          <cell r="N267">
            <v>1</v>
          </cell>
          <cell r="O267">
            <v>1</v>
          </cell>
          <cell r="P267">
            <v>1</v>
          </cell>
          <cell r="Q267">
            <v>0</v>
          </cell>
          <cell r="R267">
            <v>3</v>
          </cell>
          <cell r="S267" t="str">
            <v>none</v>
          </cell>
          <cell r="T267">
            <v>0</v>
          </cell>
          <cell r="U267" t="str">
            <v>NULL</v>
          </cell>
          <cell r="V267" t="str">
            <v>NULL</v>
          </cell>
          <cell r="W267" t="str">
            <v/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 t="str">
            <v>anytime</v>
          </cell>
          <cell r="AC267">
            <v>21</v>
          </cell>
          <cell r="AD267">
            <v>6</v>
          </cell>
          <cell r="AE267" t="str">
            <v>singleonly</v>
          </cell>
        </row>
        <row r="268">
          <cell r="A268" t="str">
            <v>11207_2</v>
          </cell>
          <cell r="B268">
            <v>3</v>
          </cell>
          <cell r="C268">
            <v>11207</v>
          </cell>
          <cell r="D268" t="str">
            <v>果実達の大宴会</v>
          </cell>
          <cell r="E268">
            <v>0</v>
          </cell>
          <cell r="F268">
            <v>2</v>
          </cell>
          <cell r="G268" t="str">
            <v>ja</v>
          </cell>
          <cell r="H268" t="str">
            <v>【超級】果実達の大宴会</v>
          </cell>
          <cell r="I268" t="str">
            <v>ボーナス</v>
          </cell>
          <cell r="J268">
            <v>610</v>
          </cell>
          <cell r="K268">
            <v>30</v>
          </cell>
          <cell r="L268">
            <v>860</v>
          </cell>
          <cell r="M268">
            <v>1</v>
          </cell>
          <cell r="N268">
            <v>1</v>
          </cell>
          <cell r="O268">
            <v>1</v>
          </cell>
          <cell r="P268">
            <v>1</v>
          </cell>
          <cell r="Q268">
            <v>0</v>
          </cell>
          <cell r="R268">
            <v>3</v>
          </cell>
          <cell r="S268" t="str">
            <v>none</v>
          </cell>
          <cell r="T268">
            <v>0</v>
          </cell>
          <cell r="U268" t="str">
            <v>NULL</v>
          </cell>
          <cell r="V268" t="str">
            <v>NULL</v>
          </cell>
          <cell r="W268" t="str">
            <v/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 t="str">
            <v>anytime</v>
          </cell>
          <cell r="AC268">
            <v>21</v>
          </cell>
          <cell r="AD268">
            <v>6</v>
          </cell>
          <cell r="AE268" t="str">
            <v>singleonly</v>
          </cell>
        </row>
        <row r="269">
          <cell r="A269" t="str">
            <v>11208_1</v>
          </cell>
          <cell r="B269">
            <v>0</v>
          </cell>
          <cell r="C269">
            <v>11208</v>
          </cell>
          <cell r="D269" t="str">
            <v>果実達の大宴会</v>
          </cell>
          <cell r="E269">
            <v>0</v>
          </cell>
          <cell r="F269">
            <v>1</v>
          </cell>
          <cell r="G269" t="str">
            <v>ja</v>
          </cell>
          <cell r="H269" t="str">
            <v>【上級】果実達の大宴会</v>
          </cell>
          <cell r="I269" t="str">
            <v>ボーナス</v>
          </cell>
          <cell r="J269" t="str">
            <v>NULL</v>
          </cell>
          <cell r="K269">
            <v>20</v>
          </cell>
          <cell r="L269">
            <v>525</v>
          </cell>
          <cell r="M269">
            <v>1</v>
          </cell>
          <cell r="N269">
            <v>1</v>
          </cell>
          <cell r="O269">
            <v>1</v>
          </cell>
          <cell r="P269">
            <v>1</v>
          </cell>
          <cell r="Q269">
            <v>1</v>
          </cell>
          <cell r="R269">
            <v>3</v>
          </cell>
          <cell r="S269" t="str">
            <v>none</v>
          </cell>
          <cell r="T269">
            <v>0</v>
          </cell>
          <cell r="U269" t="str">
            <v>NULL</v>
          </cell>
          <cell r="V269" t="str">
            <v>NULL</v>
          </cell>
          <cell r="W269" t="str">
            <v/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 t="str">
            <v>anytime</v>
          </cell>
          <cell r="AC269">
            <v>21</v>
          </cell>
          <cell r="AD269">
            <v>6</v>
          </cell>
          <cell r="AE269" t="str">
            <v>singleonly</v>
          </cell>
        </row>
        <row r="270">
          <cell r="A270" t="str">
            <v>11208_2</v>
          </cell>
          <cell r="B270">
            <v>0</v>
          </cell>
          <cell r="C270">
            <v>11208</v>
          </cell>
          <cell r="D270" t="str">
            <v>果実達の大宴会</v>
          </cell>
          <cell r="E270">
            <v>0</v>
          </cell>
          <cell r="F270">
            <v>2</v>
          </cell>
          <cell r="G270" t="str">
            <v>ja</v>
          </cell>
          <cell r="H270" t="str">
            <v>【超級】果実達の大宴会</v>
          </cell>
          <cell r="I270" t="str">
            <v>ボーナス</v>
          </cell>
          <cell r="J270">
            <v>125</v>
          </cell>
          <cell r="K270">
            <v>40</v>
          </cell>
          <cell r="L270">
            <v>860</v>
          </cell>
          <cell r="M270">
            <v>1</v>
          </cell>
          <cell r="N270">
            <v>1</v>
          </cell>
          <cell r="O270">
            <v>1</v>
          </cell>
          <cell r="P270">
            <v>1</v>
          </cell>
          <cell r="Q270">
            <v>1</v>
          </cell>
          <cell r="R270">
            <v>3</v>
          </cell>
          <cell r="S270" t="str">
            <v>none</v>
          </cell>
          <cell r="T270">
            <v>0</v>
          </cell>
          <cell r="U270" t="str">
            <v>NULL</v>
          </cell>
          <cell r="V270" t="str">
            <v>NULL</v>
          </cell>
          <cell r="W270" t="str">
            <v/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 t="str">
            <v>anytime</v>
          </cell>
          <cell r="AC270">
            <v>21</v>
          </cell>
          <cell r="AD270">
            <v>6</v>
          </cell>
          <cell r="AE270" t="str">
            <v>singleonly</v>
          </cell>
        </row>
        <row r="271">
          <cell r="A271" t="str">
            <v>11209_1</v>
          </cell>
          <cell r="B271">
            <v>3</v>
          </cell>
          <cell r="C271">
            <v>11209</v>
          </cell>
          <cell r="D271" t="str">
            <v>スタートダッシュキャンペーンクエスト</v>
          </cell>
          <cell r="E271" t="str">
            <v>スタートダッシュキャンペーンクエスト</v>
          </cell>
          <cell r="F271">
            <v>1</v>
          </cell>
          <cell r="G271" t="str">
            <v>ja</v>
          </cell>
          <cell r="H271" t="str">
            <v>【初級】メタルダックを捕獲せよ！</v>
          </cell>
          <cell r="I271" t="str">
            <v>経験値ゲリラ</v>
          </cell>
          <cell r="J271">
            <v>334</v>
          </cell>
          <cell r="K271">
            <v>8</v>
          </cell>
          <cell r="L271">
            <v>140</v>
          </cell>
          <cell r="M271">
            <v>1</v>
          </cell>
          <cell r="N271">
            <v>1</v>
          </cell>
          <cell r="O271">
            <v>1</v>
          </cell>
          <cell r="P271">
            <v>1</v>
          </cell>
          <cell r="Q271">
            <v>0</v>
          </cell>
          <cell r="R271">
            <v>3</v>
          </cell>
          <cell r="S271" t="str">
            <v>none</v>
          </cell>
          <cell r="T271">
            <v>0</v>
          </cell>
          <cell r="U271" t="str">
            <v>NULL</v>
          </cell>
          <cell r="V271" t="str">
            <v>NULL</v>
          </cell>
          <cell r="W271" t="str">
            <v/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 t="str">
            <v>anytime</v>
          </cell>
          <cell r="AC271">
            <v>201</v>
          </cell>
          <cell r="AD271">
            <v>6</v>
          </cell>
          <cell r="AE271" t="str">
            <v>everyone</v>
          </cell>
        </row>
        <row r="272">
          <cell r="A272" t="str">
            <v>11209_2</v>
          </cell>
          <cell r="B272">
            <v>3</v>
          </cell>
          <cell r="C272">
            <v>11209</v>
          </cell>
          <cell r="D272" t="str">
            <v>スタートダッシュキャンペーンクエスト</v>
          </cell>
          <cell r="E272" t="str">
            <v>スタートダッシュキャンペーンクエスト</v>
          </cell>
          <cell r="F272">
            <v>2</v>
          </cell>
          <cell r="G272" t="str">
            <v>ja</v>
          </cell>
          <cell r="H272" t="str">
            <v>【初級】ゴールドカジノ</v>
          </cell>
          <cell r="I272" t="str">
            <v>初級</v>
          </cell>
          <cell r="J272">
            <v>117</v>
          </cell>
          <cell r="K272">
            <v>8</v>
          </cell>
          <cell r="L272">
            <v>140</v>
          </cell>
          <cell r="M272">
            <v>1</v>
          </cell>
          <cell r="N272">
            <v>1</v>
          </cell>
          <cell r="O272">
            <v>1</v>
          </cell>
          <cell r="P272">
            <v>1</v>
          </cell>
          <cell r="Q272">
            <v>0</v>
          </cell>
          <cell r="R272">
            <v>3</v>
          </cell>
          <cell r="S272" t="str">
            <v>none</v>
          </cell>
          <cell r="T272">
            <v>0</v>
          </cell>
          <cell r="U272" t="str">
            <v>NULL</v>
          </cell>
          <cell r="V272" t="str">
            <v>NULL</v>
          </cell>
          <cell r="W272" t="str">
            <v/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 t="str">
            <v>anytime</v>
          </cell>
          <cell r="AC272">
            <v>105</v>
          </cell>
          <cell r="AD272">
            <v>6</v>
          </cell>
          <cell r="AE272" t="str">
            <v>everyone</v>
          </cell>
        </row>
        <row r="273">
          <cell r="A273" t="str">
            <v>11212_1</v>
          </cell>
          <cell r="B273">
            <v>1</v>
          </cell>
          <cell r="C273">
            <v>11212</v>
          </cell>
          <cell r="D273" t="str">
            <v>100万DL記念★特別クエスト</v>
          </cell>
          <cell r="E273" t="str">
            <v>100万DL記念★特別クエスト</v>
          </cell>
          <cell r="F273">
            <v>1</v>
          </cell>
          <cell r="G273" t="str">
            <v>ja</v>
          </cell>
          <cell r="H273" t="str">
            <v>ミリオンダックより愛をこめて</v>
          </cell>
          <cell r="I273" t="str">
            <v>100万DL記念限定クエスト</v>
          </cell>
          <cell r="J273">
            <v>97</v>
          </cell>
          <cell r="K273">
            <v>1</v>
          </cell>
          <cell r="L273">
            <v>100</v>
          </cell>
          <cell r="M273">
            <v>1</v>
          </cell>
          <cell r="N273">
            <v>1</v>
          </cell>
          <cell r="O273">
            <v>1</v>
          </cell>
          <cell r="P273">
            <v>1</v>
          </cell>
          <cell r="Q273">
            <v>1</v>
          </cell>
          <cell r="R273">
            <v>3</v>
          </cell>
          <cell r="S273" t="str">
            <v>none</v>
          </cell>
          <cell r="T273">
            <v>0</v>
          </cell>
          <cell r="U273" t="str">
            <v>NULL</v>
          </cell>
          <cell r="V273" t="str">
            <v>NULL</v>
          </cell>
          <cell r="W273" t="str">
            <v/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 t="str">
            <v>once</v>
          </cell>
          <cell r="AC273">
            <v>1</v>
          </cell>
          <cell r="AD273">
            <v>6</v>
          </cell>
          <cell r="AE273" t="str">
            <v>singleonly</v>
          </cell>
        </row>
        <row r="274">
          <cell r="A274" t="str">
            <v>11213_1</v>
          </cell>
          <cell r="B274">
            <v>0</v>
          </cell>
          <cell r="C274">
            <v>11213</v>
          </cell>
          <cell r="D274" t="str">
            <v>クエスト名</v>
          </cell>
          <cell r="E274" t="str">
            <v>【超級】カジノ</v>
          </cell>
          <cell r="F274">
            <v>1</v>
          </cell>
          <cell r="G274" t="str">
            <v>ja</v>
          </cell>
          <cell r="H274" t="str">
            <v xml:space="preserve">【超級】ゴールドカジノ </v>
          </cell>
          <cell r="I274" t="str">
            <v>超級カジノ</v>
          </cell>
          <cell r="J274">
            <v>119</v>
          </cell>
          <cell r="K274">
            <v>30</v>
          </cell>
          <cell r="L274">
            <v>777</v>
          </cell>
          <cell r="M274">
            <v>1</v>
          </cell>
          <cell r="N274">
            <v>1</v>
          </cell>
          <cell r="O274">
            <v>1</v>
          </cell>
          <cell r="P274">
            <v>1</v>
          </cell>
          <cell r="Q274">
            <v>1</v>
          </cell>
          <cell r="R274">
            <v>3</v>
          </cell>
          <cell r="S274" t="str">
            <v>none</v>
          </cell>
          <cell r="T274">
            <v>0</v>
          </cell>
          <cell r="U274" t="str">
            <v>NULL</v>
          </cell>
          <cell r="V274" t="str">
            <v>NULL</v>
          </cell>
          <cell r="W274" t="str">
            <v/>
          </cell>
          <cell r="X274">
            <v>0</v>
          </cell>
          <cell r="Y274">
            <v>0</v>
          </cell>
          <cell r="Z274">
            <v>0</v>
          </cell>
          <cell r="AA274">
            <v>0</v>
          </cell>
          <cell r="AB274" t="str">
            <v>anytime</v>
          </cell>
          <cell r="AC274">
            <v>105</v>
          </cell>
          <cell r="AD274">
            <v>6</v>
          </cell>
          <cell r="AE274" t="str">
            <v>everyone</v>
          </cell>
        </row>
        <row r="275">
          <cell r="A275" t="str">
            <v>11214_1</v>
          </cell>
          <cell r="B275">
            <v>0</v>
          </cell>
          <cell r="C275">
            <v>11214</v>
          </cell>
          <cell r="D275" t="str">
            <v>プロメテウスの恋</v>
          </cell>
          <cell r="E275" t="str">
            <v>2015年クリスマスクエスト</v>
          </cell>
          <cell r="F275">
            <v>1</v>
          </cell>
          <cell r="G275" t="str">
            <v>ja</v>
          </cell>
          <cell r="H275" t="str">
            <v>【ストーリー前編】勢いまかせ</v>
          </cell>
          <cell r="I275" t="str">
            <v>2015年クリスマスクエスト</v>
          </cell>
          <cell r="J275">
            <v>202</v>
          </cell>
          <cell r="K275">
            <v>1</v>
          </cell>
          <cell r="L275">
            <v>1</v>
          </cell>
          <cell r="M275">
            <v>1</v>
          </cell>
          <cell r="N275">
            <v>1</v>
          </cell>
          <cell r="O275">
            <v>1</v>
          </cell>
          <cell r="P275">
            <v>1</v>
          </cell>
          <cell r="Q275">
            <v>1</v>
          </cell>
          <cell r="R275">
            <v>3</v>
          </cell>
          <cell r="S275" t="str">
            <v>character</v>
          </cell>
          <cell r="T275" t="str">
            <v>520,521,522,523</v>
          </cell>
          <cell r="U275" t="str">
            <v>NULL</v>
          </cell>
          <cell r="V275" t="str">
            <v>NULL</v>
          </cell>
          <cell r="W275" t="str">
            <v/>
          </cell>
          <cell r="X275">
            <v>0</v>
          </cell>
          <cell r="Y275">
            <v>0</v>
          </cell>
          <cell r="Z275">
            <v>0</v>
          </cell>
          <cell r="AA275">
            <v>0</v>
          </cell>
          <cell r="AB275" t="str">
            <v>anytime</v>
          </cell>
          <cell r="AC275">
            <v>1</v>
          </cell>
          <cell r="AD275">
            <v>6</v>
          </cell>
          <cell r="AE275" t="str">
            <v>singleonly</v>
          </cell>
        </row>
        <row r="276">
          <cell r="A276" t="str">
            <v>11214_2</v>
          </cell>
          <cell r="B276">
            <v>0</v>
          </cell>
          <cell r="C276">
            <v>11214</v>
          </cell>
          <cell r="D276" t="str">
            <v>プロメテウスの恋</v>
          </cell>
          <cell r="E276" t="str">
            <v>2015年クリスマスクエスト</v>
          </cell>
          <cell r="F276">
            <v>2</v>
          </cell>
          <cell r="G276" t="str">
            <v>ja</v>
          </cell>
          <cell r="H276" t="str">
            <v>【ストーリー中編】恋の奥義</v>
          </cell>
          <cell r="I276" t="str">
            <v>幻と化したボツステージ</v>
          </cell>
          <cell r="J276">
            <v>202</v>
          </cell>
          <cell r="K276">
            <v>1</v>
          </cell>
          <cell r="L276">
            <v>1</v>
          </cell>
          <cell r="M276">
            <v>1</v>
          </cell>
          <cell r="N276">
            <v>1</v>
          </cell>
          <cell r="O276">
            <v>1</v>
          </cell>
          <cell r="P276">
            <v>1</v>
          </cell>
          <cell r="Q276">
            <v>1</v>
          </cell>
          <cell r="R276">
            <v>3</v>
          </cell>
          <cell r="S276" t="str">
            <v>none</v>
          </cell>
          <cell r="T276">
            <v>0</v>
          </cell>
          <cell r="U276">
            <v>11214</v>
          </cell>
          <cell r="V276">
            <v>1</v>
          </cell>
          <cell r="W276" t="str">
            <v>【ストーリー前編】勢いまかせ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 t="str">
            <v>anytime</v>
          </cell>
          <cell r="AC276">
            <v>105</v>
          </cell>
          <cell r="AD276">
            <v>6</v>
          </cell>
          <cell r="AE276" t="str">
            <v>singleonly</v>
          </cell>
        </row>
        <row r="277">
          <cell r="A277" t="str">
            <v>11214_3</v>
          </cell>
          <cell r="B277">
            <v>0</v>
          </cell>
          <cell r="C277">
            <v>11214</v>
          </cell>
          <cell r="D277" t="str">
            <v>プロメテウスの恋</v>
          </cell>
          <cell r="E277" t="str">
            <v>2015年クリスマスクエスト</v>
          </cell>
          <cell r="F277">
            <v>3</v>
          </cell>
          <cell r="G277" t="str">
            <v>ja</v>
          </cell>
          <cell r="H277" t="str">
            <v>【ストーリー後編】フィーバーの力</v>
          </cell>
          <cell r="I277" t="str">
            <v>2015年クリスマスクエスト</v>
          </cell>
          <cell r="J277">
            <v>202</v>
          </cell>
          <cell r="K277">
            <v>1</v>
          </cell>
          <cell r="L277">
            <v>2</v>
          </cell>
          <cell r="M277">
            <v>1</v>
          </cell>
          <cell r="N277">
            <v>1</v>
          </cell>
          <cell r="O277">
            <v>1</v>
          </cell>
          <cell r="P277">
            <v>1</v>
          </cell>
          <cell r="Q277">
            <v>1</v>
          </cell>
          <cell r="R277">
            <v>3</v>
          </cell>
          <cell r="S277" t="str">
            <v>character</v>
          </cell>
          <cell r="T277" t="str">
            <v>520,521,522,523</v>
          </cell>
          <cell r="U277">
            <v>11214</v>
          </cell>
          <cell r="V277">
            <v>1</v>
          </cell>
          <cell r="W277" t="str">
            <v>【ストーリー前編】勢いまかせ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 t="str">
            <v>anytime</v>
          </cell>
          <cell r="AC277">
            <v>105</v>
          </cell>
          <cell r="AD277">
            <v>6</v>
          </cell>
          <cell r="AE277" t="str">
            <v>singleonly</v>
          </cell>
        </row>
        <row r="278">
          <cell r="A278" t="str">
            <v>11215_1</v>
          </cell>
          <cell r="B278">
            <v>0</v>
          </cell>
          <cell r="C278">
            <v>11215</v>
          </cell>
          <cell r="D278" t="str">
            <v>【マルチ】サンタダックを捕獲せよ！</v>
          </cell>
          <cell r="E278" t="str">
            <v>2015年クリスマスゲリラクエスト</v>
          </cell>
          <cell r="F278">
            <v>1</v>
          </cell>
          <cell r="G278" t="str">
            <v>ja</v>
          </cell>
          <cell r="H278" t="str">
            <v>【上級】サンタダックを捕獲せよ！</v>
          </cell>
          <cell r="I278" t="str">
            <v>2015年クリスマスゲリラクエスト</v>
          </cell>
          <cell r="J278">
            <v>520</v>
          </cell>
          <cell r="K278">
            <v>10</v>
          </cell>
          <cell r="L278">
            <v>350</v>
          </cell>
          <cell r="M278">
            <v>1</v>
          </cell>
          <cell r="N278">
            <v>1</v>
          </cell>
          <cell r="O278">
            <v>1</v>
          </cell>
          <cell r="P278">
            <v>1</v>
          </cell>
          <cell r="Q278">
            <v>1</v>
          </cell>
          <cell r="R278">
            <v>3</v>
          </cell>
          <cell r="S278" t="str">
            <v>none</v>
          </cell>
          <cell r="T278">
            <v>0</v>
          </cell>
          <cell r="U278" t="str">
            <v>NULL</v>
          </cell>
          <cell r="V278" t="str">
            <v>NULL</v>
          </cell>
          <cell r="W278" t="str">
            <v/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 t="str">
            <v>anytime</v>
          </cell>
          <cell r="AC278">
            <v>105</v>
          </cell>
          <cell r="AD278">
            <v>6</v>
          </cell>
          <cell r="AE278" t="str">
            <v>multionly</v>
          </cell>
        </row>
        <row r="279">
          <cell r="A279" t="str">
            <v>11216_1</v>
          </cell>
          <cell r="B279">
            <v>0</v>
          </cell>
          <cell r="C279">
            <v>11216</v>
          </cell>
          <cell r="D279" t="str">
            <v>年越し★特別クエスト</v>
          </cell>
          <cell r="E279" t="str">
            <v>2015年年越しクエスト</v>
          </cell>
          <cell r="F279">
            <v>1</v>
          </cell>
          <cell r="G279" t="str">
            <v>ja</v>
          </cell>
          <cell r="H279" t="str">
            <v>【上級】年を越える宴（ハートなし）</v>
          </cell>
          <cell r="I279" t="str">
            <v>2015年年忘れクエスト</v>
          </cell>
          <cell r="J279">
            <v>377</v>
          </cell>
          <cell r="K279">
            <v>10</v>
          </cell>
          <cell r="L279">
            <v>350</v>
          </cell>
          <cell r="M279">
            <v>1</v>
          </cell>
          <cell r="N279">
            <v>1</v>
          </cell>
          <cell r="O279">
            <v>1</v>
          </cell>
          <cell r="P279">
            <v>1</v>
          </cell>
          <cell r="Q279">
            <v>0</v>
          </cell>
          <cell r="R279">
            <v>3</v>
          </cell>
          <cell r="S279" t="str">
            <v>none</v>
          </cell>
          <cell r="T279">
            <v>0</v>
          </cell>
          <cell r="U279" t="str">
            <v>NULL</v>
          </cell>
          <cell r="V279" t="str">
            <v>NULL</v>
          </cell>
          <cell r="W279" t="str">
            <v/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 t="str">
            <v>anytime</v>
          </cell>
          <cell r="AC279">
            <v>901</v>
          </cell>
          <cell r="AD279">
            <v>6</v>
          </cell>
          <cell r="AE279" t="str">
            <v>multionly</v>
          </cell>
        </row>
        <row r="280">
          <cell r="A280" t="str">
            <v>11217_1</v>
          </cell>
          <cell r="B280">
            <v>0</v>
          </cell>
          <cell r="C280">
            <v>11217</v>
          </cell>
          <cell r="D280" t="str">
            <v>年明け★特別クエスト</v>
          </cell>
          <cell r="E280" t="str">
            <v>2016年あけおめクエスト</v>
          </cell>
          <cell r="F280">
            <v>1</v>
          </cell>
          <cell r="G280" t="str">
            <v>ja</v>
          </cell>
          <cell r="H280" t="str">
            <v>あけおめダックのお年玉</v>
          </cell>
          <cell r="I280" t="str">
            <v>2016年あけおめクエスト</v>
          </cell>
          <cell r="J280">
            <v>524</v>
          </cell>
          <cell r="K280">
            <v>1</v>
          </cell>
          <cell r="L280">
            <v>2016</v>
          </cell>
          <cell r="M280">
            <v>1</v>
          </cell>
          <cell r="N280">
            <v>1</v>
          </cell>
          <cell r="O280">
            <v>1</v>
          </cell>
          <cell r="P280">
            <v>1</v>
          </cell>
          <cell r="Q280">
            <v>0</v>
          </cell>
          <cell r="R280">
            <v>3</v>
          </cell>
          <cell r="S280" t="str">
            <v>polygon</v>
          </cell>
          <cell r="T280">
            <v>1</v>
          </cell>
          <cell r="U280" t="str">
            <v>NULL</v>
          </cell>
          <cell r="V280" t="str">
            <v>NULL</v>
          </cell>
          <cell r="W280" t="str">
            <v/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 t="str">
            <v>once</v>
          </cell>
          <cell r="AC280">
            <v>2</v>
          </cell>
          <cell r="AD280">
            <v>6</v>
          </cell>
          <cell r="AE280" t="str">
            <v>singleonly</v>
          </cell>
        </row>
        <row r="281">
          <cell r="A281" t="str">
            <v>11218_1</v>
          </cell>
          <cell r="B281">
            <v>3</v>
          </cell>
          <cell r="C281">
            <v>11218</v>
          </cell>
          <cell r="D281" t="str">
            <v>バレンタイン★特別クエスト</v>
          </cell>
          <cell r="E281" t="str">
            <v>2016年バレンタインクエスト</v>
          </cell>
          <cell r="F281">
            <v>1</v>
          </cell>
          <cell r="G281" t="str">
            <v>ja</v>
          </cell>
          <cell r="H281" t="str">
            <v>【ストーリー】バレンタイン狂想曲</v>
          </cell>
          <cell r="I281" t="str">
            <v>ストーリー</v>
          </cell>
          <cell r="J281">
            <v>572</v>
          </cell>
          <cell r="K281">
            <v>1</v>
          </cell>
          <cell r="L281">
            <v>214</v>
          </cell>
          <cell r="M281">
            <v>1</v>
          </cell>
          <cell r="N281">
            <v>1</v>
          </cell>
          <cell r="O281">
            <v>1</v>
          </cell>
          <cell r="P281">
            <v>1</v>
          </cell>
          <cell r="Q281">
            <v>1</v>
          </cell>
          <cell r="R281">
            <v>3</v>
          </cell>
          <cell r="S281" t="str">
            <v>polygon</v>
          </cell>
          <cell r="T281">
            <v>1</v>
          </cell>
          <cell r="U281" t="str">
            <v>NULL</v>
          </cell>
          <cell r="V281" t="str">
            <v>NULL</v>
          </cell>
          <cell r="W281" t="str">
            <v/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 t="str">
            <v>once</v>
          </cell>
          <cell r="AC281">
            <v>1</v>
          </cell>
          <cell r="AD281">
            <v>6</v>
          </cell>
          <cell r="AE281" t="str">
            <v>singleonly</v>
          </cell>
        </row>
        <row r="282">
          <cell r="A282" t="str">
            <v>11219_1</v>
          </cell>
          <cell r="B282">
            <v>3</v>
          </cell>
          <cell r="C282">
            <v>11219</v>
          </cell>
          <cell r="D282" t="str">
            <v>200万DL記念★特別クエスト</v>
          </cell>
          <cell r="E282" t="str">
            <v>200万DL記念★特別クエスト</v>
          </cell>
          <cell r="F282">
            <v>1</v>
          </cell>
          <cell r="G282" t="str">
            <v>ja</v>
          </cell>
          <cell r="H282" t="str">
            <v>ミリオンダックより愛を込めて 2</v>
          </cell>
          <cell r="I282" t="str">
            <v>200万DL記念限定クエスト</v>
          </cell>
          <cell r="J282">
            <v>97</v>
          </cell>
          <cell r="K282">
            <v>1</v>
          </cell>
          <cell r="L282">
            <v>200</v>
          </cell>
          <cell r="M282">
            <v>1</v>
          </cell>
          <cell r="N282">
            <v>1</v>
          </cell>
          <cell r="O282">
            <v>1</v>
          </cell>
          <cell r="P282">
            <v>1</v>
          </cell>
          <cell r="Q282">
            <v>1</v>
          </cell>
          <cell r="R282">
            <v>3</v>
          </cell>
          <cell r="S282" t="str">
            <v>polygon</v>
          </cell>
          <cell r="T282">
            <v>1</v>
          </cell>
          <cell r="U282" t="str">
            <v>NULL</v>
          </cell>
          <cell r="V282" t="str">
            <v>NULL</v>
          </cell>
          <cell r="W282" t="str">
            <v/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 t="str">
            <v>anytime</v>
          </cell>
          <cell r="AC282">
            <v>1</v>
          </cell>
          <cell r="AD282">
            <v>6</v>
          </cell>
          <cell r="AE282" t="str">
            <v>singleonly</v>
          </cell>
        </row>
        <row r="283">
          <cell r="A283" t="str">
            <v>11220_1</v>
          </cell>
          <cell r="B283">
            <v>3</v>
          </cell>
          <cell r="C283">
            <v>11220</v>
          </cell>
          <cell r="D283" t="str">
            <v>ホワイトデー★特別クエスト</v>
          </cell>
          <cell r="E283" t="str">
            <v>2016年ホワイトデークエスト</v>
          </cell>
          <cell r="F283">
            <v>1</v>
          </cell>
          <cell r="G283" t="str">
            <v>ja</v>
          </cell>
          <cell r="H283" t="str">
            <v>【ストーリー】ホワイトデー独騒曲</v>
          </cell>
          <cell r="I283" t="str">
            <v>2016年ホワイトデークエスト</v>
          </cell>
          <cell r="J283">
            <v>350</v>
          </cell>
          <cell r="K283">
            <v>1</v>
          </cell>
          <cell r="L283">
            <v>314</v>
          </cell>
          <cell r="M283">
            <v>1</v>
          </cell>
          <cell r="N283">
            <v>1</v>
          </cell>
          <cell r="O283">
            <v>1</v>
          </cell>
          <cell r="P283">
            <v>1</v>
          </cell>
          <cell r="Q283">
            <v>1</v>
          </cell>
          <cell r="R283">
            <v>3</v>
          </cell>
          <cell r="S283" t="str">
            <v>polygon</v>
          </cell>
          <cell r="T283">
            <v>1</v>
          </cell>
          <cell r="U283" t="str">
            <v>NULL</v>
          </cell>
          <cell r="V283" t="str">
            <v>NULL</v>
          </cell>
          <cell r="W283" t="str">
            <v/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 t="str">
            <v>once</v>
          </cell>
          <cell r="AC283">
            <v>1</v>
          </cell>
          <cell r="AD283">
            <v>6</v>
          </cell>
          <cell r="AE283" t="str">
            <v>singleonly</v>
          </cell>
        </row>
        <row r="284">
          <cell r="A284" t="str">
            <v>11221_1</v>
          </cell>
          <cell r="B284">
            <v>3</v>
          </cell>
          <cell r="C284">
            <v>11221</v>
          </cell>
          <cell r="D284" t="str">
            <v>新生活★応援クエスト</v>
          </cell>
          <cell r="E284" t="str">
            <v>2016年卒業クエスト</v>
          </cell>
          <cell r="F284">
            <v>1</v>
          </cell>
          <cell r="G284" t="str">
            <v>ja</v>
          </cell>
          <cell r="H284" t="str">
            <v>【ストーリー】桜舞い散る樹の下で</v>
          </cell>
          <cell r="I284" t="str">
            <v>2016年卒業クエスト</v>
          </cell>
          <cell r="J284">
            <v>794</v>
          </cell>
          <cell r="K284">
            <v>1</v>
          </cell>
          <cell r="L284">
            <v>331</v>
          </cell>
          <cell r="M284">
            <v>1</v>
          </cell>
          <cell r="N284">
            <v>1</v>
          </cell>
          <cell r="O284">
            <v>1</v>
          </cell>
          <cell r="P284">
            <v>1</v>
          </cell>
          <cell r="Q284">
            <v>1</v>
          </cell>
          <cell r="R284">
            <v>3</v>
          </cell>
          <cell r="S284" t="str">
            <v>polygon</v>
          </cell>
          <cell r="T284">
            <v>1</v>
          </cell>
          <cell r="U284" t="str">
            <v>NULL</v>
          </cell>
          <cell r="V284" t="str">
            <v>NULL</v>
          </cell>
          <cell r="W284" t="str">
            <v/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 t="str">
            <v>once</v>
          </cell>
          <cell r="AC284">
            <v>926</v>
          </cell>
          <cell r="AD284">
            <v>6</v>
          </cell>
          <cell r="AE284" t="str">
            <v>singleonly</v>
          </cell>
        </row>
        <row r="285">
          <cell r="A285" t="str">
            <v>11224_1</v>
          </cell>
          <cell r="B285">
            <v>3</v>
          </cell>
          <cell r="C285">
            <v>11224</v>
          </cell>
          <cell r="D285" t="str">
            <v>TVCM放送記念★特別クエスト</v>
          </cell>
          <cell r="E285" t="str">
            <v>TVCM放送記念★特別クエスト</v>
          </cell>
          <cell r="F285">
            <v>1</v>
          </cell>
          <cell r="G285" t="str">
            <v>ja</v>
          </cell>
          <cell r="H285" t="str">
            <v>【超ウザード級】ウザリーマン襲来！</v>
          </cell>
          <cell r="I285" t="str">
            <v>記念クエスト</v>
          </cell>
          <cell r="J285">
            <v>976</v>
          </cell>
          <cell r="K285">
            <v>1</v>
          </cell>
          <cell r="L285">
            <v>1</v>
          </cell>
          <cell r="M285">
            <v>1</v>
          </cell>
          <cell r="N285">
            <v>1</v>
          </cell>
          <cell r="O285">
            <v>1</v>
          </cell>
          <cell r="P285">
            <v>1</v>
          </cell>
          <cell r="Q285">
            <v>0</v>
          </cell>
          <cell r="R285">
            <v>3</v>
          </cell>
          <cell r="S285" t="str">
            <v>polygon</v>
          </cell>
          <cell r="T285">
            <v>10</v>
          </cell>
          <cell r="U285" t="str">
            <v>NULL</v>
          </cell>
          <cell r="V285" t="str">
            <v>NULL</v>
          </cell>
          <cell r="W285" t="str">
            <v/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 t="str">
            <v>anytime</v>
          </cell>
          <cell r="AC285">
            <v>907</v>
          </cell>
          <cell r="AD285">
            <v>6</v>
          </cell>
          <cell r="AE285" t="str">
            <v>singleonly</v>
          </cell>
        </row>
        <row r="286">
          <cell r="A286" t="str">
            <v>11225_1</v>
          </cell>
          <cell r="B286">
            <v>3</v>
          </cell>
          <cell r="C286">
            <v>11225</v>
          </cell>
          <cell r="D286" t="str">
            <v>400万DL記念★特別クエスト</v>
          </cell>
          <cell r="E286" t="str">
            <v>400万DL記念★特別クエスト</v>
          </cell>
          <cell r="F286">
            <v>1</v>
          </cell>
          <cell r="G286" t="str">
            <v>ja</v>
          </cell>
          <cell r="H286" t="str">
            <v>ミリオンダックより愛をこめて 4</v>
          </cell>
          <cell r="I286" t="str">
            <v>400万DL記念限定クエスト</v>
          </cell>
          <cell r="J286">
            <v>444</v>
          </cell>
          <cell r="K286">
            <v>1</v>
          </cell>
          <cell r="L286">
            <v>200</v>
          </cell>
          <cell r="M286">
            <v>1</v>
          </cell>
          <cell r="N286">
            <v>1</v>
          </cell>
          <cell r="O286">
            <v>1</v>
          </cell>
          <cell r="P286">
            <v>1</v>
          </cell>
          <cell r="Q286">
            <v>1</v>
          </cell>
          <cell r="R286">
            <v>3</v>
          </cell>
          <cell r="S286" t="str">
            <v>polygon</v>
          </cell>
          <cell r="T286">
            <v>1</v>
          </cell>
          <cell r="U286" t="str">
            <v>NULL</v>
          </cell>
          <cell r="V286" t="str">
            <v>NULL</v>
          </cell>
          <cell r="W286" t="str">
            <v/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 t="str">
            <v>once</v>
          </cell>
          <cell r="AC286">
            <v>1</v>
          </cell>
          <cell r="AD286">
            <v>6</v>
          </cell>
          <cell r="AE286" t="str">
            <v>singleonly</v>
          </cell>
        </row>
        <row r="287">
          <cell r="A287" t="str">
            <v>11226_1</v>
          </cell>
          <cell r="B287">
            <v>3</v>
          </cell>
          <cell r="C287">
            <v>11226</v>
          </cell>
          <cell r="F287">
            <v>1</v>
          </cell>
          <cell r="G287" t="str">
            <v>ja</v>
          </cell>
          <cell r="H287" t="str">
            <v>1周年のキセキ</v>
          </cell>
          <cell r="I287" t="str">
            <v>1周年記念限定クエスト</v>
          </cell>
          <cell r="J287">
            <v>1079</v>
          </cell>
          <cell r="K287">
            <v>1</v>
          </cell>
          <cell r="L287">
            <v>200</v>
          </cell>
          <cell r="M287">
            <v>1</v>
          </cell>
          <cell r="N287">
            <v>1</v>
          </cell>
          <cell r="O287">
            <v>1</v>
          </cell>
          <cell r="P287">
            <v>1</v>
          </cell>
          <cell r="Q287">
            <v>1</v>
          </cell>
          <cell r="R287">
            <v>3</v>
          </cell>
          <cell r="S287" t="str">
            <v>polygon</v>
          </cell>
          <cell r="T287">
            <v>1</v>
          </cell>
          <cell r="U287" t="str">
            <v>NULL</v>
          </cell>
          <cell r="V287" t="str">
            <v>NULL</v>
          </cell>
          <cell r="W287" t="str">
            <v/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 t="str">
            <v>once</v>
          </cell>
          <cell r="AC287">
            <v>1</v>
          </cell>
          <cell r="AD287">
            <v>6</v>
          </cell>
          <cell r="AE287" t="str">
            <v>singleonly</v>
          </cell>
        </row>
        <row r="288">
          <cell r="A288" t="str">
            <v>11226_2</v>
          </cell>
          <cell r="B288">
            <v>3</v>
          </cell>
          <cell r="C288">
            <v>11226</v>
          </cell>
          <cell r="D288" t="str">
            <v>1周年記念★特別クエスト</v>
          </cell>
          <cell r="E288" t="str">
            <v>1周年記念★特別クエスト</v>
          </cell>
          <cell r="F288">
            <v>2</v>
          </cell>
          <cell r="G288" t="str">
            <v>ja</v>
          </cell>
          <cell r="H288" t="str">
            <v>【クリスマス前編】勢いまかせ</v>
          </cell>
          <cell r="I288" t="str">
            <v>2015年クリスマスクエスト</v>
          </cell>
          <cell r="J288">
            <v>202</v>
          </cell>
          <cell r="K288">
            <v>1</v>
          </cell>
          <cell r="L288">
            <v>1</v>
          </cell>
          <cell r="M288">
            <v>1</v>
          </cell>
          <cell r="N288">
            <v>1</v>
          </cell>
          <cell r="O288">
            <v>1</v>
          </cell>
          <cell r="P288">
            <v>1</v>
          </cell>
          <cell r="Q288">
            <v>1</v>
          </cell>
          <cell r="R288">
            <v>3</v>
          </cell>
          <cell r="S288" t="str">
            <v>character</v>
          </cell>
          <cell r="T288" t="str">
            <v>520,521,522,523</v>
          </cell>
          <cell r="U288">
            <v>11226</v>
          </cell>
          <cell r="V288">
            <v>1</v>
          </cell>
          <cell r="W288" t="str">
            <v>1周年のキセキ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 t="str">
            <v>once</v>
          </cell>
          <cell r="AC288">
            <v>1</v>
          </cell>
          <cell r="AD288">
            <v>100</v>
          </cell>
          <cell r="AE288" t="str">
            <v>singleonly</v>
          </cell>
        </row>
        <row r="289">
          <cell r="A289" t="str">
            <v>11226_3</v>
          </cell>
          <cell r="B289">
            <v>3</v>
          </cell>
          <cell r="C289">
            <v>11226</v>
          </cell>
          <cell r="D289" t="str">
            <v>1周年記念★特別クエスト</v>
          </cell>
          <cell r="E289" t="str">
            <v>1周年記念★特別クエスト</v>
          </cell>
          <cell r="F289">
            <v>3</v>
          </cell>
          <cell r="G289" t="str">
            <v>ja</v>
          </cell>
          <cell r="H289" t="str">
            <v>【クリスマス後編】フィーバーの力</v>
          </cell>
          <cell r="I289" t="str">
            <v>2015年クリスマスクエスト</v>
          </cell>
          <cell r="J289">
            <v>202</v>
          </cell>
          <cell r="K289">
            <v>1</v>
          </cell>
          <cell r="L289">
            <v>2</v>
          </cell>
          <cell r="M289">
            <v>1</v>
          </cell>
          <cell r="N289">
            <v>1</v>
          </cell>
          <cell r="O289">
            <v>1</v>
          </cell>
          <cell r="P289">
            <v>1</v>
          </cell>
          <cell r="Q289">
            <v>1</v>
          </cell>
          <cell r="R289">
            <v>3</v>
          </cell>
          <cell r="S289" t="str">
            <v>character</v>
          </cell>
          <cell r="T289" t="str">
            <v>520,521,522,523</v>
          </cell>
          <cell r="U289">
            <v>11226</v>
          </cell>
          <cell r="V289">
            <v>1</v>
          </cell>
          <cell r="W289" t="str">
            <v>1周年のキセキ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 t="str">
            <v>once</v>
          </cell>
          <cell r="AC289">
            <v>105</v>
          </cell>
          <cell r="AD289">
            <v>100</v>
          </cell>
          <cell r="AE289" t="str">
            <v>singleonly</v>
          </cell>
        </row>
        <row r="290">
          <cell r="A290" t="str">
            <v>11226_4</v>
          </cell>
          <cell r="B290">
            <v>3</v>
          </cell>
          <cell r="C290">
            <v>11226</v>
          </cell>
          <cell r="D290" t="str">
            <v>1周年記念★特別クエスト</v>
          </cell>
          <cell r="E290" t="str">
            <v>1周年記念★特別クエスト</v>
          </cell>
          <cell r="F290">
            <v>4</v>
          </cell>
          <cell r="G290" t="str">
            <v>ja</v>
          </cell>
          <cell r="H290" t="str">
            <v>【上級】年を越える宴（ハートなし）</v>
          </cell>
          <cell r="I290" t="str">
            <v>2015年年忘れクエスト</v>
          </cell>
          <cell r="J290">
            <v>377</v>
          </cell>
          <cell r="K290">
            <v>20</v>
          </cell>
          <cell r="L290">
            <v>350</v>
          </cell>
          <cell r="M290">
            <v>1</v>
          </cell>
          <cell r="N290">
            <v>1</v>
          </cell>
          <cell r="O290">
            <v>1</v>
          </cell>
          <cell r="P290">
            <v>1</v>
          </cell>
          <cell r="Q290">
            <v>0</v>
          </cell>
          <cell r="R290">
            <v>3</v>
          </cell>
          <cell r="S290" t="str">
            <v>none</v>
          </cell>
          <cell r="T290">
            <v>0</v>
          </cell>
          <cell r="U290">
            <v>11226</v>
          </cell>
          <cell r="V290">
            <v>1</v>
          </cell>
          <cell r="W290" t="str">
            <v>1周年のキセキ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 t="str">
            <v>anytime</v>
          </cell>
          <cell r="AC290">
            <v>901</v>
          </cell>
          <cell r="AD290">
            <v>6</v>
          </cell>
          <cell r="AE290" t="str">
            <v>multionly</v>
          </cell>
        </row>
        <row r="291">
          <cell r="A291" t="str">
            <v>11226_5</v>
          </cell>
          <cell r="B291">
            <v>3</v>
          </cell>
          <cell r="C291">
            <v>11226</v>
          </cell>
          <cell r="D291" t="str">
            <v>1周年記念★特別クエスト</v>
          </cell>
          <cell r="E291" t="str">
            <v>1周年記念★特別クエスト</v>
          </cell>
          <cell r="F291">
            <v>5</v>
          </cell>
          <cell r="G291" t="str">
            <v>ja</v>
          </cell>
          <cell r="H291" t="str">
            <v>あけおめダックのお年玉</v>
          </cell>
          <cell r="I291" t="str">
            <v>2016年あけおめクエスト</v>
          </cell>
          <cell r="J291">
            <v>524</v>
          </cell>
          <cell r="K291">
            <v>1</v>
          </cell>
          <cell r="L291">
            <v>2016</v>
          </cell>
          <cell r="M291">
            <v>1</v>
          </cell>
          <cell r="N291">
            <v>1</v>
          </cell>
          <cell r="O291">
            <v>1</v>
          </cell>
          <cell r="P291">
            <v>1</v>
          </cell>
          <cell r="Q291">
            <v>0</v>
          </cell>
          <cell r="R291">
            <v>3</v>
          </cell>
          <cell r="S291" t="str">
            <v>polygon</v>
          </cell>
          <cell r="T291">
            <v>1</v>
          </cell>
          <cell r="U291">
            <v>11226</v>
          </cell>
          <cell r="V291">
            <v>1</v>
          </cell>
          <cell r="W291" t="str">
            <v>1周年のキセキ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 t="str">
            <v>once</v>
          </cell>
          <cell r="AC291">
            <v>2</v>
          </cell>
          <cell r="AD291">
            <v>100</v>
          </cell>
          <cell r="AE291" t="str">
            <v>singleonly</v>
          </cell>
        </row>
        <row r="292">
          <cell r="A292" t="str">
            <v>11226_6</v>
          </cell>
          <cell r="B292">
            <v>3</v>
          </cell>
          <cell r="C292">
            <v>11226</v>
          </cell>
          <cell r="D292" t="str">
            <v>1周年記念★特別クエスト</v>
          </cell>
          <cell r="E292" t="str">
            <v>1周年記念★特別クエスト</v>
          </cell>
          <cell r="F292">
            <v>6</v>
          </cell>
          <cell r="G292" t="str">
            <v>ja</v>
          </cell>
          <cell r="H292" t="str">
            <v>【ストーリー】バレンタイン狂想曲</v>
          </cell>
          <cell r="I292" t="str">
            <v>ストーリー</v>
          </cell>
          <cell r="J292">
            <v>572</v>
          </cell>
          <cell r="K292">
            <v>1</v>
          </cell>
          <cell r="L292">
            <v>214</v>
          </cell>
          <cell r="M292">
            <v>1</v>
          </cell>
          <cell r="N292">
            <v>1</v>
          </cell>
          <cell r="O292">
            <v>1</v>
          </cell>
          <cell r="P292">
            <v>1</v>
          </cell>
          <cell r="Q292">
            <v>1</v>
          </cell>
          <cell r="R292">
            <v>3</v>
          </cell>
          <cell r="S292" t="str">
            <v>polygon</v>
          </cell>
          <cell r="T292">
            <v>1</v>
          </cell>
          <cell r="U292">
            <v>11226</v>
          </cell>
          <cell r="V292">
            <v>1</v>
          </cell>
          <cell r="W292" t="str">
            <v>1周年のキセキ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 t="str">
            <v>once</v>
          </cell>
          <cell r="AC292">
            <v>1</v>
          </cell>
          <cell r="AD292">
            <v>100</v>
          </cell>
          <cell r="AE292" t="str">
            <v>singleonly</v>
          </cell>
        </row>
        <row r="293">
          <cell r="A293" t="str">
            <v>11226_7</v>
          </cell>
          <cell r="B293">
            <v>3</v>
          </cell>
          <cell r="C293">
            <v>11226</v>
          </cell>
          <cell r="D293" t="str">
            <v>1周年記念★特別クエスト</v>
          </cell>
          <cell r="E293" t="str">
            <v>1周年記念★特別クエスト</v>
          </cell>
          <cell r="F293">
            <v>7</v>
          </cell>
          <cell r="G293" t="str">
            <v>ja</v>
          </cell>
          <cell r="H293" t="str">
            <v>【ストーリー】ホワイトデー独騒曲</v>
          </cell>
          <cell r="I293" t="str">
            <v>2016年ホワイトデークエスト</v>
          </cell>
          <cell r="J293">
            <v>350</v>
          </cell>
          <cell r="K293">
            <v>1</v>
          </cell>
          <cell r="L293">
            <v>314</v>
          </cell>
          <cell r="M293">
            <v>1</v>
          </cell>
          <cell r="N293">
            <v>1</v>
          </cell>
          <cell r="O293">
            <v>1</v>
          </cell>
          <cell r="P293">
            <v>1</v>
          </cell>
          <cell r="Q293">
            <v>1</v>
          </cell>
          <cell r="R293">
            <v>3</v>
          </cell>
          <cell r="S293" t="str">
            <v>polygon</v>
          </cell>
          <cell r="T293">
            <v>1</v>
          </cell>
          <cell r="U293">
            <v>11226</v>
          </cell>
          <cell r="V293">
            <v>1</v>
          </cell>
          <cell r="W293" t="str">
            <v>1周年のキセキ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 t="str">
            <v>once</v>
          </cell>
          <cell r="AC293">
            <v>1</v>
          </cell>
          <cell r="AD293">
            <v>100</v>
          </cell>
          <cell r="AE293" t="str">
            <v>singleonly</v>
          </cell>
        </row>
        <row r="294">
          <cell r="A294" t="str">
            <v>11226_8</v>
          </cell>
          <cell r="B294">
            <v>3</v>
          </cell>
          <cell r="C294">
            <v>11226</v>
          </cell>
          <cell r="D294" t="str">
            <v>1周年記念★特別クエスト</v>
          </cell>
          <cell r="E294" t="str">
            <v>1周年記念★特別クエスト</v>
          </cell>
          <cell r="F294">
            <v>8</v>
          </cell>
          <cell r="G294" t="str">
            <v>ja</v>
          </cell>
          <cell r="H294" t="str">
            <v>【ストーリー】桜舞い散る樹の下で</v>
          </cell>
          <cell r="I294" t="str">
            <v>2016年卒業クエスト</v>
          </cell>
          <cell r="J294">
            <v>794</v>
          </cell>
          <cell r="K294">
            <v>1</v>
          </cell>
          <cell r="L294">
            <v>331</v>
          </cell>
          <cell r="M294">
            <v>1</v>
          </cell>
          <cell r="N294">
            <v>1</v>
          </cell>
          <cell r="O294">
            <v>1</v>
          </cell>
          <cell r="P294">
            <v>1</v>
          </cell>
          <cell r="Q294">
            <v>1</v>
          </cell>
          <cell r="R294">
            <v>3</v>
          </cell>
          <cell r="S294" t="str">
            <v>polygon</v>
          </cell>
          <cell r="T294">
            <v>1</v>
          </cell>
          <cell r="U294">
            <v>11226</v>
          </cell>
          <cell r="V294">
            <v>1</v>
          </cell>
          <cell r="W294" t="str">
            <v>1周年のキセキ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 t="str">
            <v>once</v>
          </cell>
          <cell r="AC294">
            <v>926</v>
          </cell>
          <cell r="AD294">
            <v>100</v>
          </cell>
          <cell r="AE294" t="str">
            <v>singleonly</v>
          </cell>
        </row>
        <row r="295">
          <cell r="A295" t="str">
            <v>11227_1</v>
          </cell>
          <cell r="B295">
            <v>1</v>
          </cell>
          <cell r="C295">
            <v>11227</v>
          </cell>
          <cell r="D295" t="str">
            <v>TVCM第2弾放送記念★特別クエスト</v>
          </cell>
          <cell r="E295" t="str">
            <v>TVCM第2弾放送記念★特別クエスト</v>
          </cell>
          <cell r="F295">
            <v>1</v>
          </cell>
          <cell r="G295" t="str">
            <v>ja</v>
          </cell>
          <cell r="H295" t="str">
            <v>【ALICE日常編】…勘違いじゃないよ。</v>
          </cell>
          <cell r="I295" t="str">
            <v>幻と化したボツステージ</v>
          </cell>
          <cell r="J295">
            <v>619</v>
          </cell>
          <cell r="K295">
            <v>1</v>
          </cell>
          <cell r="L295">
            <v>1</v>
          </cell>
          <cell r="M295">
            <v>1</v>
          </cell>
          <cell r="N295">
            <v>1</v>
          </cell>
          <cell r="O295">
            <v>1</v>
          </cell>
          <cell r="P295">
            <v>1</v>
          </cell>
          <cell r="Q295">
            <v>1</v>
          </cell>
          <cell r="R295">
            <v>3</v>
          </cell>
          <cell r="S295" t="str">
            <v>polygon</v>
          </cell>
          <cell r="T295">
            <v>1</v>
          </cell>
          <cell r="U295" t="str">
            <v>NULL</v>
          </cell>
          <cell r="V295" t="str">
            <v>NULL</v>
          </cell>
          <cell r="W295" t="str">
            <v/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 t="str">
            <v>anytime</v>
          </cell>
          <cell r="AC295">
            <v>926</v>
          </cell>
          <cell r="AD295">
            <v>100</v>
          </cell>
          <cell r="AE295" t="str">
            <v>singleonly</v>
          </cell>
        </row>
        <row r="296">
          <cell r="A296" t="str">
            <v>11227_2</v>
          </cell>
          <cell r="B296">
            <v>3</v>
          </cell>
          <cell r="C296">
            <v>11227</v>
          </cell>
          <cell r="D296" t="str">
            <v>TVCM第2弾放送記念★特別クエスト</v>
          </cell>
          <cell r="E296" t="str">
            <v>TVCM第2弾放送記念★特別クエスト</v>
          </cell>
          <cell r="F296">
            <v>2</v>
          </cell>
          <cell r="G296" t="str">
            <v>ja</v>
          </cell>
          <cell r="H296" t="str">
            <v>…勘違いじゃないよ。</v>
          </cell>
          <cell r="I296" t="str">
            <v>記念クエスト</v>
          </cell>
          <cell r="J296">
            <v>619</v>
          </cell>
          <cell r="K296">
            <v>1</v>
          </cell>
          <cell r="L296">
            <v>1</v>
          </cell>
          <cell r="M296">
            <v>1</v>
          </cell>
          <cell r="N296">
            <v>1</v>
          </cell>
          <cell r="O296">
            <v>1</v>
          </cell>
          <cell r="P296">
            <v>1</v>
          </cell>
          <cell r="Q296">
            <v>1</v>
          </cell>
          <cell r="R296">
            <v>3</v>
          </cell>
          <cell r="S296" t="str">
            <v>polygon</v>
          </cell>
          <cell r="T296">
            <v>10</v>
          </cell>
          <cell r="U296" t="str">
            <v>NULL</v>
          </cell>
          <cell r="V296" t="str">
            <v>NULL</v>
          </cell>
          <cell r="W296" t="str">
            <v/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 t="str">
            <v>anytime</v>
          </cell>
          <cell r="AC296">
            <v>926</v>
          </cell>
          <cell r="AD296">
            <v>100</v>
          </cell>
          <cell r="AE296" t="str">
            <v>singleonly</v>
          </cell>
        </row>
        <row r="297">
          <cell r="A297" t="str">
            <v>11228_1</v>
          </cell>
          <cell r="B297">
            <v>3</v>
          </cell>
          <cell r="C297">
            <v>11228</v>
          </cell>
          <cell r="D297" t="str">
            <v>バレンタイン★特別クエスト</v>
          </cell>
          <cell r="E297" t="str">
            <v>2016年バレンタインクエスト復刻</v>
          </cell>
          <cell r="F297">
            <v>1</v>
          </cell>
          <cell r="G297" t="str">
            <v>ja</v>
          </cell>
          <cell r="H297" t="str">
            <v>【ストーリー】バレンタイン狂想曲</v>
          </cell>
          <cell r="I297" t="str">
            <v>ストーリー</v>
          </cell>
          <cell r="J297">
            <v>572</v>
          </cell>
          <cell r="K297">
            <v>1</v>
          </cell>
          <cell r="L297">
            <v>214</v>
          </cell>
          <cell r="M297">
            <v>1</v>
          </cell>
          <cell r="N297">
            <v>1</v>
          </cell>
          <cell r="O297">
            <v>1</v>
          </cell>
          <cell r="P297">
            <v>1</v>
          </cell>
          <cell r="Q297">
            <v>1</v>
          </cell>
          <cell r="R297">
            <v>3</v>
          </cell>
          <cell r="S297" t="str">
            <v>polygon</v>
          </cell>
          <cell r="T297">
            <v>1</v>
          </cell>
          <cell r="U297" t="str">
            <v>NULL</v>
          </cell>
          <cell r="V297" t="str">
            <v>NULL</v>
          </cell>
          <cell r="W297" t="str">
            <v/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 t="str">
            <v>once</v>
          </cell>
          <cell r="AC297">
            <v>1</v>
          </cell>
          <cell r="AD297">
            <v>6</v>
          </cell>
          <cell r="AE297" t="str">
            <v>singleonly</v>
          </cell>
        </row>
        <row r="298">
          <cell r="A298" t="str">
            <v>11229_1</v>
          </cell>
          <cell r="B298">
            <v>3</v>
          </cell>
          <cell r="C298">
            <v>11229</v>
          </cell>
          <cell r="D298" t="str">
            <v>ホワイトデー★特別クエスト</v>
          </cell>
          <cell r="E298" t="str">
            <v>2016年ホワイトデークエスト復刻</v>
          </cell>
          <cell r="F298">
            <v>1</v>
          </cell>
          <cell r="G298" t="str">
            <v>ja</v>
          </cell>
          <cell r="H298" t="str">
            <v>【ストーリー】ホワイトデー独騒曲</v>
          </cell>
          <cell r="I298" t="str">
            <v>2016年ホワイトデークエスト</v>
          </cell>
          <cell r="J298">
            <v>350</v>
          </cell>
          <cell r="K298">
            <v>1</v>
          </cell>
          <cell r="L298">
            <v>314</v>
          </cell>
          <cell r="M298">
            <v>1</v>
          </cell>
          <cell r="N298">
            <v>1</v>
          </cell>
          <cell r="O298">
            <v>1</v>
          </cell>
          <cell r="P298">
            <v>1</v>
          </cell>
          <cell r="Q298">
            <v>1</v>
          </cell>
          <cell r="R298">
            <v>3</v>
          </cell>
          <cell r="S298" t="str">
            <v>polygon</v>
          </cell>
          <cell r="T298">
            <v>1</v>
          </cell>
          <cell r="U298" t="str">
            <v>NULL</v>
          </cell>
          <cell r="V298" t="str">
            <v>NULL</v>
          </cell>
          <cell r="W298" t="str">
            <v/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 t="str">
            <v>once</v>
          </cell>
          <cell r="AC298">
            <v>1</v>
          </cell>
          <cell r="AD298">
            <v>6</v>
          </cell>
          <cell r="AE298" t="str">
            <v>singleonly</v>
          </cell>
        </row>
        <row r="299">
          <cell r="A299" t="str">
            <v>12001_1</v>
          </cell>
          <cell r="B299">
            <v>3</v>
          </cell>
          <cell r="C299">
            <v>12001</v>
          </cell>
          <cell r="D299" t="str">
            <v>【緊急！！】 アヒル捕獲作戦</v>
          </cell>
          <cell r="E299" t="str">
            <v>ゲリラクエスト</v>
          </cell>
          <cell r="F299">
            <v>1</v>
          </cell>
          <cell r="G299" t="str">
            <v>ja</v>
          </cell>
          <cell r="H299" t="str">
            <v xml:space="preserve">【初級】メタルダックを捕獲せよ！ </v>
          </cell>
          <cell r="I299" t="str">
            <v>経験値ゲリラ</v>
          </cell>
          <cell r="J299">
            <v>334</v>
          </cell>
          <cell r="K299">
            <v>8</v>
          </cell>
          <cell r="L299">
            <v>140</v>
          </cell>
          <cell r="M299">
            <v>1</v>
          </cell>
          <cell r="N299">
            <v>1</v>
          </cell>
          <cell r="O299">
            <v>1</v>
          </cell>
          <cell r="P299">
            <v>1</v>
          </cell>
          <cell r="Q299">
            <v>0</v>
          </cell>
          <cell r="R299">
            <v>3</v>
          </cell>
          <cell r="S299" t="str">
            <v>none</v>
          </cell>
          <cell r="T299">
            <v>0</v>
          </cell>
          <cell r="U299" t="str">
            <v>NULL</v>
          </cell>
          <cell r="V299" t="str">
            <v>NULL</v>
          </cell>
          <cell r="W299" t="str">
            <v/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 t="str">
            <v>anytime</v>
          </cell>
          <cell r="AC299">
            <v>201</v>
          </cell>
          <cell r="AD299">
            <v>6</v>
          </cell>
          <cell r="AE299" t="str">
            <v>everyone</v>
          </cell>
        </row>
        <row r="300">
          <cell r="A300" t="str">
            <v>12001_2</v>
          </cell>
          <cell r="B300">
            <v>3</v>
          </cell>
          <cell r="C300">
            <v>12001</v>
          </cell>
          <cell r="D300" t="str">
            <v>【緊急！！】 アヒル捕獲作戦</v>
          </cell>
          <cell r="E300" t="str">
            <v>ゲリラクエスト</v>
          </cell>
          <cell r="F300">
            <v>2</v>
          </cell>
          <cell r="G300" t="str">
            <v>ja</v>
          </cell>
          <cell r="H300" t="str">
            <v xml:space="preserve">【上級】メタルダックを捕獲せよ！ </v>
          </cell>
          <cell r="I300" t="str">
            <v>経験値ゲリラ</v>
          </cell>
          <cell r="J300">
            <v>334</v>
          </cell>
          <cell r="K300">
            <v>20</v>
          </cell>
          <cell r="L300">
            <v>350</v>
          </cell>
          <cell r="M300">
            <v>1</v>
          </cell>
          <cell r="N300">
            <v>1</v>
          </cell>
          <cell r="O300">
            <v>1</v>
          </cell>
          <cell r="P300">
            <v>1</v>
          </cell>
          <cell r="Q300">
            <v>0</v>
          </cell>
          <cell r="R300">
            <v>3</v>
          </cell>
          <cell r="S300" t="str">
            <v>none</v>
          </cell>
          <cell r="T300">
            <v>0</v>
          </cell>
          <cell r="U300" t="str">
            <v>NULL</v>
          </cell>
          <cell r="V300" t="str">
            <v>NULL</v>
          </cell>
          <cell r="W300" t="str">
            <v/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 t="str">
            <v>anytime</v>
          </cell>
          <cell r="AC300">
            <v>201</v>
          </cell>
          <cell r="AD300">
            <v>6</v>
          </cell>
          <cell r="AE300" t="str">
            <v>everyone</v>
          </cell>
        </row>
        <row r="301">
          <cell r="A301" t="str">
            <v>12001_3</v>
          </cell>
          <cell r="B301">
            <v>3</v>
          </cell>
          <cell r="C301">
            <v>12001</v>
          </cell>
          <cell r="D301" t="str">
            <v>【緊急！！】 アヒル捕獲作戦</v>
          </cell>
          <cell r="E301" t="str">
            <v>ゲリラクエスト</v>
          </cell>
          <cell r="F301">
            <v>3</v>
          </cell>
          <cell r="G301" t="str">
            <v>ja</v>
          </cell>
          <cell r="H301" t="str">
            <v xml:space="preserve">【超級】メタルダックを捕獲せよ！ </v>
          </cell>
          <cell r="I301" t="str">
            <v>経験値ゲリラ</v>
          </cell>
          <cell r="J301">
            <v>334</v>
          </cell>
          <cell r="K301">
            <v>30</v>
          </cell>
          <cell r="L301">
            <v>444</v>
          </cell>
          <cell r="M301">
            <v>1</v>
          </cell>
          <cell r="N301">
            <v>1</v>
          </cell>
          <cell r="O301">
            <v>1</v>
          </cell>
          <cell r="P301">
            <v>1</v>
          </cell>
          <cell r="Q301">
            <v>0</v>
          </cell>
          <cell r="R301">
            <v>3</v>
          </cell>
          <cell r="S301" t="str">
            <v>none</v>
          </cell>
          <cell r="T301">
            <v>0</v>
          </cell>
          <cell r="U301" t="str">
            <v>NULL</v>
          </cell>
          <cell r="V301" t="str">
            <v>NULL</v>
          </cell>
          <cell r="W301" t="str">
            <v/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 t="str">
            <v>anytime</v>
          </cell>
          <cell r="AC301">
            <v>7</v>
          </cell>
          <cell r="AD301">
            <v>6</v>
          </cell>
          <cell r="AE301" t="str">
            <v>everyone</v>
          </cell>
        </row>
        <row r="302">
          <cell r="A302" t="str">
            <v>12002_1</v>
          </cell>
          <cell r="B302">
            <v>3</v>
          </cell>
          <cell r="C302">
            <v>12002</v>
          </cell>
          <cell r="D302" t="str">
            <v>【マルチ専用1/2】 アヒル捕獲作戦</v>
          </cell>
          <cell r="E302" t="str">
            <v>ゲリラクエスト</v>
          </cell>
          <cell r="F302">
            <v>1</v>
          </cell>
          <cell r="G302" t="str">
            <v>ja</v>
          </cell>
          <cell r="H302" t="str">
            <v>【上級】メタルダックを捕獲せよ！</v>
          </cell>
          <cell r="I302" t="str">
            <v>経験値ゲリラ</v>
          </cell>
          <cell r="J302">
            <v>334</v>
          </cell>
          <cell r="K302">
            <v>10</v>
          </cell>
          <cell r="L302">
            <v>350</v>
          </cell>
          <cell r="M302">
            <v>1</v>
          </cell>
          <cell r="N302">
            <v>1</v>
          </cell>
          <cell r="O302">
            <v>1</v>
          </cell>
          <cell r="P302">
            <v>1</v>
          </cell>
          <cell r="Q302">
            <v>0</v>
          </cell>
          <cell r="R302">
            <v>3</v>
          </cell>
          <cell r="S302" t="str">
            <v>none</v>
          </cell>
          <cell r="T302">
            <v>0</v>
          </cell>
          <cell r="U302" t="str">
            <v>NULL</v>
          </cell>
          <cell r="V302" t="str">
            <v>NULL</v>
          </cell>
          <cell r="W302" t="str">
            <v/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 t="str">
            <v>anytime</v>
          </cell>
          <cell r="AC302">
            <v>201</v>
          </cell>
          <cell r="AD302">
            <v>6</v>
          </cell>
          <cell r="AE302" t="str">
            <v>multionly</v>
          </cell>
        </row>
        <row r="303">
          <cell r="A303" t="str">
            <v>12002_2</v>
          </cell>
          <cell r="B303">
            <v>1</v>
          </cell>
          <cell r="C303">
            <v>12002</v>
          </cell>
          <cell r="D303" t="str">
            <v>【マルチ専用1/2】 アヒル捕獲作戦</v>
          </cell>
          <cell r="E303" t="str">
            <v>ゲリラクエスト</v>
          </cell>
          <cell r="F303">
            <v>2</v>
          </cell>
          <cell r="G303" t="str">
            <v>ja</v>
          </cell>
          <cell r="H303" t="str">
            <v xml:space="preserve">【超級】メタルダックを捕獲せよ！ </v>
          </cell>
          <cell r="I303" t="str">
            <v>経験値ゲリラ</v>
          </cell>
          <cell r="J303">
            <v>334</v>
          </cell>
          <cell r="K303">
            <v>15</v>
          </cell>
          <cell r="L303">
            <v>444</v>
          </cell>
          <cell r="M303">
            <v>1</v>
          </cell>
          <cell r="N303">
            <v>1</v>
          </cell>
          <cell r="O303">
            <v>1</v>
          </cell>
          <cell r="P303">
            <v>1</v>
          </cell>
          <cell r="Q303">
            <v>0</v>
          </cell>
          <cell r="R303">
            <v>3</v>
          </cell>
          <cell r="S303" t="str">
            <v>none</v>
          </cell>
          <cell r="T303">
            <v>0</v>
          </cell>
          <cell r="U303" t="str">
            <v>NULL</v>
          </cell>
          <cell r="V303" t="str">
            <v>NULL</v>
          </cell>
          <cell r="W303" t="str">
            <v/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 t="str">
            <v>anytime</v>
          </cell>
          <cell r="AC303">
            <v>7</v>
          </cell>
          <cell r="AD303">
            <v>6</v>
          </cell>
          <cell r="AE303" t="str">
            <v>multionly</v>
          </cell>
        </row>
        <row r="304">
          <cell r="A304" t="str">
            <v>12003_1</v>
          </cell>
          <cell r="B304">
            <v>3</v>
          </cell>
          <cell r="C304">
            <v>12003</v>
          </cell>
          <cell r="D304" t="str">
            <v>【超緊急！！】メタルジェントルを追え</v>
          </cell>
          <cell r="E304" t="str">
            <v>ゲリラ【超級】</v>
          </cell>
          <cell r="F304">
            <v>1</v>
          </cell>
          <cell r="G304" t="str">
            <v>ja</v>
          </cell>
          <cell r="H304" t="str">
            <v>【超級】雷のジェントルを追え！</v>
          </cell>
          <cell r="I304" t="str">
            <v>超級ゲリラ</v>
          </cell>
          <cell r="J304">
            <v>347</v>
          </cell>
          <cell r="K304">
            <v>40</v>
          </cell>
          <cell r="L304">
            <v>500</v>
          </cell>
          <cell r="M304">
            <v>1</v>
          </cell>
          <cell r="N304">
            <v>1</v>
          </cell>
          <cell r="O304">
            <v>1</v>
          </cell>
          <cell r="P304">
            <v>1</v>
          </cell>
          <cell r="Q304">
            <v>1</v>
          </cell>
          <cell r="R304">
            <v>3</v>
          </cell>
          <cell r="S304" t="str">
            <v>none</v>
          </cell>
          <cell r="T304">
            <v>0</v>
          </cell>
          <cell r="U304" t="str">
            <v>NULL</v>
          </cell>
          <cell r="V304" t="str">
            <v>NULL</v>
          </cell>
          <cell r="W304" t="str">
            <v/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 t="str">
            <v>anytime</v>
          </cell>
          <cell r="AC304">
            <v>12</v>
          </cell>
          <cell r="AD304">
            <v>6</v>
          </cell>
          <cell r="AE304" t="str">
            <v>singleonly</v>
          </cell>
        </row>
        <row r="305">
          <cell r="A305" t="str">
            <v>12003_2</v>
          </cell>
          <cell r="B305">
            <v>3</v>
          </cell>
          <cell r="C305">
            <v>12003</v>
          </cell>
          <cell r="D305" t="str">
            <v>【超緊急！！】メタルジェントルを追え</v>
          </cell>
          <cell r="E305" t="str">
            <v>ゲリラ【超級】</v>
          </cell>
          <cell r="F305">
            <v>2</v>
          </cell>
          <cell r="G305" t="str">
            <v>ja</v>
          </cell>
          <cell r="H305" t="str">
            <v>【超級】水のジェントルを追え！</v>
          </cell>
          <cell r="I305" t="str">
            <v>超級ゲリラ</v>
          </cell>
          <cell r="J305">
            <v>343</v>
          </cell>
          <cell r="K305">
            <v>40</v>
          </cell>
          <cell r="L305">
            <v>500</v>
          </cell>
          <cell r="M305">
            <v>1</v>
          </cell>
          <cell r="N305">
            <v>1</v>
          </cell>
          <cell r="O305">
            <v>1</v>
          </cell>
          <cell r="P305">
            <v>1</v>
          </cell>
          <cell r="Q305">
            <v>1</v>
          </cell>
          <cell r="R305">
            <v>3</v>
          </cell>
          <cell r="S305" t="str">
            <v>none</v>
          </cell>
          <cell r="T305">
            <v>0</v>
          </cell>
          <cell r="U305" t="str">
            <v>NULL</v>
          </cell>
          <cell r="V305" t="str">
            <v>NULL</v>
          </cell>
          <cell r="W305" t="str">
            <v/>
          </cell>
          <cell r="X305">
            <v>0</v>
          </cell>
          <cell r="Y305">
            <v>0</v>
          </cell>
          <cell r="Z305">
            <v>0</v>
          </cell>
          <cell r="AA305">
            <v>0</v>
          </cell>
          <cell r="AB305" t="str">
            <v>anytime</v>
          </cell>
          <cell r="AC305">
            <v>5</v>
          </cell>
          <cell r="AD305">
            <v>6</v>
          </cell>
          <cell r="AE305" t="str">
            <v>singleonly</v>
          </cell>
        </row>
        <row r="306">
          <cell r="A306" t="str">
            <v>12003_3</v>
          </cell>
          <cell r="B306">
            <v>3</v>
          </cell>
          <cell r="C306">
            <v>12003</v>
          </cell>
          <cell r="D306" t="str">
            <v>【超緊急！！】メタルジェントルを追え</v>
          </cell>
          <cell r="E306" t="str">
            <v>ゲリラ【超級】</v>
          </cell>
          <cell r="F306">
            <v>3</v>
          </cell>
          <cell r="G306" t="str">
            <v>ja</v>
          </cell>
          <cell r="H306" t="str">
            <v>【超級】森のジェントルを追え！</v>
          </cell>
          <cell r="I306" t="str">
            <v>超級ゲリラ</v>
          </cell>
          <cell r="J306">
            <v>339</v>
          </cell>
          <cell r="K306">
            <v>40</v>
          </cell>
          <cell r="L306">
            <v>500</v>
          </cell>
          <cell r="M306">
            <v>1</v>
          </cell>
          <cell r="N306">
            <v>1</v>
          </cell>
          <cell r="O306">
            <v>1</v>
          </cell>
          <cell r="P306">
            <v>1</v>
          </cell>
          <cell r="Q306">
            <v>1</v>
          </cell>
          <cell r="R306">
            <v>3</v>
          </cell>
          <cell r="S306" t="str">
            <v>none</v>
          </cell>
          <cell r="T306">
            <v>0</v>
          </cell>
          <cell r="U306" t="str">
            <v>NULL</v>
          </cell>
          <cell r="V306" t="str">
            <v>NULL</v>
          </cell>
          <cell r="W306" t="str">
            <v/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 t="str">
            <v>anytime</v>
          </cell>
          <cell r="AC306">
            <v>7</v>
          </cell>
          <cell r="AD306">
            <v>6</v>
          </cell>
          <cell r="AE306" t="str">
            <v>singleonly</v>
          </cell>
        </row>
        <row r="307">
          <cell r="A307" t="str">
            <v>12003_4</v>
          </cell>
          <cell r="B307">
            <v>3</v>
          </cell>
          <cell r="C307">
            <v>12003</v>
          </cell>
          <cell r="D307" t="str">
            <v>【超緊急！！】メタルジェントルを追え</v>
          </cell>
          <cell r="E307" t="str">
            <v>ゲリラ【超級】</v>
          </cell>
          <cell r="F307">
            <v>4</v>
          </cell>
          <cell r="G307" t="str">
            <v>ja</v>
          </cell>
          <cell r="H307" t="str">
            <v>【超級】炎のジェントルを追え！</v>
          </cell>
          <cell r="I307" t="str">
            <v>超級ゲリラ</v>
          </cell>
          <cell r="J307">
            <v>335</v>
          </cell>
          <cell r="K307">
            <v>40</v>
          </cell>
          <cell r="L307">
            <v>500</v>
          </cell>
          <cell r="M307">
            <v>1</v>
          </cell>
          <cell r="N307">
            <v>1</v>
          </cell>
          <cell r="O307">
            <v>1</v>
          </cell>
          <cell r="P307">
            <v>1</v>
          </cell>
          <cell r="Q307">
            <v>1</v>
          </cell>
          <cell r="R307">
            <v>3</v>
          </cell>
          <cell r="S307" t="str">
            <v>none</v>
          </cell>
          <cell r="T307">
            <v>0</v>
          </cell>
          <cell r="U307" t="str">
            <v>NULL</v>
          </cell>
          <cell r="V307" t="str">
            <v>NULL</v>
          </cell>
          <cell r="W307" t="str">
            <v/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 t="str">
            <v>anytime</v>
          </cell>
          <cell r="AC307">
            <v>10</v>
          </cell>
          <cell r="AD307">
            <v>6</v>
          </cell>
          <cell r="AE307" t="str">
            <v>singleonly</v>
          </cell>
        </row>
        <row r="308">
          <cell r="A308" t="str">
            <v>12004_1</v>
          </cell>
          <cell r="B308">
            <v>3</v>
          </cell>
          <cell r="C308">
            <v>12004</v>
          </cell>
          <cell r="D308" t="str">
            <v>メタルフロッグをもとめて</v>
          </cell>
          <cell r="E308" t="str">
            <v>イベントクエスト</v>
          </cell>
          <cell r="F308">
            <v>1</v>
          </cell>
          <cell r="G308" t="str">
            <v>ja</v>
          </cell>
          <cell r="H308" t="str">
            <v>【上級】メタルフロッグをもとめて</v>
          </cell>
          <cell r="I308" t="str">
            <v>経験値イベント</v>
          </cell>
          <cell r="J308">
            <v>351</v>
          </cell>
          <cell r="K308">
            <v>20</v>
          </cell>
          <cell r="L308">
            <v>100</v>
          </cell>
          <cell r="M308">
            <v>1</v>
          </cell>
          <cell r="N308">
            <v>1</v>
          </cell>
          <cell r="O308">
            <v>1</v>
          </cell>
          <cell r="P308">
            <v>1</v>
          </cell>
          <cell r="Q308">
            <v>1</v>
          </cell>
          <cell r="R308">
            <v>3</v>
          </cell>
          <cell r="S308" t="str">
            <v>none</v>
          </cell>
          <cell r="T308">
            <v>0</v>
          </cell>
          <cell r="U308" t="str">
            <v>NULL</v>
          </cell>
          <cell r="V308" t="str">
            <v>NULL</v>
          </cell>
          <cell r="W308" t="str">
            <v/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 t="str">
            <v>anytime</v>
          </cell>
          <cell r="AC308">
            <v>23</v>
          </cell>
          <cell r="AD308">
            <v>6</v>
          </cell>
          <cell r="AE308" t="str">
            <v>everyone</v>
          </cell>
        </row>
        <row r="309">
          <cell r="A309" t="str">
            <v>13001_1</v>
          </cell>
          <cell r="B309">
            <v>3</v>
          </cell>
          <cell r="C309">
            <v>13001</v>
          </cell>
          <cell r="D309" t="str">
            <v>チャレンジタワー(ソロ専用)</v>
          </cell>
          <cell r="E309" t="str">
            <v>試練の塔</v>
          </cell>
          <cell r="F309">
            <v>1</v>
          </cell>
          <cell r="G309" t="str">
            <v>ja</v>
          </cell>
          <cell r="H309" t="str">
            <v>チャレンジタワー 1F</v>
          </cell>
          <cell r="I309" t="str">
            <v>試練の塔</v>
          </cell>
          <cell r="J309">
            <v>345</v>
          </cell>
          <cell r="K309">
            <v>3</v>
          </cell>
          <cell r="L309">
            <v>120</v>
          </cell>
          <cell r="M309">
            <v>1</v>
          </cell>
          <cell r="N309">
            <v>1</v>
          </cell>
          <cell r="O309">
            <v>1</v>
          </cell>
          <cell r="P309">
            <v>1</v>
          </cell>
          <cell r="Q309">
            <v>1</v>
          </cell>
          <cell r="R309">
            <v>3</v>
          </cell>
          <cell r="S309" t="str">
            <v>character</v>
          </cell>
          <cell r="T309" t="str">
            <v>345,345</v>
          </cell>
          <cell r="U309" t="str">
            <v>NULL</v>
          </cell>
          <cell r="V309" t="str">
            <v>NULL</v>
          </cell>
          <cell r="W309" t="str">
            <v/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 t="str">
            <v>anytime</v>
          </cell>
          <cell r="AC309">
            <v>26</v>
          </cell>
          <cell r="AD309">
            <v>6</v>
          </cell>
          <cell r="AE309" t="str">
            <v>singleonly</v>
          </cell>
        </row>
        <row r="310">
          <cell r="A310" t="str">
            <v>13001_2</v>
          </cell>
          <cell r="B310">
            <v>3</v>
          </cell>
          <cell r="C310">
            <v>13001</v>
          </cell>
          <cell r="D310" t="str">
            <v>チャレンジタワー(ソロ専用)</v>
          </cell>
          <cell r="E310" t="str">
            <v>試練の塔</v>
          </cell>
          <cell r="F310">
            <v>2</v>
          </cell>
          <cell r="G310" t="str">
            <v>ja</v>
          </cell>
          <cell r="H310" t="str">
            <v>チャレンジタワー 2F</v>
          </cell>
          <cell r="I310" t="str">
            <v>試練の塔</v>
          </cell>
          <cell r="J310">
            <v>333</v>
          </cell>
          <cell r="K310">
            <v>4</v>
          </cell>
          <cell r="L310">
            <v>176</v>
          </cell>
          <cell r="M310">
            <v>1</v>
          </cell>
          <cell r="N310">
            <v>1</v>
          </cell>
          <cell r="O310">
            <v>1</v>
          </cell>
          <cell r="P310">
            <v>1</v>
          </cell>
          <cell r="Q310">
            <v>1</v>
          </cell>
          <cell r="R310">
            <v>3</v>
          </cell>
          <cell r="S310" t="str">
            <v>character</v>
          </cell>
          <cell r="T310" t="str">
            <v>333,333</v>
          </cell>
          <cell r="U310">
            <v>13001</v>
          </cell>
          <cell r="V310">
            <v>1</v>
          </cell>
          <cell r="W310" t="str">
            <v>チャレンジタワー 1F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 t="str">
            <v>anytime</v>
          </cell>
          <cell r="AC310">
            <v>26</v>
          </cell>
          <cell r="AD310">
            <v>6</v>
          </cell>
          <cell r="AE310" t="str">
            <v>singleonly</v>
          </cell>
        </row>
        <row r="311">
          <cell r="A311" t="str">
            <v>13001_3</v>
          </cell>
          <cell r="B311">
            <v>3</v>
          </cell>
          <cell r="C311">
            <v>13001</v>
          </cell>
          <cell r="D311" t="str">
            <v>チャレンジタワー(ソロ専用)</v>
          </cell>
          <cell r="E311" t="str">
            <v>試練の塔</v>
          </cell>
          <cell r="F311">
            <v>3</v>
          </cell>
          <cell r="G311" t="str">
            <v>ja</v>
          </cell>
          <cell r="H311" t="str">
            <v>チャレンジタワー 3F</v>
          </cell>
          <cell r="I311" t="str">
            <v>試練の塔</v>
          </cell>
          <cell r="J311">
            <v>337</v>
          </cell>
          <cell r="K311">
            <v>5</v>
          </cell>
          <cell r="L311">
            <v>242</v>
          </cell>
          <cell r="M311">
            <v>1</v>
          </cell>
          <cell r="N311">
            <v>1</v>
          </cell>
          <cell r="O311">
            <v>1</v>
          </cell>
          <cell r="P311">
            <v>1</v>
          </cell>
          <cell r="Q311">
            <v>1</v>
          </cell>
          <cell r="R311">
            <v>3</v>
          </cell>
          <cell r="S311" t="str">
            <v>character</v>
          </cell>
          <cell r="T311" t="str">
            <v>337,337</v>
          </cell>
          <cell r="U311">
            <v>13001</v>
          </cell>
          <cell r="V311">
            <v>2</v>
          </cell>
          <cell r="W311" t="str">
            <v>チャレンジタワー 2F</v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 t="str">
            <v>anytime</v>
          </cell>
          <cell r="AC311">
            <v>26</v>
          </cell>
          <cell r="AD311">
            <v>6</v>
          </cell>
          <cell r="AE311" t="str">
            <v>singleonly</v>
          </cell>
        </row>
        <row r="312">
          <cell r="A312" t="str">
            <v>13001_4</v>
          </cell>
          <cell r="B312">
            <v>3</v>
          </cell>
          <cell r="C312">
            <v>13001</v>
          </cell>
          <cell r="D312" t="str">
            <v>チャレンジタワー(ソロ専用)</v>
          </cell>
          <cell r="E312" t="str">
            <v>試練の塔</v>
          </cell>
          <cell r="F312">
            <v>4</v>
          </cell>
          <cell r="G312" t="str">
            <v>ja</v>
          </cell>
          <cell r="H312" t="str">
            <v>チャレンジタワー 4F</v>
          </cell>
          <cell r="I312" t="str">
            <v>試練の塔</v>
          </cell>
          <cell r="J312">
            <v>341</v>
          </cell>
          <cell r="K312">
            <v>7</v>
          </cell>
          <cell r="L312">
            <v>508</v>
          </cell>
          <cell r="M312">
            <v>1</v>
          </cell>
          <cell r="N312">
            <v>1</v>
          </cell>
          <cell r="O312">
            <v>1</v>
          </cell>
          <cell r="P312">
            <v>1</v>
          </cell>
          <cell r="Q312">
            <v>1</v>
          </cell>
          <cell r="R312">
            <v>3</v>
          </cell>
          <cell r="S312" t="str">
            <v>character</v>
          </cell>
          <cell r="T312" t="str">
            <v>341,341</v>
          </cell>
          <cell r="U312">
            <v>13001</v>
          </cell>
          <cell r="V312">
            <v>3</v>
          </cell>
          <cell r="W312" t="str">
            <v>チャレンジタワー 3F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 t="str">
            <v>anytime</v>
          </cell>
          <cell r="AC312">
            <v>26</v>
          </cell>
          <cell r="AD312">
            <v>6</v>
          </cell>
          <cell r="AE312" t="str">
            <v>singleonly</v>
          </cell>
        </row>
        <row r="313">
          <cell r="A313" t="str">
            <v>13001_5</v>
          </cell>
          <cell r="B313">
            <v>3</v>
          </cell>
          <cell r="C313">
            <v>13001</v>
          </cell>
          <cell r="D313" t="str">
            <v>チャレンジタワー(ソロ専用)</v>
          </cell>
          <cell r="E313" t="str">
            <v>試練の塔</v>
          </cell>
          <cell r="F313">
            <v>5</v>
          </cell>
          <cell r="G313" t="str">
            <v>ja</v>
          </cell>
          <cell r="H313" t="str">
            <v>チャレンジタワー 5F</v>
          </cell>
          <cell r="I313" t="str">
            <v>試練の塔</v>
          </cell>
          <cell r="J313">
            <v>333</v>
          </cell>
          <cell r="K313">
            <v>7</v>
          </cell>
          <cell r="L313">
            <v>280</v>
          </cell>
          <cell r="M313">
            <v>1</v>
          </cell>
          <cell r="N313">
            <v>1</v>
          </cell>
          <cell r="O313">
            <v>1</v>
          </cell>
          <cell r="P313">
            <v>1</v>
          </cell>
          <cell r="Q313">
            <v>1</v>
          </cell>
          <cell r="R313">
            <v>3</v>
          </cell>
          <cell r="S313" t="str">
            <v>character</v>
          </cell>
          <cell r="T313" t="str">
            <v>333,337,341,345</v>
          </cell>
          <cell r="U313">
            <v>13001</v>
          </cell>
          <cell r="V313">
            <v>4</v>
          </cell>
          <cell r="W313" t="str">
            <v>チャレンジタワー 4F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 t="str">
            <v>anytime</v>
          </cell>
          <cell r="AC313">
            <v>26</v>
          </cell>
          <cell r="AD313">
            <v>6</v>
          </cell>
          <cell r="AE313" t="str">
            <v>singleonly</v>
          </cell>
        </row>
        <row r="314">
          <cell r="A314" t="str">
            <v>13001_6</v>
          </cell>
          <cell r="B314">
            <v>3</v>
          </cell>
          <cell r="C314">
            <v>13001</v>
          </cell>
          <cell r="D314" t="str">
            <v>チャレンジタワー(ソロ専用)</v>
          </cell>
          <cell r="E314" t="str">
            <v>試練の塔</v>
          </cell>
          <cell r="F314">
            <v>6</v>
          </cell>
          <cell r="G314" t="str">
            <v>ja</v>
          </cell>
          <cell r="H314" t="str">
            <v>チャレンジタワー 6F</v>
          </cell>
          <cell r="I314" t="str">
            <v>試練の塔</v>
          </cell>
          <cell r="J314">
            <v>346</v>
          </cell>
          <cell r="K314">
            <v>8</v>
          </cell>
          <cell r="L314">
            <v>474</v>
          </cell>
          <cell r="M314">
            <v>1</v>
          </cell>
          <cell r="N314">
            <v>1</v>
          </cell>
          <cell r="O314">
            <v>1</v>
          </cell>
          <cell r="P314">
            <v>1</v>
          </cell>
          <cell r="Q314">
            <v>1</v>
          </cell>
          <cell r="R314">
            <v>3</v>
          </cell>
          <cell r="S314" t="str">
            <v>character</v>
          </cell>
          <cell r="T314" t="str">
            <v>346,345</v>
          </cell>
          <cell r="U314">
            <v>13001</v>
          </cell>
          <cell r="V314">
            <v>5</v>
          </cell>
          <cell r="W314" t="str">
            <v>チャレンジタワー 5F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 t="str">
            <v>anytime</v>
          </cell>
          <cell r="AC314">
            <v>26</v>
          </cell>
          <cell r="AD314">
            <v>6</v>
          </cell>
          <cell r="AE314" t="str">
            <v>singleonly</v>
          </cell>
        </row>
        <row r="315">
          <cell r="A315" t="str">
            <v>13001_7</v>
          </cell>
          <cell r="B315">
            <v>3</v>
          </cell>
          <cell r="C315">
            <v>13001</v>
          </cell>
          <cell r="D315" t="str">
            <v>チャレンジタワー(ソロ専用)</v>
          </cell>
          <cell r="E315" t="str">
            <v>試練の塔</v>
          </cell>
          <cell r="F315">
            <v>7</v>
          </cell>
          <cell r="G315" t="str">
            <v>ja</v>
          </cell>
          <cell r="H315" t="str">
            <v>チャレンジタワー 7F</v>
          </cell>
          <cell r="I315" t="str">
            <v>試練の塔</v>
          </cell>
          <cell r="J315">
            <v>342</v>
          </cell>
          <cell r="K315">
            <v>8</v>
          </cell>
          <cell r="L315">
            <v>486</v>
          </cell>
          <cell r="M315">
            <v>1</v>
          </cell>
          <cell r="N315">
            <v>1</v>
          </cell>
          <cell r="O315">
            <v>1</v>
          </cell>
          <cell r="P315">
            <v>1</v>
          </cell>
          <cell r="Q315">
            <v>1</v>
          </cell>
          <cell r="R315">
            <v>3</v>
          </cell>
          <cell r="S315" t="str">
            <v>character</v>
          </cell>
          <cell r="T315" t="str">
            <v>342,341</v>
          </cell>
          <cell r="U315">
            <v>13001</v>
          </cell>
          <cell r="V315">
            <v>6</v>
          </cell>
          <cell r="W315" t="str">
            <v>チャレンジタワー 6F</v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  <cell r="AB315" t="str">
            <v>anytime</v>
          </cell>
          <cell r="AC315">
            <v>26</v>
          </cell>
          <cell r="AD315">
            <v>6</v>
          </cell>
          <cell r="AE315" t="str">
            <v>singleonly</v>
          </cell>
        </row>
        <row r="316">
          <cell r="A316" t="str">
            <v>13001_8</v>
          </cell>
          <cell r="B316">
            <v>3</v>
          </cell>
          <cell r="C316">
            <v>13001</v>
          </cell>
          <cell r="D316" t="str">
            <v>チャレンジタワー(ソロ専用)</v>
          </cell>
          <cell r="E316" t="str">
            <v>試練の塔</v>
          </cell>
          <cell r="F316">
            <v>8</v>
          </cell>
          <cell r="G316" t="str">
            <v>ja</v>
          </cell>
          <cell r="H316" t="str">
            <v>チャレンジタワー 8F</v>
          </cell>
          <cell r="I316" t="str">
            <v>試練の塔</v>
          </cell>
          <cell r="J316">
            <v>334</v>
          </cell>
          <cell r="K316">
            <v>10</v>
          </cell>
          <cell r="L316">
            <v>1006</v>
          </cell>
          <cell r="M316">
            <v>1</v>
          </cell>
          <cell r="N316">
            <v>1</v>
          </cell>
          <cell r="O316">
            <v>1</v>
          </cell>
          <cell r="P316">
            <v>1</v>
          </cell>
          <cell r="Q316">
            <v>1</v>
          </cell>
          <cell r="R316">
            <v>3</v>
          </cell>
          <cell r="S316" t="str">
            <v>character</v>
          </cell>
          <cell r="T316" t="str">
            <v>334,333</v>
          </cell>
          <cell r="U316">
            <v>13001</v>
          </cell>
          <cell r="V316">
            <v>7</v>
          </cell>
          <cell r="W316" t="str">
            <v>チャレンジタワー 7F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 t="str">
            <v>anytime</v>
          </cell>
          <cell r="AC316">
            <v>26</v>
          </cell>
          <cell r="AD316">
            <v>6</v>
          </cell>
          <cell r="AE316" t="str">
            <v>singleonly</v>
          </cell>
        </row>
        <row r="317">
          <cell r="A317" t="str">
            <v>13001_9</v>
          </cell>
          <cell r="B317">
            <v>3</v>
          </cell>
          <cell r="C317">
            <v>13001</v>
          </cell>
          <cell r="D317" t="str">
            <v>チャレンジタワー(ソロ専用)</v>
          </cell>
          <cell r="E317" t="str">
            <v>試練の塔</v>
          </cell>
          <cell r="F317">
            <v>9</v>
          </cell>
          <cell r="G317" t="str">
            <v>ja</v>
          </cell>
          <cell r="H317" t="str">
            <v>チャレンジタワー 9F</v>
          </cell>
          <cell r="I317" t="str">
            <v>試練の塔</v>
          </cell>
          <cell r="J317">
            <v>338</v>
          </cell>
          <cell r="K317">
            <v>10</v>
          </cell>
          <cell r="L317">
            <v>702</v>
          </cell>
          <cell r="M317">
            <v>1</v>
          </cell>
          <cell r="N317">
            <v>1</v>
          </cell>
          <cell r="O317">
            <v>1</v>
          </cell>
          <cell r="P317">
            <v>1</v>
          </cell>
          <cell r="Q317">
            <v>1</v>
          </cell>
          <cell r="R317">
            <v>3</v>
          </cell>
          <cell r="S317" t="str">
            <v>character</v>
          </cell>
          <cell r="T317" t="str">
            <v>337,337,338</v>
          </cell>
          <cell r="U317">
            <v>13001</v>
          </cell>
          <cell r="V317">
            <v>8</v>
          </cell>
          <cell r="W317" t="str">
            <v>チャレンジタワー 8F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 t="str">
            <v>anytime</v>
          </cell>
          <cell r="AC317">
            <v>26</v>
          </cell>
          <cell r="AD317">
            <v>6</v>
          </cell>
          <cell r="AE317" t="str">
            <v>singleonly</v>
          </cell>
        </row>
        <row r="318">
          <cell r="A318" t="str">
            <v>13001_10</v>
          </cell>
          <cell r="B318">
            <v>3</v>
          </cell>
          <cell r="C318">
            <v>13001</v>
          </cell>
          <cell r="D318" t="str">
            <v>チャレンジタワー(ソロ専用)</v>
          </cell>
          <cell r="E318" t="str">
            <v>試練の塔</v>
          </cell>
          <cell r="F318">
            <v>10</v>
          </cell>
          <cell r="G318" t="str">
            <v>ja</v>
          </cell>
          <cell r="H318" t="str">
            <v>チャレンジタワー 10F</v>
          </cell>
          <cell r="I318" t="str">
            <v>試練の塔</v>
          </cell>
          <cell r="J318">
            <v>346</v>
          </cell>
          <cell r="K318">
            <v>11</v>
          </cell>
          <cell r="L318">
            <v>788</v>
          </cell>
          <cell r="M318">
            <v>1</v>
          </cell>
          <cell r="N318">
            <v>1</v>
          </cell>
          <cell r="O318">
            <v>1</v>
          </cell>
          <cell r="P318">
            <v>1</v>
          </cell>
          <cell r="Q318">
            <v>1</v>
          </cell>
          <cell r="R318">
            <v>3</v>
          </cell>
          <cell r="S318" t="str">
            <v>character</v>
          </cell>
          <cell r="T318" t="str">
            <v>346,333,337,341</v>
          </cell>
          <cell r="U318">
            <v>13001</v>
          </cell>
          <cell r="V318">
            <v>9</v>
          </cell>
          <cell r="W318" t="str">
            <v>チャレンジタワー 9F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 t="str">
            <v>anytime</v>
          </cell>
          <cell r="AC318">
            <v>26</v>
          </cell>
          <cell r="AD318">
            <v>6</v>
          </cell>
          <cell r="AE318" t="str">
            <v>singleonly</v>
          </cell>
        </row>
        <row r="319">
          <cell r="A319" t="str">
            <v>13001_11</v>
          </cell>
          <cell r="B319">
            <v>3</v>
          </cell>
          <cell r="C319">
            <v>13001</v>
          </cell>
          <cell r="D319" t="str">
            <v>チャレンジタワー(ソロ専用)</v>
          </cell>
          <cell r="E319" t="str">
            <v>試練の塔</v>
          </cell>
          <cell r="F319">
            <v>11</v>
          </cell>
          <cell r="G319" t="str">
            <v>ja</v>
          </cell>
          <cell r="H319" t="str">
            <v>チャレンジタワー 11F</v>
          </cell>
          <cell r="I319" t="str">
            <v>試練の塔</v>
          </cell>
          <cell r="J319">
            <v>346</v>
          </cell>
          <cell r="K319">
            <v>12</v>
          </cell>
          <cell r="L319">
            <v>936</v>
          </cell>
          <cell r="M319">
            <v>1</v>
          </cell>
          <cell r="N319">
            <v>1</v>
          </cell>
          <cell r="O319">
            <v>1</v>
          </cell>
          <cell r="P319">
            <v>1</v>
          </cell>
          <cell r="Q319">
            <v>1</v>
          </cell>
          <cell r="R319">
            <v>3</v>
          </cell>
          <cell r="S319" t="str">
            <v>character</v>
          </cell>
          <cell r="T319" t="str">
            <v>346,346</v>
          </cell>
          <cell r="U319">
            <v>13001</v>
          </cell>
          <cell r="V319">
            <v>10</v>
          </cell>
          <cell r="W319" t="str">
            <v>チャレンジタワー 10F</v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 t="str">
            <v>anytime</v>
          </cell>
          <cell r="AC319">
            <v>26</v>
          </cell>
          <cell r="AD319">
            <v>6</v>
          </cell>
          <cell r="AE319" t="str">
            <v>singleonly</v>
          </cell>
        </row>
        <row r="320">
          <cell r="A320" t="str">
            <v>13001_12</v>
          </cell>
          <cell r="B320">
            <v>3</v>
          </cell>
          <cell r="C320">
            <v>13001</v>
          </cell>
          <cell r="D320" t="str">
            <v>チャレンジタワー(ソロ専用)</v>
          </cell>
          <cell r="E320" t="str">
            <v>試練の塔</v>
          </cell>
          <cell r="F320">
            <v>12</v>
          </cell>
          <cell r="G320" t="str">
            <v>ja</v>
          </cell>
          <cell r="H320" t="str">
            <v>チャレンジタワー 12F</v>
          </cell>
          <cell r="I320" t="str">
            <v>試練の塔</v>
          </cell>
          <cell r="J320">
            <v>342</v>
          </cell>
          <cell r="K320">
            <v>13</v>
          </cell>
          <cell r="L320">
            <v>1601</v>
          </cell>
          <cell r="M320">
            <v>1</v>
          </cell>
          <cell r="N320">
            <v>1</v>
          </cell>
          <cell r="O320">
            <v>1</v>
          </cell>
          <cell r="P320">
            <v>1</v>
          </cell>
          <cell r="Q320">
            <v>1</v>
          </cell>
          <cell r="R320">
            <v>3</v>
          </cell>
          <cell r="S320" t="str">
            <v>character</v>
          </cell>
          <cell r="T320" t="str">
            <v>342,342</v>
          </cell>
          <cell r="U320">
            <v>13001</v>
          </cell>
          <cell r="V320">
            <v>11</v>
          </cell>
          <cell r="W320" t="str">
            <v>チャレンジタワー 11F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 t="str">
            <v>anytime</v>
          </cell>
          <cell r="AC320">
            <v>26</v>
          </cell>
          <cell r="AD320">
            <v>6</v>
          </cell>
          <cell r="AE320" t="str">
            <v>singleonly</v>
          </cell>
        </row>
        <row r="321">
          <cell r="A321" t="str">
            <v>13001_13</v>
          </cell>
          <cell r="B321">
            <v>3</v>
          </cell>
          <cell r="C321">
            <v>13001</v>
          </cell>
          <cell r="D321" t="str">
            <v>チャレンジタワー(ソロ専用)</v>
          </cell>
          <cell r="E321" t="str">
            <v>試練の塔</v>
          </cell>
          <cell r="F321">
            <v>13</v>
          </cell>
          <cell r="G321" t="str">
            <v>ja</v>
          </cell>
          <cell r="H321" t="str">
            <v>チャレンジタワー 13F</v>
          </cell>
          <cell r="I321" t="str">
            <v>試練の塔</v>
          </cell>
          <cell r="J321">
            <v>338</v>
          </cell>
          <cell r="K321">
            <v>14</v>
          </cell>
          <cell r="L321">
            <v>945</v>
          </cell>
          <cell r="M321">
            <v>1</v>
          </cell>
          <cell r="N321">
            <v>1</v>
          </cell>
          <cell r="O321">
            <v>1</v>
          </cell>
          <cell r="P321">
            <v>1</v>
          </cell>
          <cell r="Q321">
            <v>1</v>
          </cell>
          <cell r="R321">
            <v>3</v>
          </cell>
          <cell r="S321" t="str">
            <v>character</v>
          </cell>
          <cell r="T321" t="str">
            <v>338,338</v>
          </cell>
          <cell r="U321">
            <v>13001</v>
          </cell>
          <cell r="V321">
            <v>12</v>
          </cell>
          <cell r="W321" t="str">
            <v>チャレンジタワー 12F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 t="str">
            <v>anytime</v>
          </cell>
          <cell r="AC321">
            <v>26</v>
          </cell>
          <cell r="AD321">
            <v>6</v>
          </cell>
          <cell r="AE321" t="str">
            <v>singleonly</v>
          </cell>
        </row>
        <row r="322">
          <cell r="A322" t="str">
            <v>13001_14</v>
          </cell>
          <cell r="B322">
            <v>3</v>
          </cell>
          <cell r="C322">
            <v>13001</v>
          </cell>
          <cell r="D322" t="str">
            <v>チャレンジタワー(ソロ専用)</v>
          </cell>
          <cell r="E322" t="str">
            <v>試練の塔</v>
          </cell>
          <cell r="F322">
            <v>14</v>
          </cell>
          <cell r="G322" t="str">
            <v>ja</v>
          </cell>
          <cell r="H322" t="str">
            <v>チャレンジタワー 14F</v>
          </cell>
          <cell r="I322" t="str">
            <v>試練の塔</v>
          </cell>
          <cell r="J322">
            <v>334</v>
          </cell>
          <cell r="K322">
            <v>14</v>
          </cell>
          <cell r="L322">
            <v>1188</v>
          </cell>
          <cell r="M322">
            <v>1</v>
          </cell>
          <cell r="N322">
            <v>1</v>
          </cell>
          <cell r="O322">
            <v>1</v>
          </cell>
          <cell r="P322">
            <v>1</v>
          </cell>
          <cell r="Q322">
            <v>1</v>
          </cell>
          <cell r="R322">
            <v>3</v>
          </cell>
          <cell r="S322" t="str">
            <v>character</v>
          </cell>
          <cell r="T322" t="str">
            <v>334,334</v>
          </cell>
          <cell r="U322">
            <v>13001</v>
          </cell>
          <cell r="V322">
            <v>13</v>
          </cell>
          <cell r="W322" t="str">
            <v>チャレンジタワー 13F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 t="str">
            <v>anytime</v>
          </cell>
          <cell r="AC322">
            <v>26</v>
          </cell>
          <cell r="AD322">
            <v>6</v>
          </cell>
          <cell r="AE322" t="str">
            <v>singleonly</v>
          </cell>
        </row>
        <row r="323">
          <cell r="A323" t="str">
            <v>13001_15</v>
          </cell>
          <cell r="B323">
            <v>3</v>
          </cell>
          <cell r="C323">
            <v>13001</v>
          </cell>
          <cell r="D323" t="str">
            <v>チャレンジタワー(ソロ専用)</v>
          </cell>
          <cell r="E323" t="str">
            <v>試練の塔</v>
          </cell>
          <cell r="F323">
            <v>15</v>
          </cell>
          <cell r="G323" t="str">
            <v>ja</v>
          </cell>
          <cell r="H323" t="str">
            <v>チャレンジタワー 15F</v>
          </cell>
          <cell r="I323" t="str">
            <v>試練の塔</v>
          </cell>
          <cell r="J323">
            <v>316</v>
          </cell>
          <cell r="K323">
            <v>14</v>
          </cell>
          <cell r="L323">
            <v>1008</v>
          </cell>
          <cell r="M323">
            <v>1</v>
          </cell>
          <cell r="N323">
            <v>1</v>
          </cell>
          <cell r="O323">
            <v>1</v>
          </cell>
          <cell r="P323">
            <v>1</v>
          </cell>
          <cell r="Q323">
            <v>1</v>
          </cell>
          <cell r="R323">
            <v>3</v>
          </cell>
          <cell r="S323" t="str">
            <v>character</v>
          </cell>
          <cell r="T323" t="str">
            <v>316</v>
          </cell>
          <cell r="U323">
            <v>13001</v>
          </cell>
          <cell r="V323">
            <v>14</v>
          </cell>
          <cell r="W323" t="str">
            <v>チャレンジタワー 14F</v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 t="str">
            <v>anytime</v>
          </cell>
          <cell r="AC323">
            <v>26</v>
          </cell>
          <cell r="AD323">
            <v>6</v>
          </cell>
          <cell r="AE323" t="str">
            <v>singleonly</v>
          </cell>
        </row>
        <row r="324">
          <cell r="A324" t="str">
            <v>13001_16</v>
          </cell>
          <cell r="B324">
            <v>3</v>
          </cell>
          <cell r="C324">
            <v>13001</v>
          </cell>
          <cell r="D324" t="str">
            <v>チャレンジタワー(ソロ専用)</v>
          </cell>
          <cell r="E324" t="str">
            <v>試練の塔</v>
          </cell>
          <cell r="F324">
            <v>16</v>
          </cell>
          <cell r="G324" t="str">
            <v>ja</v>
          </cell>
          <cell r="H324" t="str">
            <v>チャレンジタワー 16F</v>
          </cell>
          <cell r="I324" t="str">
            <v>試練の塔</v>
          </cell>
          <cell r="J324">
            <v>338</v>
          </cell>
          <cell r="K324">
            <v>16</v>
          </cell>
          <cell r="L324">
            <v>2573</v>
          </cell>
          <cell r="M324">
            <v>1</v>
          </cell>
          <cell r="N324">
            <v>1</v>
          </cell>
          <cell r="O324">
            <v>1</v>
          </cell>
          <cell r="P324">
            <v>1</v>
          </cell>
          <cell r="Q324">
            <v>1</v>
          </cell>
          <cell r="R324">
            <v>3</v>
          </cell>
          <cell r="S324" t="str">
            <v>character</v>
          </cell>
          <cell r="T324" t="str">
            <v>338,338,337</v>
          </cell>
          <cell r="U324">
            <v>13001</v>
          </cell>
          <cell r="V324">
            <v>15</v>
          </cell>
          <cell r="W324" t="str">
            <v>チャレンジタワー 15F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 t="str">
            <v>anytime</v>
          </cell>
          <cell r="AC324">
            <v>26</v>
          </cell>
          <cell r="AD324">
            <v>6</v>
          </cell>
          <cell r="AE324" t="str">
            <v>singleonly</v>
          </cell>
        </row>
        <row r="325">
          <cell r="A325" t="str">
            <v>13001_17</v>
          </cell>
          <cell r="B325">
            <v>3</v>
          </cell>
          <cell r="C325">
            <v>13001</v>
          </cell>
          <cell r="D325" t="str">
            <v>チャレンジタワー(ソロ専用)</v>
          </cell>
          <cell r="E325" t="str">
            <v>試練の塔</v>
          </cell>
          <cell r="F325">
            <v>17</v>
          </cell>
          <cell r="G325" t="str">
            <v>ja</v>
          </cell>
          <cell r="H325" t="str">
            <v>チャレンジタワー 17F</v>
          </cell>
          <cell r="I325" t="str">
            <v>試練の塔</v>
          </cell>
          <cell r="J325">
            <v>346</v>
          </cell>
          <cell r="K325">
            <v>16</v>
          </cell>
          <cell r="L325">
            <v>1568</v>
          </cell>
          <cell r="M325">
            <v>1</v>
          </cell>
          <cell r="N325">
            <v>1</v>
          </cell>
          <cell r="O325">
            <v>1</v>
          </cell>
          <cell r="P325">
            <v>1</v>
          </cell>
          <cell r="Q325">
            <v>1</v>
          </cell>
          <cell r="R325">
            <v>3</v>
          </cell>
          <cell r="S325" t="str">
            <v>character</v>
          </cell>
          <cell r="T325" t="str">
            <v>346,346,345</v>
          </cell>
          <cell r="U325">
            <v>13001</v>
          </cell>
          <cell r="V325">
            <v>16</v>
          </cell>
          <cell r="W325" t="str">
            <v>チャレンジタワー 16F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 t="str">
            <v>anytime</v>
          </cell>
          <cell r="AC325">
            <v>26</v>
          </cell>
          <cell r="AD325">
            <v>6</v>
          </cell>
          <cell r="AE325" t="str">
            <v>singleonly</v>
          </cell>
        </row>
        <row r="326">
          <cell r="A326" t="str">
            <v>13001_18</v>
          </cell>
          <cell r="B326">
            <v>3</v>
          </cell>
          <cell r="C326">
            <v>13001</v>
          </cell>
          <cell r="D326" t="str">
            <v>チャレンジタワー(ソロ専用)</v>
          </cell>
          <cell r="E326" t="str">
            <v>試練の塔</v>
          </cell>
          <cell r="F326">
            <v>18</v>
          </cell>
          <cell r="G326" t="str">
            <v>ja</v>
          </cell>
          <cell r="H326" t="str">
            <v>チャレンジタワー 18F</v>
          </cell>
          <cell r="I326" t="str">
            <v>試練の塔</v>
          </cell>
          <cell r="J326">
            <v>334</v>
          </cell>
          <cell r="K326">
            <v>17</v>
          </cell>
          <cell r="L326">
            <v>1821</v>
          </cell>
          <cell r="M326">
            <v>1</v>
          </cell>
          <cell r="N326">
            <v>1</v>
          </cell>
          <cell r="O326">
            <v>1</v>
          </cell>
          <cell r="P326">
            <v>1</v>
          </cell>
          <cell r="Q326">
            <v>1</v>
          </cell>
          <cell r="R326">
            <v>3</v>
          </cell>
          <cell r="S326" t="str">
            <v>character</v>
          </cell>
          <cell r="T326" t="str">
            <v>334,334,333</v>
          </cell>
          <cell r="U326">
            <v>13001</v>
          </cell>
          <cell r="V326">
            <v>17</v>
          </cell>
          <cell r="W326" t="str">
            <v>チャレンジタワー 17F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 t="str">
            <v>anytime</v>
          </cell>
          <cell r="AC326">
            <v>26</v>
          </cell>
          <cell r="AD326">
            <v>6</v>
          </cell>
          <cell r="AE326" t="str">
            <v>singleonly</v>
          </cell>
        </row>
        <row r="327">
          <cell r="A327" t="str">
            <v>13001_19</v>
          </cell>
          <cell r="B327">
            <v>3</v>
          </cell>
          <cell r="C327">
            <v>13001</v>
          </cell>
          <cell r="D327" t="str">
            <v>チャレンジタワー(ソロ専用)</v>
          </cell>
          <cell r="E327" t="str">
            <v>試練の塔</v>
          </cell>
          <cell r="F327">
            <v>19</v>
          </cell>
          <cell r="G327" t="str">
            <v>ja</v>
          </cell>
          <cell r="H327" t="str">
            <v>チャレンジタワー 19F</v>
          </cell>
          <cell r="I327" t="str">
            <v>試練の塔</v>
          </cell>
          <cell r="J327">
            <v>342</v>
          </cell>
          <cell r="K327">
            <v>18</v>
          </cell>
          <cell r="L327">
            <v>2108</v>
          </cell>
          <cell r="M327">
            <v>1</v>
          </cell>
          <cell r="N327">
            <v>1</v>
          </cell>
          <cell r="O327">
            <v>1</v>
          </cell>
          <cell r="P327">
            <v>1</v>
          </cell>
          <cell r="Q327">
            <v>1</v>
          </cell>
          <cell r="R327">
            <v>3</v>
          </cell>
          <cell r="S327" t="str">
            <v>character</v>
          </cell>
          <cell r="T327" t="str">
            <v>342,342,341</v>
          </cell>
          <cell r="U327">
            <v>13001</v>
          </cell>
          <cell r="V327">
            <v>18</v>
          </cell>
          <cell r="W327" t="str">
            <v>チャレンジタワー 18F</v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 t="str">
            <v>anytime</v>
          </cell>
          <cell r="AC327">
            <v>26</v>
          </cell>
          <cell r="AD327">
            <v>6</v>
          </cell>
          <cell r="AE327" t="str">
            <v>singleonly</v>
          </cell>
        </row>
        <row r="328">
          <cell r="A328" t="str">
            <v>13001_20</v>
          </cell>
          <cell r="B328">
            <v>3</v>
          </cell>
          <cell r="C328">
            <v>13001</v>
          </cell>
          <cell r="D328" t="str">
            <v>チャレンジタワー(ソロ専用)</v>
          </cell>
          <cell r="E328" t="str">
            <v>試練の塔</v>
          </cell>
          <cell r="F328">
            <v>20</v>
          </cell>
          <cell r="G328" t="str">
            <v>ja</v>
          </cell>
          <cell r="H328" t="str">
            <v>チャレンジタワー 20F</v>
          </cell>
          <cell r="I328" t="str">
            <v>試練の塔</v>
          </cell>
          <cell r="J328">
            <v>318</v>
          </cell>
          <cell r="K328">
            <v>18</v>
          </cell>
          <cell r="L328">
            <v>1620</v>
          </cell>
          <cell r="M328">
            <v>1</v>
          </cell>
          <cell r="N328">
            <v>1</v>
          </cell>
          <cell r="O328">
            <v>1</v>
          </cell>
          <cell r="P328">
            <v>1</v>
          </cell>
          <cell r="Q328">
            <v>1</v>
          </cell>
          <cell r="R328">
            <v>3</v>
          </cell>
          <cell r="S328" t="str">
            <v>character</v>
          </cell>
          <cell r="T328" t="str">
            <v>318</v>
          </cell>
          <cell r="U328">
            <v>13001</v>
          </cell>
          <cell r="V328">
            <v>19</v>
          </cell>
          <cell r="W328" t="str">
            <v>チャレンジタワー 19F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 t="str">
            <v>anytime</v>
          </cell>
          <cell r="AC328">
            <v>26</v>
          </cell>
          <cell r="AD328">
            <v>6</v>
          </cell>
          <cell r="AE328" t="str">
            <v>singleonly</v>
          </cell>
        </row>
        <row r="329">
          <cell r="A329" t="str">
            <v>13001_21</v>
          </cell>
          <cell r="B329">
            <v>3</v>
          </cell>
          <cell r="C329">
            <v>13001</v>
          </cell>
          <cell r="D329" t="str">
            <v>チャレンジタワー(ソロ専用)</v>
          </cell>
          <cell r="E329" t="str">
            <v>試練の塔</v>
          </cell>
          <cell r="F329">
            <v>21</v>
          </cell>
          <cell r="G329" t="str">
            <v>ja</v>
          </cell>
          <cell r="H329" t="str">
            <v>チャレンジタワー 21F</v>
          </cell>
          <cell r="I329" t="str">
            <v>試練の塔</v>
          </cell>
          <cell r="J329" t="str">
            <v>335</v>
          </cell>
          <cell r="K329">
            <v>18</v>
          </cell>
          <cell r="L329">
            <v>1620</v>
          </cell>
          <cell r="M329">
            <v>1</v>
          </cell>
          <cell r="N329">
            <v>1</v>
          </cell>
          <cell r="O329">
            <v>1</v>
          </cell>
          <cell r="P329">
            <v>1</v>
          </cell>
          <cell r="Q329">
            <v>1</v>
          </cell>
          <cell r="R329">
            <v>3</v>
          </cell>
          <cell r="S329" t="str">
            <v>character</v>
          </cell>
          <cell r="T329" t="str">
            <v>334,335,335</v>
          </cell>
          <cell r="U329">
            <v>13001</v>
          </cell>
          <cell r="V329">
            <v>20</v>
          </cell>
          <cell r="W329" t="str">
            <v>チャレンジタワー 20F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 t="str">
            <v>anytime</v>
          </cell>
          <cell r="AC329">
            <v>26</v>
          </cell>
          <cell r="AD329">
            <v>6</v>
          </cell>
          <cell r="AE329" t="str">
            <v>singleonly</v>
          </cell>
        </row>
        <row r="330">
          <cell r="A330" t="str">
            <v>13001_22</v>
          </cell>
          <cell r="B330">
            <v>3</v>
          </cell>
          <cell r="C330">
            <v>13001</v>
          </cell>
          <cell r="D330" t="str">
            <v>チャレンジタワー(ソロ専用)</v>
          </cell>
          <cell r="E330" t="str">
            <v>試練の塔</v>
          </cell>
          <cell r="F330">
            <v>22</v>
          </cell>
          <cell r="G330" t="str">
            <v>ja</v>
          </cell>
          <cell r="H330" t="str">
            <v>チャレンジタワー 22F</v>
          </cell>
          <cell r="I330" t="str">
            <v>試練の塔</v>
          </cell>
          <cell r="J330" t="str">
            <v>339</v>
          </cell>
          <cell r="K330">
            <v>18</v>
          </cell>
          <cell r="L330">
            <v>1620</v>
          </cell>
          <cell r="M330">
            <v>1</v>
          </cell>
          <cell r="N330">
            <v>1</v>
          </cell>
          <cell r="O330">
            <v>1</v>
          </cell>
          <cell r="P330">
            <v>1</v>
          </cell>
          <cell r="Q330">
            <v>1</v>
          </cell>
          <cell r="R330">
            <v>3</v>
          </cell>
          <cell r="S330" t="str">
            <v>character</v>
          </cell>
          <cell r="T330" t="str">
            <v>338,339,339</v>
          </cell>
          <cell r="U330">
            <v>13001</v>
          </cell>
          <cell r="V330">
            <v>21</v>
          </cell>
          <cell r="W330" t="str">
            <v>チャレンジタワー 21F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 t="str">
            <v>anytime</v>
          </cell>
          <cell r="AC330">
            <v>26</v>
          </cell>
          <cell r="AD330">
            <v>6</v>
          </cell>
          <cell r="AE330" t="str">
            <v>singleonly</v>
          </cell>
        </row>
        <row r="331">
          <cell r="A331" t="str">
            <v>13001_23</v>
          </cell>
          <cell r="B331">
            <v>3</v>
          </cell>
          <cell r="C331">
            <v>13001</v>
          </cell>
          <cell r="D331" t="str">
            <v>チャレンジタワー(ソロ専用)</v>
          </cell>
          <cell r="E331" t="str">
            <v>試練の塔</v>
          </cell>
          <cell r="F331">
            <v>23</v>
          </cell>
          <cell r="G331" t="str">
            <v>ja</v>
          </cell>
          <cell r="H331" t="str">
            <v>チャレンジタワー 23F</v>
          </cell>
          <cell r="I331" t="str">
            <v>試練の塔</v>
          </cell>
          <cell r="J331" t="str">
            <v>347</v>
          </cell>
          <cell r="K331">
            <v>20</v>
          </cell>
          <cell r="L331">
            <v>1821</v>
          </cell>
          <cell r="M331">
            <v>1</v>
          </cell>
          <cell r="N331">
            <v>1</v>
          </cell>
          <cell r="O331">
            <v>1</v>
          </cell>
          <cell r="P331">
            <v>1</v>
          </cell>
          <cell r="Q331">
            <v>1</v>
          </cell>
          <cell r="R331">
            <v>3</v>
          </cell>
          <cell r="S331" t="str">
            <v>character</v>
          </cell>
          <cell r="T331" t="str">
            <v>346,347,347</v>
          </cell>
          <cell r="U331">
            <v>13001</v>
          </cell>
          <cell r="V331">
            <v>22</v>
          </cell>
          <cell r="W331" t="str">
            <v>チャレンジタワー 22F</v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 t="str">
            <v>anytime</v>
          </cell>
          <cell r="AC331">
            <v>26</v>
          </cell>
          <cell r="AD331">
            <v>6</v>
          </cell>
          <cell r="AE331" t="str">
            <v>singleonly</v>
          </cell>
        </row>
        <row r="332">
          <cell r="A332" t="str">
            <v>13001_24</v>
          </cell>
          <cell r="B332">
            <v>3</v>
          </cell>
          <cell r="C332">
            <v>13001</v>
          </cell>
          <cell r="D332" t="str">
            <v>チャレンジタワー(ソロ専用)</v>
          </cell>
          <cell r="E332" t="str">
            <v>試練の塔</v>
          </cell>
          <cell r="F332">
            <v>24</v>
          </cell>
          <cell r="G332" t="str">
            <v>ja</v>
          </cell>
          <cell r="H332" t="str">
            <v>チャレンジタワー 24F</v>
          </cell>
          <cell r="I332" t="str">
            <v>試練の塔</v>
          </cell>
          <cell r="J332" t="str">
            <v>343</v>
          </cell>
          <cell r="K332">
            <v>20</v>
          </cell>
          <cell r="L332">
            <v>2871</v>
          </cell>
          <cell r="M332">
            <v>1</v>
          </cell>
          <cell r="N332">
            <v>1</v>
          </cell>
          <cell r="O332">
            <v>1</v>
          </cell>
          <cell r="P332">
            <v>1</v>
          </cell>
          <cell r="Q332">
            <v>1</v>
          </cell>
          <cell r="R332">
            <v>3</v>
          </cell>
          <cell r="S332" t="str">
            <v>character</v>
          </cell>
          <cell r="T332" t="str">
            <v>342,343,343</v>
          </cell>
          <cell r="U332">
            <v>13001</v>
          </cell>
          <cell r="V332">
            <v>23</v>
          </cell>
          <cell r="W332" t="str">
            <v>チャレンジタワー 23F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 t="str">
            <v>anytime</v>
          </cell>
          <cell r="AC332">
            <v>26</v>
          </cell>
          <cell r="AD332">
            <v>6</v>
          </cell>
          <cell r="AE332" t="str">
            <v>singleonly</v>
          </cell>
        </row>
        <row r="333">
          <cell r="A333" t="str">
            <v>13001_25</v>
          </cell>
          <cell r="B333">
            <v>3</v>
          </cell>
          <cell r="C333">
            <v>13001</v>
          </cell>
          <cell r="D333" t="str">
            <v>チャレンジタワー(ソロ専用)</v>
          </cell>
          <cell r="E333" t="str">
            <v>試練の塔</v>
          </cell>
          <cell r="F333">
            <v>25</v>
          </cell>
          <cell r="G333" t="str">
            <v>ja</v>
          </cell>
          <cell r="H333" t="str">
            <v>チャレンジタワー 25F</v>
          </cell>
          <cell r="I333" t="str">
            <v>試練の塔</v>
          </cell>
          <cell r="J333" t="str">
            <v>368</v>
          </cell>
          <cell r="K333">
            <v>22</v>
          </cell>
          <cell r="L333">
            <v>3740</v>
          </cell>
          <cell r="M333">
            <v>1</v>
          </cell>
          <cell r="N333">
            <v>1</v>
          </cell>
          <cell r="O333">
            <v>1</v>
          </cell>
          <cell r="P333">
            <v>1</v>
          </cell>
          <cell r="Q333">
            <v>1</v>
          </cell>
          <cell r="R333">
            <v>3</v>
          </cell>
          <cell r="S333" t="str">
            <v>character</v>
          </cell>
          <cell r="T333" t="str">
            <v>368</v>
          </cell>
          <cell r="U333">
            <v>13001</v>
          </cell>
          <cell r="V333">
            <v>24</v>
          </cell>
          <cell r="W333" t="str">
            <v>チャレンジタワー 24F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 t="str">
            <v>anytime</v>
          </cell>
          <cell r="AC333">
            <v>26</v>
          </cell>
          <cell r="AD333">
            <v>6</v>
          </cell>
          <cell r="AE333" t="str">
            <v>singleonly</v>
          </cell>
        </row>
        <row r="334">
          <cell r="A334" t="str">
            <v>13101_1</v>
          </cell>
          <cell r="B334">
            <v>1</v>
          </cell>
          <cell r="C334">
            <v>13101</v>
          </cell>
          <cell r="D334" t="str">
            <v>チャレンジタワー</v>
          </cell>
          <cell r="E334" t="str">
            <v>リセット型チャレンジタワー</v>
          </cell>
          <cell r="F334">
            <v>1</v>
          </cell>
          <cell r="G334" t="str">
            <v>ja</v>
          </cell>
          <cell r="H334" t="str">
            <v>チャレンジタワー 1F</v>
          </cell>
          <cell r="I334" t="str">
            <v>試練の塔</v>
          </cell>
          <cell r="J334">
            <v>345</v>
          </cell>
          <cell r="K334">
            <v>3</v>
          </cell>
          <cell r="L334">
            <v>120</v>
          </cell>
          <cell r="M334">
            <v>1</v>
          </cell>
          <cell r="N334">
            <v>1</v>
          </cell>
          <cell r="O334">
            <v>1</v>
          </cell>
          <cell r="P334">
            <v>1</v>
          </cell>
          <cell r="Q334">
            <v>1</v>
          </cell>
          <cell r="R334">
            <v>3</v>
          </cell>
          <cell r="S334" t="str">
            <v>character</v>
          </cell>
          <cell r="T334" t="str">
            <v>345,345</v>
          </cell>
          <cell r="U334" t="str">
            <v>NULL</v>
          </cell>
          <cell r="V334" t="str">
            <v>NULL</v>
          </cell>
          <cell r="W334" t="str">
            <v/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 t="str">
            <v>anytime</v>
          </cell>
          <cell r="AC334">
            <v>26</v>
          </cell>
          <cell r="AD334">
            <v>6</v>
          </cell>
          <cell r="AE334" t="str">
            <v>singleonly</v>
          </cell>
        </row>
        <row r="335">
          <cell r="A335" t="str">
            <v>13101_2</v>
          </cell>
          <cell r="B335">
            <v>1</v>
          </cell>
          <cell r="C335">
            <v>13101</v>
          </cell>
          <cell r="D335" t="str">
            <v>チャレンジタワー</v>
          </cell>
          <cell r="E335" t="str">
            <v>リセット型チャレンジタワー</v>
          </cell>
          <cell r="F335">
            <v>2</v>
          </cell>
          <cell r="G335" t="str">
            <v>ja</v>
          </cell>
          <cell r="H335" t="str">
            <v>チャレンジタワー 2F</v>
          </cell>
          <cell r="I335" t="str">
            <v>試練の塔</v>
          </cell>
          <cell r="J335">
            <v>333</v>
          </cell>
          <cell r="K335">
            <v>4</v>
          </cell>
          <cell r="L335">
            <v>176</v>
          </cell>
          <cell r="M335">
            <v>1</v>
          </cell>
          <cell r="N335">
            <v>1</v>
          </cell>
          <cell r="O335">
            <v>1</v>
          </cell>
          <cell r="P335">
            <v>1</v>
          </cell>
          <cell r="Q335">
            <v>1</v>
          </cell>
          <cell r="R335">
            <v>3</v>
          </cell>
          <cell r="S335" t="str">
            <v>character</v>
          </cell>
          <cell r="T335" t="str">
            <v>333,333</v>
          </cell>
          <cell r="U335">
            <v>13101</v>
          </cell>
          <cell r="V335">
            <v>1</v>
          </cell>
          <cell r="W335" t="str">
            <v>チャレンジタワー 1F</v>
          </cell>
          <cell r="X335">
            <v>0</v>
          </cell>
          <cell r="Y335">
            <v>0</v>
          </cell>
          <cell r="Z335">
            <v>0</v>
          </cell>
          <cell r="AA335">
            <v>0</v>
          </cell>
          <cell r="AB335" t="str">
            <v>anytime</v>
          </cell>
          <cell r="AC335">
            <v>26</v>
          </cell>
          <cell r="AD335">
            <v>6</v>
          </cell>
          <cell r="AE335" t="str">
            <v>singleonly</v>
          </cell>
        </row>
        <row r="336">
          <cell r="A336" t="str">
            <v>13101_3</v>
          </cell>
          <cell r="B336">
            <v>1</v>
          </cell>
          <cell r="C336">
            <v>13101</v>
          </cell>
          <cell r="D336" t="str">
            <v>チャレンジタワー</v>
          </cell>
          <cell r="E336" t="str">
            <v>リセット型チャレンジタワー</v>
          </cell>
          <cell r="F336">
            <v>3</v>
          </cell>
          <cell r="G336" t="str">
            <v>ja</v>
          </cell>
          <cell r="H336" t="str">
            <v>チャレンジタワー 3F</v>
          </cell>
          <cell r="I336" t="str">
            <v>試練の塔</v>
          </cell>
          <cell r="J336">
            <v>337</v>
          </cell>
          <cell r="K336">
            <v>5</v>
          </cell>
          <cell r="L336">
            <v>242</v>
          </cell>
          <cell r="M336">
            <v>1</v>
          </cell>
          <cell r="N336">
            <v>1</v>
          </cell>
          <cell r="O336">
            <v>1</v>
          </cell>
          <cell r="P336">
            <v>1</v>
          </cell>
          <cell r="Q336">
            <v>1</v>
          </cell>
          <cell r="R336">
            <v>3</v>
          </cell>
          <cell r="S336" t="str">
            <v>character</v>
          </cell>
          <cell r="T336" t="str">
            <v>337,337</v>
          </cell>
          <cell r="U336">
            <v>13101</v>
          </cell>
          <cell r="V336">
            <v>2</v>
          </cell>
          <cell r="W336" t="str">
            <v>チャレンジタワー 2F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 t="str">
            <v>anytime</v>
          </cell>
          <cell r="AC336">
            <v>26</v>
          </cell>
          <cell r="AD336">
            <v>6</v>
          </cell>
          <cell r="AE336" t="str">
            <v>singleonly</v>
          </cell>
        </row>
        <row r="337">
          <cell r="A337" t="str">
            <v>13101_4</v>
          </cell>
          <cell r="B337">
            <v>1</v>
          </cell>
          <cell r="C337">
            <v>13101</v>
          </cell>
          <cell r="D337" t="str">
            <v>チャレンジタワー</v>
          </cell>
          <cell r="E337" t="str">
            <v>リセット型チャレンジタワー</v>
          </cell>
          <cell r="F337">
            <v>4</v>
          </cell>
          <cell r="G337" t="str">
            <v>ja</v>
          </cell>
          <cell r="H337" t="str">
            <v>チャレンジタワー 4F</v>
          </cell>
          <cell r="I337" t="str">
            <v>試練の塔</v>
          </cell>
          <cell r="J337">
            <v>341</v>
          </cell>
          <cell r="K337">
            <v>7</v>
          </cell>
          <cell r="L337">
            <v>508</v>
          </cell>
          <cell r="M337">
            <v>1</v>
          </cell>
          <cell r="N337">
            <v>1</v>
          </cell>
          <cell r="O337">
            <v>1</v>
          </cell>
          <cell r="P337">
            <v>1</v>
          </cell>
          <cell r="Q337">
            <v>1</v>
          </cell>
          <cell r="R337">
            <v>3</v>
          </cell>
          <cell r="S337" t="str">
            <v>character</v>
          </cell>
          <cell r="T337" t="str">
            <v>341,341</v>
          </cell>
          <cell r="U337">
            <v>13101</v>
          </cell>
          <cell r="V337">
            <v>3</v>
          </cell>
          <cell r="W337" t="str">
            <v>チャレンジタワー 3F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 t="str">
            <v>anytime</v>
          </cell>
          <cell r="AC337">
            <v>26</v>
          </cell>
          <cell r="AD337">
            <v>6</v>
          </cell>
          <cell r="AE337" t="str">
            <v>singleonly</v>
          </cell>
        </row>
        <row r="338">
          <cell r="A338" t="str">
            <v>13101_5</v>
          </cell>
          <cell r="B338">
            <v>1</v>
          </cell>
          <cell r="C338">
            <v>13101</v>
          </cell>
          <cell r="D338" t="str">
            <v>チャレンジタワー</v>
          </cell>
          <cell r="E338" t="str">
            <v>リセット型チャレンジタワー</v>
          </cell>
          <cell r="F338">
            <v>5</v>
          </cell>
          <cell r="G338" t="str">
            <v>ja</v>
          </cell>
          <cell r="H338" t="str">
            <v>チャレンジタワー 5F</v>
          </cell>
          <cell r="I338" t="str">
            <v>試練の塔</v>
          </cell>
          <cell r="J338">
            <v>333</v>
          </cell>
          <cell r="K338">
            <v>7</v>
          </cell>
          <cell r="L338">
            <v>280</v>
          </cell>
          <cell r="M338">
            <v>1</v>
          </cell>
          <cell r="N338">
            <v>1</v>
          </cell>
          <cell r="O338">
            <v>1</v>
          </cell>
          <cell r="P338">
            <v>1</v>
          </cell>
          <cell r="Q338">
            <v>1</v>
          </cell>
          <cell r="R338">
            <v>3</v>
          </cell>
          <cell r="S338" t="str">
            <v>character</v>
          </cell>
          <cell r="T338" t="str">
            <v>333,337,341,345</v>
          </cell>
          <cell r="U338">
            <v>13101</v>
          </cell>
          <cell r="V338">
            <v>4</v>
          </cell>
          <cell r="W338" t="str">
            <v>チャレンジタワー 4F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 t="str">
            <v>anytime</v>
          </cell>
          <cell r="AC338">
            <v>26</v>
          </cell>
          <cell r="AD338">
            <v>6</v>
          </cell>
          <cell r="AE338" t="str">
            <v>singleonly</v>
          </cell>
        </row>
        <row r="339">
          <cell r="A339" t="str">
            <v>13101_6</v>
          </cell>
          <cell r="B339">
            <v>1</v>
          </cell>
          <cell r="C339">
            <v>13101</v>
          </cell>
          <cell r="D339" t="str">
            <v>チャレンジタワー</v>
          </cell>
          <cell r="E339" t="str">
            <v>リセット型チャレンジタワー</v>
          </cell>
          <cell r="F339">
            <v>6</v>
          </cell>
          <cell r="G339" t="str">
            <v>ja</v>
          </cell>
          <cell r="H339" t="str">
            <v>チャレンジタワー 6F</v>
          </cell>
          <cell r="I339" t="str">
            <v>試練の塔</v>
          </cell>
          <cell r="J339">
            <v>346</v>
          </cell>
          <cell r="K339">
            <v>8</v>
          </cell>
          <cell r="L339">
            <v>474</v>
          </cell>
          <cell r="M339">
            <v>1</v>
          </cell>
          <cell r="N339">
            <v>1</v>
          </cell>
          <cell r="O339">
            <v>1</v>
          </cell>
          <cell r="P339">
            <v>1</v>
          </cell>
          <cell r="Q339">
            <v>1</v>
          </cell>
          <cell r="R339">
            <v>3</v>
          </cell>
          <cell r="S339" t="str">
            <v>character</v>
          </cell>
          <cell r="T339" t="str">
            <v>346,345</v>
          </cell>
          <cell r="U339">
            <v>13101</v>
          </cell>
          <cell r="V339">
            <v>5</v>
          </cell>
          <cell r="W339" t="str">
            <v>チャレンジタワー 5F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 t="str">
            <v>anytime</v>
          </cell>
          <cell r="AC339">
            <v>26</v>
          </cell>
          <cell r="AD339">
            <v>6</v>
          </cell>
          <cell r="AE339" t="str">
            <v>singleonly</v>
          </cell>
        </row>
        <row r="340">
          <cell r="A340" t="str">
            <v>13101_7</v>
          </cell>
          <cell r="B340">
            <v>1</v>
          </cell>
          <cell r="C340">
            <v>13101</v>
          </cell>
          <cell r="D340" t="str">
            <v>チャレンジタワー</v>
          </cell>
          <cell r="E340" t="str">
            <v>リセット型チャレンジタワー</v>
          </cell>
          <cell r="F340">
            <v>7</v>
          </cell>
          <cell r="G340" t="str">
            <v>ja</v>
          </cell>
          <cell r="H340" t="str">
            <v>チャレンジタワー 7F</v>
          </cell>
          <cell r="I340" t="str">
            <v>試練の塔</v>
          </cell>
          <cell r="J340">
            <v>342</v>
          </cell>
          <cell r="K340">
            <v>8</v>
          </cell>
          <cell r="L340">
            <v>486</v>
          </cell>
          <cell r="M340">
            <v>1</v>
          </cell>
          <cell r="N340">
            <v>1</v>
          </cell>
          <cell r="O340">
            <v>1</v>
          </cell>
          <cell r="P340">
            <v>1</v>
          </cell>
          <cell r="Q340">
            <v>1</v>
          </cell>
          <cell r="R340">
            <v>3</v>
          </cell>
          <cell r="S340" t="str">
            <v>character</v>
          </cell>
          <cell r="T340" t="str">
            <v>342,341</v>
          </cell>
          <cell r="U340">
            <v>13101</v>
          </cell>
          <cell r="V340">
            <v>6</v>
          </cell>
          <cell r="W340" t="str">
            <v>チャレンジタワー 6F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 t="str">
            <v>anytime</v>
          </cell>
          <cell r="AC340">
            <v>26</v>
          </cell>
          <cell r="AD340">
            <v>6</v>
          </cell>
          <cell r="AE340" t="str">
            <v>singleonly</v>
          </cell>
        </row>
        <row r="341">
          <cell r="A341" t="str">
            <v>13101_8</v>
          </cell>
          <cell r="B341">
            <v>1</v>
          </cell>
          <cell r="C341">
            <v>13101</v>
          </cell>
          <cell r="D341" t="str">
            <v>チャレンジタワー</v>
          </cell>
          <cell r="E341" t="str">
            <v>リセット型チャレンジタワー</v>
          </cell>
          <cell r="F341">
            <v>8</v>
          </cell>
          <cell r="G341" t="str">
            <v>ja</v>
          </cell>
          <cell r="H341" t="str">
            <v>チャレンジタワー 8F</v>
          </cell>
          <cell r="I341" t="str">
            <v>試練の塔</v>
          </cell>
          <cell r="J341">
            <v>334</v>
          </cell>
          <cell r="K341">
            <v>10</v>
          </cell>
          <cell r="L341">
            <v>1006</v>
          </cell>
          <cell r="M341">
            <v>1</v>
          </cell>
          <cell r="N341">
            <v>1</v>
          </cell>
          <cell r="O341">
            <v>1</v>
          </cell>
          <cell r="P341">
            <v>1</v>
          </cell>
          <cell r="Q341">
            <v>1</v>
          </cell>
          <cell r="R341">
            <v>3</v>
          </cell>
          <cell r="S341" t="str">
            <v>character</v>
          </cell>
          <cell r="T341" t="str">
            <v>334,333</v>
          </cell>
          <cell r="U341">
            <v>13101</v>
          </cell>
          <cell r="V341">
            <v>7</v>
          </cell>
          <cell r="W341" t="str">
            <v>チャレンジタワー 7F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 t="str">
            <v>anytime</v>
          </cell>
          <cell r="AC341">
            <v>26</v>
          </cell>
          <cell r="AD341">
            <v>6</v>
          </cell>
          <cell r="AE341" t="str">
            <v>singleonly</v>
          </cell>
        </row>
        <row r="342">
          <cell r="A342" t="str">
            <v>13101_9</v>
          </cell>
          <cell r="B342">
            <v>1</v>
          </cell>
          <cell r="C342">
            <v>13101</v>
          </cell>
          <cell r="D342" t="str">
            <v>チャレンジタワー</v>
          </cell>
          <cell r="E342" t="str">
            <v>リセット型チャレンジタワー</v>
          </cell>
          <cell r="F342">
            <v>9</v>
          </cell>
          <cell r="G342" t="str">
            <v>ja</v>
          </cell>
          <cell r="H342" t="str">
            <v>チャレンジタワー 9F</v>
          </cell>
          <cell r="I342" t="str">
            <v>試練の塔</v>
          </cell>
          <cell r="J342">
            <v>338</v>
          </cell>
          <cell r="K342">
            <v>10</v>
          </cell>
          <cell r="L342">
            <v>702</v>
          </cell>
          <cell r="M342">
            <v>1</v>
          </cell>
          <cell r="N342">
            <v>1</v>
          </cell>
          <cell r="O342">
            <v>1</v>
          </cell>
          <cell r="P342">
            <v>1</v>
          </cell>
          <cell r="Q342">
            <v>1</v>
          </cell>
          <cell r="R342">
            <v>3</v>
          </cell>
          <cell r="S342" t="str">
            <v>character</v>
          </cell>
          <cell r="T342" t="str">
            <v>337,337,338</v>
          </cell>
          <cell r="U342">
            <v>13101</v>
          </cell>
          <cell r="V342">
            <v>8</v>
          </cell>
          <cell r="W342" t="str">
            <v>チャレンジタワー 8F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 t="str">
            <v>anytime</v>
          </cell>
          <cell r="AC342">
            <v>26</v>
          </cell>
          <cell r="AD342">
            <v>6</v>
          </cell>
          <cell r="AE342" t="str">
            <v>singleonly</v>
          </cell>
        </row>
        <row r="343">
          <cell r="A343" t="str">
            <v>13101_10</v>
          </cell>
          <cell r="B343">
            <v>1</v>
          </cell>
          <cell r="C343">
            <v>13101</v>
          </cell>
          <cell r="D343" t="str">
            <v>チャレンジタワー</v>
          </cell>
          <cell r="E343" t="str">
            <v>リセット型チャレンジタワー</v>
          </cell>
          <cell r="F343">
            <v>10</v>
          </cell>
          <cell r="G343" t="str">
            <v>ja</v>
          </cell>
          <cell r="H343" t="str">
            <v>チャレンジタワー 10F</v>
          </cell>
          <cell r="I343" t="str">
            <v>試練の塔</v>
          </cell>
          <cell r="J343">
            <v>346</v>
          </cell>
          <cell r="K343">
            <v>11</v>
          </cell>
          <cell r="L343">
            <v>788</v>
          </cell>
          <cell r="M343">
            <v>1</v>
          </cell>
          <cell r="N343">
            <v>1</v>
          </cell>
          <cell r="O343">
            <v>1</v>
          </cell>
          <cell r="P343">
            <v>1</v>
          </cell>
          <cell r="Q343">
            <v>1</v>
          </cell>
          <cell r="R343">
            <v>3</v>
          </cell>
          <cell r="S343" t="str">
            <v>character</v>
          </cell>
          <cell r="T343" t="str">
            <v>346,333,337,341</v>
          </cell>
          <cell r="U343">
            <v>13101</v>
          </cell>
          <cell r="V343">
            <v>9</v>
          </cell>
          <cell r="W343" t="str">
            <v>チャレンジタワー 9F</v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 t="str">
            <v>anytime</v>
          </cell>
          <cell r="AC343">
            <v>26</v>
          </cell>
          <cell r="AD343">
            <v>6</v>
          </cell>
          <cell r="AE343" t="str">
            <v>singleonly</v>
          </cell>
        </row>
        <row r="344">
          <cell r="A344" t="str">
            <v>13101_11</v>
          </cell>
          <cell r="B344">
            <v>1</v>
          </cell>
          <cell r="C344">
            <v>13101</v>
          </cell>
          <cell r="D344" t="str">
            <v>チャレンジタワー</v>
          </cell>
          <cell r="E344" t="str">
            <v>リセット型チャレンジタワー</v>
          </cell>
          <cell r="F344">
            <v>11</v>
          </cell>
          <cell r="G344" t="str">
            <v>ja</v>
          </cell>
          <cell r="H344" t="str">
            <v>チャレンジタワー 11F</v>
          </cell>
          <cell r="I344" t="str">
            <v>試練の塔</v>
          </cell>
          <cell r="J344">
            <v>346</v>
          </cell>
          <cell r="K344">
            <v>12</v>
          </cell>
          <cell r="L344">
            <v>936</v>
          </cell>
          <cell r="M344">
            <v>1</v>
          </cell>
          <cell r="N344">
            <v>1</v>
          </cell>
          <cell r="O344">
            <v>1</v>
          </cell>
          <cell r="P344">
            <v>1</v>
          </cell>
          <cell r="Q344">
            <v>1</v>
          </cell>
          <cell r="R344">
            <v>3</v>
          </cell>
          <cell r="S344" t="str">
            <v>character</v>
          </cell>
          <cell r="T344" t="str">
            <v>346,346</v>
          </cell>
          <cell r="U344">
            <v>13101</v>
          </cell>
          <cell r="V344">
            <v>10</v>
          </cell>
          <cell r="W344" t="str">
            <v>チャレンジタワー 10F</v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 t="str">
            <v>anytime</v>
          </cell>
          <cell r="AC344">
            <v>26</v>
          </cell>
          <cell r="AD344">
            <v>6</v>
          </cell>
          <cell r="AE344" t="str">
            <v>singleonly</v>
          </cell>
        </row>
        <row r="345">
          <cell r="A345" t="str">
            <v>13101_12</v>
          </cell>
          <cell r="B345">
            <v>1</v>
          </cell>
          <cell r="C345">
            <v>13101</v>
          </cell>
          <cell r="D345" t="str">
            <v>チャレンジタワー</v>
          </cell>
          <cell r="E345" t="str">
            <v>リセット型チャレンジタワー</v>
          </cell>
          <cell r="F345">
            <v>12</v>
          </cell>
          <cell r="G345" t="str">
            <v>ja</v>
          </cell>
          <cell r="H345" t="str">
            <v>チャレンジタワー 12F</v>
          </cell>
          <cell r="I345" t="str">
            <v>試練の塔</v>
          </cell>
          <cell r="J345">
            <v>342</v>
          </cell>
          <cell r="K345">
            <v>13</v>
          </cell>
          <cell r="L345">
            <v>1601</v>
          </cell>
          <cell r="M345">
            <v>1</v>
          </cell>
          <cell r="N345">
            <v>1</v>
          </cell>
          <cell r="O345">
            <v>1</v>
          </cell>
          <cell r="P345">
            <v>1</v>
          </cell>
          <cell r="Q345">
            <v>1</v>
          </cell>
          <cell r="R345">
            <v>3</v>
          </cell>
          <cell r="S345" t="str">
            <v>character</v>
          </cell>
          <cell r="T345" t="str">
            <v>342,342</v>
          </cell>
          <cell r="U345">
            <v>13101</v>
          </cell>
          <cell r="V345">
            <v>11</v>
          </cell>
          <cell r="W345" t="str">
            <v>チャレンジタワー 11F</v>
          </cell>
          <cell r="X345">
            <v>0</v>
          </cell>
          <cell r="Y345">
            <v>0</v>
          </cell>
          <cell r="Z345">
            <v>0</v>
          </cell>
          <cell r="AA345">
            <v>0</v>
          </cell>
          <cell r="AB345" t="str">
            <v>anytime</v>
          </cell>
          <cell r="AC345">
            <v>26</v>
          </cell>
          <cell r="AD345">
            <v>6</v>
          </cell>
          <cell r="AE345" t="str">
            <v>singleonly</v>
          </cell>
        </row>
        <row r="346">
          <cell r="A346" t="str">
            <v>13101_13</v>
          </cell>
          <cell r="B346">
            <v>1</v>
          </cell>
          <cell r="C346">
            <v>13101</v>
          </cell>
          <cell r="D346" t="str">
            <v>チャレンジタワー</v>
          </cell>
          <cell r="E346" t="str">
            <v>リセット型チャレンジタワー</v>
          </cell>
          <cell r="F346">
            <v>13</v>
          </cell>
          <cell r="G346" t="str">
            <v>ja</v>
          </cell>
          <cell r="H346" t="str">
            <v>チャレンジタワー 13F</v>
          </cell>
          <cell r="I346" t="str">
            <v>試練の塔</v>
          </cell>
          <cell r="J346">
            <v>338</v>
          </cell>
          <cell r="K346">
            <v>14</v>
          </cell>
          <cell r="L346">
            <v>945</v>
          </cell>
          <cell r="M346">
            <v>1</v>
          </cell>
          <cell r="N346">
            <v>1</v>
          </cell>
          <cell r="O346">
            <v>1</v>
          </cell>
          <cell r="P346">
            <v>1</v>
          </cell>
          <cell r="Q346">
            <v>1</v>
          </cell>
          <cell r="R346">
            <v>3</v>
          </cell>
          <cell r="S346" t="str">
            <v>character</v>
          </cell>
          <cell r="T346" t="str">
            <v>338,338</v>
          </cell>
          <cell r="U346">
            <v>13101</v>
          </cell>
          <cell r="V346">
            <v>12</v>
          </cell>
          <cell r="W346" t="str">
            <v>チャレンジタワー 12F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 t="str">
            <v>anytime</v>
          </cell>
          <cell r="AC346">
            <v>26</v>
          </cell>
          <cell r="AD346">
            <v>6</v>
          </cell>
          <cell r="AE346" t="str">
            <v>singleonly</v>
          </cell>
        </row>
        <row r="347">
          <cell r="A347" t="str">
            <v>13101_14</v>
          </cell>
          <cell r="B347">
            <v>1</v>
          </cell>
          <cell r="C347">
            <v>13101</v>
          </cell>
          <cell r="D347" t="str">
            <v>チャレンジタワー</v>
          </cell>
          <cell r="E347" t="str">
            <v>リセット型チャレンジタワー</v>
          </cell>
          <cell r="F347">
            <v>14</v>
          </cell>
          <cell r="G347" t="str">
            <v>ja</v>
          </cell>
          <cell r="H347" t="str">
            <v>チャレンジタワー 14F</v>
          </cell>
          <cell r="I347" t="str">
            <v>試練の塔</v>
          </cell>
          <cell r="J347">
            <v>334</v>
          </cell>
          <cell r="K347">
            <v>14</v>
          </cell>
          <cell r="L347">
            <v>1188</v>
          </cell>
          <cell r="M347">
            <v>1</v>
          </cell>
          <cell r="N347">
            <v>1</v>
          </cell>
          <cell r="O347">
            <v>1</v>
          </cell>
          <cell r="P347">
            <v>1</v>
          </cell>
          <cell r="Q347">
            <v>1</v>
          </cell>
          <cell r="R347">
            <v>3</v>
          </cell>
          <cell r="S347" t="str">
            <v>character</v>
          </cell>
          <cell r="T347" t="str">
            <v>334,334</v>
          </cell>
          <cell r="U347">
            <v>13101</v>
          </cell>
          <cell r="V347">
            <v>13</v>
          </cell>
          <cell r="W347" t="str">
            <v>チャレンジタワー 13F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 t="str">
            <v>anytime</v>
          </cell>
          <cell r="AC347">
            <v>26</v>
          </cell>
          <cell r="AD347">
            <v>6</v>
          </cell>
          <cell r="AE347" t="str">
            <v>singleonly</v>
          </cell>
        </row>
        <row r="348">
          <cell r="A348" t="str">
            <v>13101_15</v>
          </cell>
          <cell r="B348">
            <v>1</v>
          </cell>
          <cell r="C348">
            <v>13101</v>
          </cell>
          <cell r="D348" t="str">
            <v>チャレンジタワー</v>
          </cell>
          <cell r="E348" t="str">
            <v>リセット型チャレンジタワー</v>
          </cell>
          <cell r="F348">
            <v>15</v>
          </cell>
          <cell r="G348" t="str">
            <v>ja</v>
          </cell>
          <cell r="H348" t="str">
            <v>チャレンジタワー 15F</v>
          </cell>
          <cell r="I348" t="str">
            <v>試練の塔</v>
          </cell>
          <cell r="J348">
            <v>316</v>
          </cell>
          <cell r="K348">
            <v>14</v>
          </cell>
          <cell r="L348">
            <v>1008</v>
          </cell>
          <cell r="M348">
            <v>1</v>
          </cell>
          <cell r="N348">
            <v>1</v>
          </cell>
          <cell r="O348">
            <v>1</v>
          </cell>
          <cell r="P348">
            <v>1</v>
          </cell>
          <cell r="Q348">
            <v>1</v>
          </cell>
          <cell r="R348">
            <v>3</v>
          </cell>
          <cell r="S348" t="str">
            <v>character</v>
          </cell>
          <cell r="T348" t="str">
            <v>316</v>
          </cell>
          <cell r="U348">
            <v>13101</v>
          </cell>
          <cell r="V348">
            <v>14</v>
          </cell>
          <cell r="W348" t="str">
            <v>チャレンジタワー 14F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 t="str">
            <v>anytime</v>
          </cell>
          <cell r="AC348">
            <v>26</v>
          </cell>
          <cell r="AD348">
            <v>6</v>
          </cell>
          <cell r="AE348" t="str">
            <v>singleonly</v>
          </cell>
        </row>
        <row r="349">
          <cell r="A349" t="str">
            <v>13101_16</v>
          </cell>
          <cell r="B349">
            <v>1</v>
          </cell>
          <cell r="C349">
            <v>13101</v>
          </cell>
          <cell r="D349" t="str">
            <v>チャレンジタワー</v>
          </cell>
          <cell r="E349" t="str">
            <v>リセット型チャレンジタワー</v>
          </cell>
          <cell r="F349">
            <v>16</v>
          </cell>
          <cell r="G349" t="str">
            <v>ja</v>
          </cell>
          <cell r="H349" t="str">
            <v>チャレンジタワー 16F</v>
          </cell>
          <cell r="I349" t="str">
            <v>試練の塔</v>
          </cell>
          <cell r="J349">
            <v>338</v>
          </cell>
          <cell r="K349">
            <v>16</v>
          </cell>
          <cell r="L349">
            <v>2573</v>
          </cell>
          <cell r="M349">
            <v>1</v>
          </cell>
          <cell r="N349">
            <v>1</v>
          </cell>
          <cell r="O349">
            <v>1</v>
          </cell>
          <cell r="P349">
            <v>1</v>
          </cell>
          <cell r="Q349">
            <v>1</v>
          </cell>
          <cell r="R349">
            <v>3</v>
          </cell>
          <cell r="S349" t="str">
            <v>character</v>
          </cell>
          <cell r="T349" t="str">
            <v>338,338,337</v>
          </cell>
          <cell r="U349">
            <v>13101</v>
          </cell>
          <cell r="V349">
            <v>15</v>
          </cell>
          <cell r="W349" t="str">
            <v>チャレンジタワー 15F</v>
          </cell>
          <cell r="X349">
            <v>0</v>
          </cell>
          <cell r="Y349">
            <v>0</v>
          </cell>
          <cell r="Z349">
            <v>0</v>
          </cell>
          <cell r="AA349">
            <v>0</v>
          </cell>
          <cell r="AB349" t="str">
            <v>anytime</v>
          </cell>
          <cell r="AC349">
            <v>26</v>
          </cell>
          <cell r="AD349">
            <v>6</v>
          </cell>
          <cell r="AE349" t="str">
            <v>singleonly</v>
          </cell>
        </row>
        <row r="350">
          <cell r="A350" t="str">
            <v>13101_17</v>
          </cell>
          <cell r="B350">
            <v>1</v>
          </cell>
          <cell r="C350">
            <v>13101</v>
          </cell>
          <cell r="D350" t="str">
            <v>チャレンジタワー</v>
          </cell>
          <cell r="E350" t="str">
            <v>リセット型チャレンジタワー</v>
          </cell>
          <cell r="F350">
            <v>17</v>
          </cell>
          <cell r="G350" t="str">
            <v>ja</v>
          </cell>
          <cell r="H350" t="str">
            <v>チャレンジタワー 17F</v>
          </cell>
          <cell r="I350" t="str">
            <v>試練の塔</v>
          </cell>
          <cell r="J350">
            <v>346</v>
          </cell>
          <cell r="K350">
            <v>16</v>
          </cell>
          <cell r="L350">
            <v>1568</v>
          </cell>
          <cell r="M350">
            <v>1</v>
          </cell>
          <cell r="N350">
            <v>1</v>
          </cell>
          <cell r="O350">
            <v>1</v>
          </cell>
          <cell r="P350">
            <v>1</v>
          </cell>
          <cell r="Q350">
            <v>1</v>
          </cell>
          <cell r="R350">
            <v>3</v>
          </cell>
          <cell r="S350" t="str">
            <v>character</v>
          </cell>
          <cell r="T350" t="str">
            <v>346,346,345</v>
          </cell>
          <cell r="U350">
            <v>13101</v>
          </cell>
          <cell r="V350">
            <v>16</v>
          </cell>
          <cell r="W350" t="str">
            <v>チャレンジタワー 16F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 t="str">
            <v>anytime</v>
          </cell>
          <cell r="AC350">
            <v>26</v>
          </cell>
          <cell r="AD350">
            <v>6</v>
          </cell>
          <cell r="AE350" t="str">
            <v>singleonly</v>
          </cell>
        </row>
        <row r="351">
          <cell r="A351" t="str">
            <v>13101_18</v>
          </cell>
          <cell r="B351">
            <v>1</v>
          </cell>
          <cell r="C351">
            <v>13101</v>
          </cell>
          <cell r="D351" t="str">
            <v>チャレンジタワー</v>
          </cell>
          <cell r="E351" t="str">
            <v>リセット型チャレンジタワー</v>
          </cell>
          <cell r="F351">
            <v>18</v>
          </cell>
          <cell r="G351" t="str">
            <v>ja</v>
          </cell>
          <cell r="H351" t="str">
            <v>チャレンジタワー 18F</v>
          </cell>
          <cell r="I351" t="str">
            <v>試練の塔</v>
          </cell>
          <cell r="J351">
            <v>334</v>
          </cell>
          <cell r="K351">
            <v>17</v>
          </cell>
          <cell r="L351">
            <v>1821</v>
          </cell>
          <cell r="M351">
            <v>1</v>
          </cell>
          <cell r="N351">
            <v>1</v>
          </cell>
          <cell r="O351">
            <v>1</v>
          </cell>
          <cell r="P351">
            <v>1</v>
          </cell>
          <cell r="Q351">
            <v>1</v>
          </cell>
          <cell r="R351">
            <v>3</v>
          </cell>
          <cell r="S351" t="str">
            <v>character</v>
          </cell>
          <cell r="T351" t="str">
            <v>334,334,333</v>
          </cell>
          <cell r="U351">
            <v>13101</v>
          </cell>
          <cell r="V351">
            <v>17</v>
          </cell>
          <cell r="W351" t="str">
            <v>チャレンジタワー 17F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 t="str">
            <v>anytime</v>
          </cell>
          <cell r="AC351">
            <v>26</v>
          </cell>
          <cell r="AD351">
            <v>6</v>
          </cell>
          <cell r="AE351" t="str">
            <v>singleonly</v>
          </cell>
        </row>
        <row r="352">
          <cell r="A352" t="str">
            <v>13101_19</v>
          </cell>
          <cell r="B352">
            <v>1</v>
          </cell>
          <cell r="C352">
            <v>13101</v>
          </cell>
          <cell r="D352" t="str">
            <v>チャレンジタワー</v>
          </cell>
          <cell r="E352" t="str">
            <v>リセット型チャレンジタワー</v>
          </cell>
          <cell r="F352">
            <v>19</v>
          </cell>
          <cell r="G352" t="str">
            <v>ja</v>
          </cell>
          <cell r="H352" t="str">
            <v>チャレンジタワー 19F</v>
          </cell>
          <cell r="I352" t="str">
            <v>試練の塔</v>
          </cell>
          <cell r="J352">
            <v>342</v>
          </cell>
          <cell r="K352">
            <v>18</v>
          </cell>
          <cell r="L352">
            <v>2108</v>
          </cell>
          <cell r="M352">
            <v>1</v>
          </cell>
          <cell r="N352">
            <v>1</v>
          </cell>
          <cell r="O352">
            <v>1</v>
          </cell>
          <cell r="P352">
            <v>1</v>
          </cell>
          <cell r="Q352">
            <v>1</v>
          </cell>
          <cell r="R352">
            <v>3</v>
          </cell>
          <cell r="S352" t="str">
            <v>character</v>
          </cell>
          <cell r="T352" t="str">
            <v>342,342,341</v>
          </cell>
          <cell r="U352">
            <v>13101</v>
          </cell>
          <cell r="V352">
            <v>18</v>
          </cell>
          <cell r="W352" t="str">
            <v>チャレンジタワー 18F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 t="str">
            <v>anytime</v>
          </cell>
          <cell r="AC352">
            <v>26</v>
          </cell>
          <cell r="AD352">
            <v>6</v>
          </cell>
          <cell r="AE352" t="str">
            <v>singleonly</v>
          </cell>
        </row>
        <row r="353">
          <cell r="A353" t="str">
            <v>13101_20</v>
          </cell>
          <cell r="B353">
            <v>1</v>
          </cell>
          <cell r="C353">
            <v>13101</v>
          </cell>
          <cell r="D353" t="str">
            <v>チャレンジタワー</v>
          </cell>
          <cell r="E353" t="str">
            <v>リセット型チャレンジタワー</v>
          </cell>
          <cell r="F353">
            <v>20</v>
          </cell>
          <cell r="G353" t="str">
            <v>ja</v>
          </cell>
          <cell r="H353" t="str">
            <v>チャレンジタワー 20F</v>
          </cell>
          <cell r="I353" t="str">
            <v>試練の塔</v>
          </cell>
          <cell r="J353">
            <v>318</v>
          </cell>
          <cell r="K353">
            <v>18</v>
          </cell>
          <cell r="L353">
            <v>1620</v>
          </cell>
          <cell r="M353">
            <v>1</v>
          </cell>
          <cell r="N353">
            <v>1</v>
          </cell>
          <cell r="O353">
            <v>1</v>
          </cell>
          <cell r="P353">
            <v>1</v>
          </cell>
          <cell r="Q353">
            <v>1</v>
          </cell>
          <cell r="R353">
            <v>3</v>
          </cell>
          <cell r="S353" t="str">
            <v>character</v>
          </cell>
          <cell r="T353" t="str">
            <v>318</v>
          </cell>
          <cell r="U353">
            <v>13101</v>
          </cell>
          <cell r="V353">
            <v>19</v>
          </cell>
          <cell r="W353" t="str">
            <v>チャレンジタワー 19F</v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 t="str">
            <v>anytime</v>
          </cell>
          <cell r="AC353">
            <v>26</v>
          </cell>
          <cell r="AD353">
            <v>6</v>
          </cell>
          <cell r="AE353" t="str">
            <v>singleonly</v>
          </cell>
        </row>
        <row r="354">
          <cell r="A354" t="str">
            <v>13101_21</v>
          </cell>
          <cell r="B354">
            <v>1</v>
          </cell>
          <cell r="C354">
            <v>13101</v>
          </cell>
          <cell r="D354" t="str">
            <v>チャレンジタワー</v>
          </cell>
          <cell r="E354" t="str">
            <v>リセット型チャレンジタワー</v>
          </cell>
          <cell r="F354">
            <v>21</v>
          </cell>
          <cell r="G354" t="str">
            <v>ja</v>
          </cell>
          <cell r="H354" t="str">
            <v>チャレンジタワー 21F</v>
          </cell>
          <cell r="I354" t="str">
            <v>試練の塔</v>
          </cell>
          <cell r="J354" t="str">
            <v>335</v>
          </cell>
          <cell r="K354">
            <v>18</v>
          </cell>
          <cell r="L354">
            <v>1620</v>
          </cell>
          <cell r="M354">
            <v>1</v>
          </cell>
          <cell r="N354">
            <v>1</v>
          </cell>
          <cell r="O354">
            <v>1</v>
          </cell>
          <cell r="P354">
            <v>1</v>
          </cell>
          <cell r="Q354">
            <v>1</v>
          </cell>
          <cell r="R354">
            <v>3</v>
          </cell>
          <cell r="S354" t="str">
            <v>character</v>
          </cell>
          <cell r="T354" t="str">
            <v>334,335,335</v>
          </cell>
          <cell r="U354">
            <v>13101</v>
          </cell>
          <cell r="V354">
            <v>20</v>
          </cell>
          <cell r="W354" t="str">
            <v>チャレンジタワー 20F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 t="str">
            <v>anytime</v>
          </cell>
          <cell r="AC354">
            <v>26</v>
          </cell>
          <cell r="AD354">
            <v>6</v>
          </cell>
          <cell r="AE354" t="str">
            <v>singleonly</v>
          </cell>
        </row>
        <row r="355">
          <cell r="A355" t="str">
            <v>13101_22</v>
          </cell>
          <cell r="B355">
            <v>1</v>
          </cell>
          <cell r="C355">
            <v>13101</v>
          </cell>
          <cell r="D355" t="str">
            <v>チャレンジタワー</v>
          </cell>
          <cell r="E355" t="str">
            <v>リセット型チャレンジタワー</v>
          </cell>
          <cell r="F355">
            <v>22</v>
          </cell>
          <cell r="G355" t="str">
            <v>ja</v>
          </cell>
          <cell r="H355" t="str">
            <v>チャレンジタワー 22F</v>
          </cell>
          <cell r="I355" t="str">
            <v>試練の塔</v>
          </cell>
          <cell r="J355" t="str">
            <v>339</v>
          </cell>
          <cell r="K355">
            <v>18</v>
          </cell>
          <cell r="L355">
            <v>1620</v>
          </cell>
          <cell r="M355">
            <v>1</v>
          </cell>
          <cell r="N355">
            <v>1</v>
          </cell>
          <cell r="O355">
            <v>1</v>
          </cell>
          <cell r="P355">
            <v>1</v>
          </cell>
          <cell r="Q355">
            <v>1</v>
          </cell>
          <cell r="R355">
            <v>3</v>
          </cell>
          <cell r="S355" t="str">
            <v>character</v>
          </cell>
          <cell r="T355" t="str">
            <v>338,339,339</v>
          </cell>
          <cell r="U355">
            <v>13101</v>
          </cell>
          <cell r="V355">
            <v>21</v>
          </cell>
          <cell r="W355" t="str">
            <v>チャレンジタワー 21F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 t="str">
            <v>anytime</v>
          </cell>
          <cell r="AC355">
            <v>26</v>
          </cell>
          <cell r="AD355">
            <v>6</v>
          </cell>
          <cell r="AE355" t="str">
            <v>singleonly</v>
          </cell>
        </row>
        <row r="356">
          <cell r="A356" t="str">
            <v>13101_23</v>
          </cell>
          <cell r="B356">
            <v>1</v>
          </cell>
          <cell r="C356">
            <v>13101</v>
          </cell>
          <cell r="D356" t="str">
            <v>チャレンジタワー</v>
          </cell>
          <cell r="E356" t="str">
            <v>リセット型チャレンジタワー</v>
          </cell>
          <cell r="F356">
            <v>23</v>
          </cell>
          <cell r="G356" t="str">
            <v>ja</v>
          </cell>
          <cell r="H356" t="str">
            <v>チャレンジタワー 23F</v>
          </cell>
          <cell r="I356" t="str">
            <v>試練の塔</v>
          </cell>
          <cell r="J356" t="str">
            <v>347</v>
          </cell>
          <cell r="K356">
            <v>20</v>
          </cell>
          <cell r="L356">
            <v>1821</v>
          </cell>
          <cell r="M356">
            <v>1</v>
          </cell>
          <cell r="N356">
            <v>1</v>
          </cell>
          <cell r="O356">
            <v>1</v>
          </cell>
          <cell r="P356">
            <v>1</v>
          </cell>
          <cell r="Q356">
            <v>1</v>
          </cell>
          <cell r="R356">
            <v>3</v>
          </cell>
          <cell r="S356" t="str">
            <v>character</v>
          </cell>
          <cell r="T356" t="str">
            <v>346,347,347</v>
          </cell>
          <cell r="U356">
            <v>13101</v>
          </cell>
          <cell r="V356">
            <v>22</v>
          </cell>
          <cell r="W356" t="str">
            <v>チャレンジタワー 22F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 t="str">
            <v>anytime</v>
          </cell>
          <cell r="AC356">
            <v>26</v>
          </cell>
          <cell r="AD356">
            <v>6</v>
          </cell>
          <cell r="AE356" t="str">
            <v>singleonly</v>
          </cell>
        </row>
        <row r="357">
          <cell r="A357" t="str">
            <v>13101_24</v>
          </cell>
          <cell r="B357">
            <v>1</v>
          </cell>
          <cell r="C357">
            <v>13101</v>
          </cell>
          <cell r="D357" t="str">
            <v>チャレンジタワー</v>
          </cell>
          <cell r="E357" t="str">
            <v>リセット型チャレンジタワー</v>
          </cell>
          <cell r="F357">
            <v>24</v>
          </cell>
          <cell r="G357" t="str">
            <v>ja</v>
          </cell>
          <cell r="H357" t="str">
            <v>チャレンジタワー 24F</v>
          </cell>
          <cell r="I357" t="str">
            <v>試練の塔</v>
          </cell>
          <cell r="J357" t="str">
            <v>343</v>
          </cell>
          <cell r="K357">
            <v>20</v>
          </cell>
          <cell r="L357">
            <v>2871</v>
          </cell>
          <cell r="M357">
            <v>1</v>
          </cell>
          <cell r="N357">
            <v>1</v>
          </cell>
          <cell r="O357">
            <v>1</v>
          </cell>
          <cell r="P357">
            <v>1</v>
          </cell>
          <cell r="Q357">
            <v>1</v>
          </cell>
          <cell r="R357">
            <v>3</v>
          </cell>
          <cell r="S357" t="str">
            <v>character</v>
          </cell>
          <cell r="T357" t="str">
            <v>342,343,343</v>
          </cell>
          <cell r="U357">
            <v>13101</v>
          </cell>
          <cell r="V357">
            <v>23</v>
          </cell>
          <cell r="W357" t="str">
            <v>チャレンジタワー 23F</v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 t="str">
            <v>anytime</v>
          </cell>
          <cell r="AC357">
            <v>26</v>
          </cell>
          <cell r="AD357">
            <v>6</v>
          </cell>
          <cell r="AE357" t="str">
            <v>singleonly</v>
          </cell>
        </row>
        <row r="358">
          <cell r="A358" t="str">
            <v>13101_25</v>
          </cell>
          <cell r="B358">
            <v>1</v>
          </cell>
          <cell r="C358">
            <v>13101</v>
          </cell>
          <cell r="D358" t="str">
            <v>チャレンジタワー</v>
          </cell>
          <cell r="E358" t="str">
            <v>リセット型チャレンジタワー</v>
          </cell>
          <cell r="F358">
            <v>25</v>
          </cell>
          <cell r="G358" t="str">
            <v>ja</v>
          </cell>
          <cell r="H358" t="str">
            <v>チャレンジタワー 25F</v>
          </cell>
          <cell r="I358" t="str">
            <v>試練の塔</v>
          </cell>
          <cell r="J358" t="str">
            <v>368</v>
          </cell>
          <cell r="K358">
            <v>22</v>
          </cell>
          <cell r="L358">
            <v>3740</v>
          </cell>
          <cell r="M358">
            <v>1</v>
          </cell>
          <cell r="N358">
            <v>1</v>
          </cell>
          <cell r="O358">
            <v>1</v>
          </cell>
          <cell r="P358">
            <v>1</v>
          </cell>
          <cell r="Q358">
            <v>1</v>
          </cell>
          <cell r="R358">
            <v>3</v>
          </cell>
          <cell r="S358" t="str">
            <v>character</v>
          </cell>
          <cell r="T358" t="str">
            <v>368</v>
          </cell>
          <cell r="U358">
            <v>13101</v>
          </cell>
          <cell r="V358">
            <v>24</v>
          </cell>
          <cell r="W358" t="str">
            <v>チャレンジタワー 24F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 t="str">
            <v>anytime</v>
          </cell>
          <cell r="AC358">
            <v>26</v>
          </cell>
          <cell r="AD358">
            <v>6</v>
          </cell>
          <cell r="AE358" t="str">
            <v>singleonly</v>
          </cell>
        </row>
        <row r="359">
          <cell r="A359" t="str">
            <v>13300_1</v>
          </cell>
          <cell r="B359">
            <v>3</v>
          </cell>
          <cell r="C359">
            <v>13300</v>
          </cell>
          <cell r="D359" t="str">
            <v>タワーオブザクイーン -アヴァルシア-</v>
          </cell>
          <cell r="E359" t="str">
            <v>タワーオブザクイーン1本目</v>
          </cell>
          <cell r="F359">
            <v>1</v>
          </cell>
          <cell r="G359" t="str">
            <v>ja</v>
          </cell>
          <cell r="H359" t="str">
            <v>1階 コスト制限なし</v>
          </cell>
          <cell r="I359" t="str">
            <v>タワーオブザクイーン</v>
          </cell>
          <cell r="J359">
            <v>347</v>
          </cell>
          <cell r="K359">
            <v>15</v>
          </cell>
          <cell r="L359">
            <v>750</v>
          </cell>
          <cell r="M359">
            <v>1</v>
          </cell>
          <cell r="N359">
            <v>1</v>
          </cell>
          <cell r="O359">
            <v>1</v>
          </cell>
          <cell r="P359">
            <v>1</v>
          </cell>
          <cell r="Q359">
            <v>1</v>
          </cell>
          <cell r="R359">
            <v>3</v>
          </cell>
          <cell r="S359" t="str">
            <v>character</v>
          </cell>
          <cell r="T359" t="str">
            <v>347,347,347,837</v>
          </cell>
          <cell r="U359" t="str">
            <v>NULL</v>
          </cell>
          <cell r="V359" t="str">
            <v>NULL</v>
          </cell>
          <cell r="W359" t="str">
            <v/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 t="str">
            <v>anytime</v>
          </cell>
          <cell r="AC359">
            <v>965</v>
          </cell>
          <cell r="AD359">
            <v>6</v>
          </cell>
          <cell r="AE359" t="str">
            <v>singleonly</v>
          </cell>
        </row>
        <row r="360">
          <cell r="A360" t="str">
            <v>13300_2</v>
          </cell>
          <cell r="B360">
            <v>3</v>
          </cell>
          <cell r="C360">
            <v>13300</v>
          </cell>
          <cell r="D360" t="str">
            <v>タワーオブザクイーン -アヴァルシア-</v>
          </cell>
          <cell r="E360" t="str">
            <v>タワーオブザクイーン1本目</v>
          </cell>
          <cell r="F360">
            <v>2</v>
          </cell>
          <cell r="G360" t="str">
            <v>ja</v>
          </cell>
          <cell r="H360" t="str">
            <v>2階 コスト制限なし</v>
          </cell>
          <cell r="I360" t="str">
            <v>タワーオブザクイーン</v>
          </cell>
          <cell r="J360">
            <v>343</v>
          </cell>
          <cell r="K360">
            <v>18</v>
          </cell>
          <cell r="L360">
            <v>990</v>
          </cell>
          <cell r="M360">
            <v>1</v>
          </cell>
          <cell r="N360">
            <v>1</v>
          </cell>
          <cell r="O360">
            <v>1</v>
          </cell>
          <cell r="P360">
            <v>1</v>
          </cell>
          <cell r="Q360">
            <v>1</v>
          </cell>
          <cell r="R360">
            <v>3</v>
          </cell>
          <cell r="S360" t="str">
            <v>character</v>
          </cell>
          <cell r="T360" t="str">
            <v>343,343,343,342</v>
          </cell>
          <cell r="U360">
            <v>13300</v>
          </cell>
          <cell r="V360">
            <v>1</v>
          </cell>
          <cell r="W360" t="str">
            <v>1階 コスト制限なし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 t="str">
            <v>anytime</v>
          </cell>
          <cell r="AC360">
            <v>965</v>
          </cell>
          <cell r="AD360">
            <v>6</v>
          </cell>
          <cell r="AE360" t="str">
            <v>singleonly</v>
          </cell>
        </row>
        <row r="361">
          <cell r="A361" t="str">
            <v>13300_3</v>
          </cell>
          <cell r="B361">
            <v>3</v>
          </cell>
          <cell r="C361">
            <v>13300</v>
          </cell>
          <cell r="D361" t="str">
            <v>タワーオブザクイーン -アヴァルシア-</v>
          </cell>
          <cell r="E361" t="str">
            <v>タワーオブザクイーン1本目</v>
          </cell>
          <cell r="F361">
            <v>3</v>
          </cell>
          <cell r="G361" t="str">
            <v>ja</v>
          </cell>
          <cell r="H361" t="str">
            <v>3階 コスト制限なし</v>
          </cell>
          <cell r="I361" t="str">
            <v>タワーオブザクイーン</v>
          </cell>
          <cell r="J361">
            <v>335</v>
          </cell>
          <cell r="K361">
            <v>19</v>
          </cell>
          <cell r="L361">
            <v>1140</v>
          </cell>
          <cell r="M361">
            <v>1</v>
          </cell>
          <cell r="N361">
            <v>1</v>
          </cell>
          <cell r="O361">
            <v>1</v>
          </cell>
          <cell r="P361">
            <v>1</v>
          </cell>
          <cell r="Q361">
            <v>1</v>
          </cell>
          <cell r="R361">
            <v>3</v>
          </cell>
          <cell r="S361" t="str">
            <v>character</v>
          </cell>
          <cell r="T361" t="str">
            <v>335,335,335,334</v>
          </cell>
          <cell r="U361">
            <v>13300</v>
          </cell>
          <cell r="V361">
            <v>2</v>
          </cell>
          <cell r="W361" t="str">
            <v>2階 コスト制限なし</v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 t="str">
            <v>anytime</v>
          </cell>
          <cell r="AC361">
            <v>965</v>
          </cell>
          <cell r="AD361">
            <v>6</v>
          </cell>
          <cell r="AE361" t="str">
            <v>singleonly</v>
          </cell>
        </row>
        <row r="362">
          <cell r="A362" t="str">
            <v>13300_4</v>
          </cell>
          <cell r="B362">
            <v>3</v>
          </cell>
          <cell r="C362">
            <v>13300</v>
          </cell>
          <cell r="D362" t="str">
            <v>タワーオブザクイーン -アヴァルシア-</v>
          </cell>
          <cell r="E362" t="str">
            <v>タワーオブザクイーン1本目</v>
          </cell>
          <cell r="F362">
            <v>4</v>
          </cell>
          <cell r="G362" t="str">
            <v>ja</v>
          </cell>
          <cell r="H362" t="str">
            <v>4階 コスト制限なし</v>
          </cell>
          <cell r="I362" t="str">
            <v>タワーオブザクイーン</v>
          </cell>
          <cell r="J362">
            <v>339</v>
          </cell>
          <cell r="K362">
            <v>20</v>
          </cell>
          <cell r="L362">
            <v>1300</v>
          </cell>
          <cell r="M362">
            <v>1</v>
          </cell>
          <cell r="N362">
            <v>1</v>
          </cell>
          <cell r="O362">
            <v>1</v>
          </cell>
          <cell r="P362">
            <v>1</v>
          </cell>
          <cell r="Q362">
            <v>1</v>
          </cell>
          <cell r="R362">
            <v>3</v>
          </cell>
          <cell r="S362" t="str">
            <v>character</v>
          </cell>
          <cell r="T362" t="str">
            <v>339,339,339,338</v>
          </cell>
          <cell r="U362">
            <v>13300</v>
          </cell>
          <cell r="V362">
            <v>3</v>
          </cell>
          <cell r="W362" t="str">
            <v>3階 コスト制限なし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 t="str">
            <v>anytime</v>
          </cell>
          <cell r="AC362">
            <v>965</v>
          </cell>
          <cell r="AD362">
            <v>6</v>
          </cell>
          <cell r="AE362" t="str">
            <v>singleonly</v>
          </cell>
        </row>
        <row r="363">
          <cell r="A363" t="str">
            <v>13300_5</v>
          </cell>
          <cell r="B363">
            <v>3</v>
          </cell>
          <cell r="C363">
            <v>13300</v>
          </cell>
          <cell r="D363" t="str">
            <v>タワーオブザクイーン -アヴァルシア-</v>
          </cell>
          <cell r="E363" t="str">
            <v>タワーオブザクイーン1本目</v>
          </cell>
          <cell r="F363">
            <v>5</v>
          </cell>
          <cell r="G363" t="str">
            <v>ja</v>
          </cell>
          <cell r="H363" t="str">
            <v>5階 コスト30以下限定</v>
          </cell>
          <cell r="I363" t="str">
            <v>タワーオブザクイーン</v>
          </cell>
          <cell r="J363">
            <v>837</v>
          </cell>
          <cell r="K363">
            <v>24</v>
          </cell>
          <cell r="L363">
            <v>1680</v>
          </cell>
          <cell r="M363">
            <v>1</v>
          </cell>
          <cell r="N363">
            <v>1</v>
          </cell>
          <cell r="O363">
            <v>1</v>
          </cell>
          <cell r="P363">
            <v>1</v>
          </cell>
          <cell r="Q363">
            <v>1</v>
          </cell>
          <cell r="R363">
            <v>3</v>
          </cell>
          <cell r="S363" t="str">
            <v>character</v>
          </cell>
          <cell r="T363" t="str">
            <v>837,610,125</v>
          </cell>
          <cell r="U363">
            <v>13300</v>
          </cell>
          <cell r="V363">
            <v>4</v>
          </cell>
          <cell r="W363" t="str">
            <v>4階 コスト制限なし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 t="str">
            <v>anytime</v>
          </cell>
          <cell r="AC363">
            <v>965</v>
          </cell>
          <cell r="AD363">
            <v>6</v>
          </cell>
          <cell r="AE363" t="str">
            <v>singleonly</v>
          </cell>
        </row>
        <row r="364">
          <cell r="A364" t="str">
            <v>13300_6</v>
          </cell>
          <cell r="B364">
            <v>3</v>
          </cell>
          <cell r="C364">
            <v>13300</v>
          </cell>
          <cell r="D364" t="str">
            <v>タワーオブザクイーン -アヴァルシア-</v>
          </cell>
          <cell r="E364" t="str">
            <v>タワーオブザクイーン1本目</v>
          </cell>
          <cell r="F364">
            <v>6</v>
          </cell>
          <cell r="G364" t="str">
            <v>ja</v>
          </cell>
          <cell r="H364" t="str">
            <v>6階 コスト30以下ヒューマン限定</v>
          </cell>
          <cell r="I364" t="str">
            <v>タワーオブザクイーン</v>
          </cell>
          <cell r="J364">
            <v>612</v>
          </cell>
          <cell r="K364">
            <v>25</v>
          </cell>
          <cell r="L364">
            <v>1875</v>
          </cell>
          <cell r="M364">
            <v>1</v>
          </cell>
          <cell r="N364">
            <v>1</v>
          </cell>
          <cell r="O364">
            <v>1</v>
          </cell>
          <cell r="P364">
            <v>1</v>
          </cell>
          <cell r="Q364">
            <v>1</v>
          </cell>
          <cell r="R364">
            <v>3</v>
          </cell>
          <cell r="S364" t="str">
            <v>character</v>
          </cell>
          <cell r="T364" t="str">
            <v>612,612,355</v>
          </cell>
          <cell r="U364">
            <v>13300</v>
          </cell>
          <cell r="V364">
            <v>5</v>
          </cell>
          <cell r="W364" t="str">
            <v>5階 コスト30以下限定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 t="str">
            <v>anytime</v>
          </cell>
          <cell r="AC364">
            <v>965</v>
          </cell>
          <cell r="AD364">
            <v>6</v>
          </cell>
          <cell r="AE364" t="str">
            <v>singleonly</v>
          </cell>
        </row>
        <row r="365">
          <cell r="A365" t="str">
            <v>13300_7</v>
          </cell>
          <cell r="B365">
            <v>3</v>
          </cell>
          <cell r="C365">
            <v>13300</v>
          </cell>
          <cell r="D365" t="str">
            <v>タワーオブザクイーン -アヴァルシア-</v>
          </cell>
          <cell r="E365" t="str">
            <v>タワーオブザクイーン1本目</v>
          </cell>
          <cell r="F365">
            <v>7</v>
          </cell>
          <cell r="G365" t="str">
            <v>ja</v>
          </cell>
          <cell r="H365" t="str">
            <v>7階 コスト制限なし</v>
          </cell>
          <cell r="I365" t="str">
            <v>タワーオブザクイーン</v>
          </cell>
          <cell r="J365">
            <v>613</v>
          </cell>
          <cell r="K365">
            <v>28</v>
          </cell>
          <cell r="L365">
            <v>2240</v>
          </cell>
          <cell r="M365">
            <v>1</v>
          </cell>
          <cell r="N365">
            <v>1</v>
          </cell>
          <cell r="O365">
            <v>1</v>
          </cell>
          <cell r="P365">
            <v>1</v>
          </cell>
          <cell r="Q365">
            <v>1</v>
          </cell>
          <cell r="R365">
            <v>3</v>
          </cell>
          <cell r="S365" t="str">
            <v>character</v>
          </cell>
          <cell r="T365" t="str">
            <v>613,613,353</v>
          </cell>
          <cell r="U365">
            <v>13300</v>
          </cell>
          <cell r="V365">
            <v>6</v>
          </cell>
          <cell r="W365" t="str">
            <v>6階 コスト30以下ヒューマン限定</v>
          </cell>
          <cell r="X365">
            <v>0</v>
          </cell>
          <cell r="Y365">
            <v>0</v>
          </cell>
          <cell r="Z365">
            <v>0</v>
          </cell>
          <cell r="AA365">
            <v>0</v>
          </cell>
          <cell r="AB365" t="str">
            <v>anytime</v>
          </cell>
          <cell r="AC365">
            <v>965</v>
          </cell>
          <cell r="AD365">
            <v>6</v>
          </cell>
          <cell r="AE365" t="str">
            <v>singleonly</v>
          </cell>
        </row>
        <row r="366">
          <cell r="A366" t="str">
            <v>13300_8</v>
          </cell>
          <cell r="B366">
            <v>3</v>
          </cell>
          <cell r="C366">
            <v>13300</v>
          </cell>
          <cell r="D366" t="str">
            <v>タワーオブザクイーン -アヴァルシア-</v>
          </cell>
          <cell r="E366" t="str">
            <v>タワーオブザクイーン1本目</v>
          </cell>
          <cell r="F366">
            <v>8</v>
          </cell>
          <cell r="G366" t="str">
            <v>ja</v>
          </cell>
          <cell r="H366" t="str">
            <v>8階 コスト28以下限定</v>
          </cell>
          <cell r="I366" t="str">
            <v>タワーオブザクイーン</v>
          </cell>
          <cell r="J366">
            <v>611</v>
          </cell>
          <cell r="K366">
            <v>30</v>
          </cell>
          <cell r="L366">
            <v>2550</v>
          </cell>
          <cell r="M366">
            <v>1</v>
          </cell>
          <cell r="N366">
            <v>1</v>
          </cell>
          <cell r="O366">
            <v>1</v>
          </cell>
          <cell r="P366">
            <v>1</v>
          </cell>
          <cell r="Q366">
            <v>1</v>
          </cell>
          <cell r="R366">
            <v>3</v>
          </cell>
          <cell r="S366" t="str">
            <v>character</v>
          </cell>
          <cell r="T366" t="str">
            <v>611,611,349</v>
          </cell>
          <cell r="U366">
            <v>13300</v>
          </cell>
          <cell r="V366">
            <v>7</v>
          </cell>
          <cell r="W366" t="str">
            <v>7階 コスト制限なし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 t="str">
            <v>anytime</v>
          </cell>
          <cell r="AC366">
            <v>965</v>
          </cell>
          <cell r="AD366">
            <v>6</v>
          </cell>
          <cell r="AE366" t="str">
            <v>singleonly</v>
          </cell>
        </row>
        <row r="367">
          <cell r="A367" t="str">
            <v>13300_9</v>
          </cell>
          <cell r="B367">
            <v>3</v>
          </cell>
          <cell r="C367">
            <v>13300</v>
          </cell>
          <cell r="D367" t="str">
            <v>タワーオブザクイーン -アヴァルシア-</v>
          </cell>
          <cell r="E367" t="str">
            <v>タワーオブザクイーン1本目</v>
          </cell>
          <cell r="F367">
            <v>9</v>
          </cell>
          <cell r="G367" t="str">
            <v>ja</v>
          </cell>
          <cell r="H367" t="str">
            <v>9階 コスト28以下ヒューマン限定</v>
          </cell>
          <cell r="I367" t="str">
            <v>タワーオブザクイーン</v>
          </cell>
          <cell r="J367">
            <v>610</v>
          </cell>
          <cell r="K367">
            <v>31</v>
          </cell>
          <cell r="L367">
            <v>2790</v>
          </cell>
          <cell r="M367">
            <v>1</v>
          </cell>
          <cell r="N367">
            <v>1</v>
          </cell>
          <cell r="O367">
            <v>1</v>
          </cell>
          <cell r="P367">
            <v>1</v>
          </cell>
          <cell r="Q367">
            <v>1</v>
          </cell>
          <cell r="R367">
            <v>3</v>
          </cell>
          <cell r="S367" t="str">
            <v>character</v>
          </cell>
          <cell r="T367" t="str">
            <v>837,610,125</v>
          </cell>
          <cell r="U367">
            <v>13300</v>
          </cell>
          <cell r="V367">
            <v>8</v>
          </cell>
          <cell r="W367" t="str">
            <v>8階 コスト28以下限定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 t="str">
            <v>anytime</v>
          </cell>
          <cell r="AC367">
            <v>965</v>
          </cell>
          <cell r="AD367">
            <v>6</v>
          </cell>
          <cell r="AE367" t="str">
            <v>singleonly</v>
          </cell>
        </row>
        <row r="368">
          <cell r="A368" t="str">
            <v>13300_10</v>
          </cell>
          <cell r="B368">
            <v>3</v>
          </cell>
          <cell r="C368">
            <v>13300</v>
          </cell>
          <cell r="D368" t="str">
            <v>タワーオブザクイーン -アヴァルシア-</v>
          </cell>
          <cell r="E368" t="str">
            <v>タワーオブザクイーン1本目</v>
          </cell>
          <cell r="F368">
            <v>10</v>
          </cell>
          <cell r="G368" t="str">
            <v>ja</v>
          </cell>
          <cell r="H368" t="str">
            <v>10階 ボナンザ 現る！</v>
          </cell>
          <cell r="I368" t="str">
            <v>タワーオブザクイーン</v>
          </cell>
          <cell r="J368">
            <v>0</v>
          </cell>
          <cell r="K368">
            <v>35</v>
          </cell>
          <cell r="L368">
            <v>3325</v>
          </cell>
          <cell r="M368">
            <v>1</v>
          </cell>
          <cell r="N368">
            <v>1</v>
          </cell>
          <cell r="O368">
            <v>1</v>
          </cell>
          <cell r="P368">
            <v>1</v>
          </cell>
          <cell r="Q368">
            <v>1</v>
          </cell>
          <cell r="R368">
            <v>3</v>
          </cell>
          <cell r="S368" t="str">
            <v>polygon</v>
          </cell>
          <cell r="T368" t="str">
            <v>2</v>
          </cell>
          <cell r="U368">
            <v>13300</v>
          </cell>
          <cell r="V368">
            <v>9</v>
          </cell>
          <cell r="W368" t="str">
            <v>9階 コスト28以下ヒューマン限定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 t="str">
            <v>anytime</v>
          </cell>
          <cell r="AC368">
            <v>965</v>
          </cell>
          <cell r="AD368">
            <v>6</v>
          </cell>
          <cell r="AE368" t="str">
            <v>singleonly</v>
          </cell>
        </row>
        <row r="369">
          <cell r="A369" t="str">
            <v>13300_11</v>
          </cell>
          <cell r="B369">
            <v>3</v>
          </cell>
          <cell r="C369">
            <v>13300</v>
          </cell>
          <cell r="D369" t="str">
            <v>タワーオブザクイーン -アヴァルシア-</v>
          </cell>
          <cell r="E369" t="str">
            <v>タワーオブザクイーン1本目</v>
          </cell>
          <cell r="F369">
            <v>11</v>
          </cell>
          <cell r="G369" t="str">
            <v>ja</v>
          </cell>
          <cell r="H369" t="str">
            <v>11階 コスト30以下限定</v>
          </cell>
          <cell r="I369" t="str">
            <v>タワーオブザクイーン</v>
          </cell>
          <cell r="J369">
            <v>612</v>
          </cell>
          <cell r="K369">
            <v>37</v>
          </cell>
          <cell r="L369">
            <v>3700</v>
          </cell>
          <cell r="M369">
            <v>1</v>
          </cell>
          <cell r="N369">
            <v>1</v>
          </cell>
          <cell r="O369">
            <v>1</v>
          </cell>
          <cell r="P369">
            <v>1</v>
          </cell>
          <cell r="Q369">
            <v>1</v>
          </cell>
          <cell r="R369">
            <v>3</v>
          </cell>
          <cell r="S369" t="str">
            <v>character</v>
          </cell>
          <cell r="T369" t="str">
            <v>612,612,612,351</v>
          </cell>
          <cell r="U369">
            <v>13300</v>
          </cell>
          <cell r="V369">
            <v>10</v>
          </cell>
          <cell r="W369" t="str">
            <v>10階 ボナンザ 現る！</v>
          </cell>
          <cell r="X369">
            <v>0</v>
          </cell>
          <cell r="Y369">
            <v>0</v>
          </cell>
          <cell r="Z369">
            <v>0</v>
          </cell>
          <cell r="AA369">
            <v>0</v>
          </cell>
          <cell r="AB369" t="str">
            <v>anytime</v>
          </cell>
          <cell r="AC369">
            <v>965</v>
          </cell>
          <cell r="AD369">
            <v>6</v>
          </cell>
          <cell r="AE369" t="str">
            <v>singleonly</v>
          </cell>
        </row>
        <row r="370">
          <cell r="A370" t="str">
            <v>13300_12</v>
          </cell>
          <cell r="B370">
            <v>3</v>
          </cell>
          <cell r="C370">
            <v>13300</v>
          </cell>
          <cell r="D370" t="str">
            <v>タワーオブザクイーン -アヴァルシア-</v>
          </cell>
          <cell r="E370" t="str">
            <v>タワーオブザクイーン1本目</v>
          </cell>
          <cell r="F370">
            <v>12</v>
          </cell>
          <cell r="G370" t="str">
            <v>ja</v>
          </cell>
          <cell r="H370" t="str">
            <v>12階 コスト30以下ヒューマン限定</v>
          </cell>
          <cell r="I370" t="str">
            <v>タワーオブザクイーン</v>
          </cell>
          <cell r="J370">
            <v>613</v>
          </cell>
          <cell r="K370">
            <v>38</v>
          </cell>
          <cell r="L370">
            <v>3990</v>
          </cell>
          <cell r="M370">
            <v>1</v>
          </cell>
          <cell r="N370">
            <v>1</v>
          </cell>
          <cell r="O370">
            <v>1</v>
          </cell>
          <cell r="P370">
            <v>1</v>
          </cell>
          <cell r="Q370">
            <v>1</v>
          </cell>
          <cell r="R370">
            <v>3</v>
          </cell>
          <cell r="S370" t="str">
            <v>character</v>
          </cell>
          <cell r="T370" t="str">
            <v>613,613,613,346</v>
          </cell>
          <cell r="U370">
            <v>13300</v>
          </cell>
          <cell r="V370">
            <v>11</v>
          </cell>
          <cell r="W370" t="str">
            <v>11階 コスト30以下限定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 t="str">
            <v>anytime</v>
          </cell>
          <cell r="AC370">
            <v>965</v>
          </cell>
          <cell r="AD370">
            <v>6</v>
          </cell>
          <cell r="AE370" t="str">
            <v>singleonly</v>
          </cell>
        </row>
        <row r="371">
          <cell r="A371" t="str">
            <v>13300_13</v>
          </cell>
          <cell r="B371">
            <v>3</v>
          </cell>
          <cell r="C371">
            <v>13300</v>
          </cell>
          <cell r="D371" t="str">
            <v>タワーオブザクイーン -アヴァルシア-</v>
          </cell>
          <cell r="E371" t="str">
            <v>タワーオブザクイーン1本目</v>
          </cell>
          <cell r="F371">
            <v>13</v>
          </cell>
          <cell r="G371" t="str">
            <v>ja</v>
          </cell>
          <cell r="H371" t="str">
            <v>13階 コスト制限なし</v>
          </cell>
          <cell r="I371" t="str">
            <v>タワーオブザクイーン</v>
          </cell>
          <cell r="J371">
            <v>611</v>
          </cell>
          <cell r="K371">
            <v>39</v>
          </cell>
          <cell r="L371">
            <v>4290</v>
          </cell>
          <cell r="M371">
            <v>1</v>
          </cell>
          <cell r="N371">
            <v>1</v>
          </cell>
          <cell r="O371">
            <v>1</v>
          </cell>
          <cell r="P371">
            <v>1</v>
          </cell>
          <cell r="Q371">
            <v>1</v>
          </cell>
          <cell r="R371">
            <v>3</v>
          </cell>
          <cell r="S371" t="str">
            <v>character</v>
          </cell>
          <cell r="T371" t="str">
            <v>611,611,611,338</v>
          </cell>
          <cell r="U371">
            <v>13300</v>
          </cell>
          <cell r="V371">
            <v>12</v>
          </cell>
          <cell r="W371" t="str">
            <v>12階 コスト30以下ヒューマン限定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 t="str">
            <v>anytime</v>
          </cell>
          <cell r="AC371">
            <v>965</v>
          </cell>
          <cell r="AD371">
            <v>6</v>
          </cell>
          <cell r="AE371" t="str">
            <v>singleonly</v>
          </cell>
        </row>
        <row r="372">
          <cell r="A372" t="str">
            <v>13300_14</v>
          </cell>
          <cell r="B372">
            <v>3</v>
          </cell>
          <cell r="C372">
            <v>13300</v>
          </cell>
          <cell r="D372" t="str">
            <v>タワーオブザクイーン -アヴァルシア-</v>
          </cell>
          <cell r="E372" t="str">
            <v>タワーオブザクイーン1本目</v>
          </cell>
          <cell r="F372">
            <v>14</v>
          </cell>
          <cell r="G372" t="str">
            <v>ja</v>
          </cell>
          <cell r="H372" t="str">
            <v>14階 コスト制限なし</v>
          </cell>
          <cell r="I372" t="str">
            <v>タワーオブザクイーン</v>
          </cell>
          <cell r="J372">
            <v>614</v>
          </cell>
          <cell r="K372">
            <v>40</v>
          </cell>
          <cell r="L372">
            <v>4600</v>
          </cell>
          <cell r="M372">
            <v>1</v>
          </cell>
          <cell r="N372">
            <v>1</v>
          </cell>
          <cell r="O372">
            <v>1</v>
          </cell>
          <cell r="P372">
            <v>1</v>
          </cell>
          <cell r="Q372">
            <v>1</v>
          </cell>
          <cell r="R372">
            <v>3</v>
          </cell>
          <cell r="S372" t="str">
            <v>character</v>
          </cell>
          <cell r="T372" t="str">
            <v>614,611,334,334</v>
          </cell>
          <cell r="U372">
            <v>13300</v>
          </cell>
          <cell r="V372">
            <v>13</v>
          </cell>
          <cell r="W372" t="str">
            <v>13階 コスト制限なし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 t="str">
            <v>anytime</v>
          </cell>
          <cell r="AC372">
            <v>965</v>
          </cell>
          <cell r="AD372">
            <v>6</v>
          </cell>
          <cell r="AE372" t="str">
            <v>singleonly</v>
          </cell>
        </row>
        <row r="373">
          <cell r="A373" t="str">
            <v>13300_15</v>
          </cell>
          <cell r="B373">
            <v>3</v>
          </cell>
          <cell r="C373">
            <v>13300</v>
          </cell>
          <cell r="D373" t="str">
            <v>タワーオブザクイーン -アヴァルシア-</v>
          </cell>
          <cell r="E373" t="str">
            <v>タワーオブザクイーン1本目</v>
          </cell>
          <cell r="F373">
            <v>15</v>
          </cell>
          <cell r="G373" t="str">
            <v>ja</v>
          </cell>
          <cell r="H373" t="str">
            <v>15階 アヴァルシアの女王 ボナンザ</v>
          </cell>
          <cell r="I373" t="str">
            <v>タワーオブザクイーン</v>
          </cell>
          <cell r="J373">
            <v>1115</v>
          </cell>
          <cell r="K373">
            <v>50</v>
          </cell>
          <cell r="L373">
            <v>6250</v>
          </cell>
          <cell r="M373">
            <v>1</v>
          </cell>
          <cell r="N373">
            <v>1</v>
          </cell>
          <cell r="O373">
            <v>1</v>
          </cell>
          <cell r="P373">
            <v>1</v>
          </cell>
          <cell r="Q373">
            <v>1</v>
          </cell>
          <cell r="R373">
            <v>3</v>
          </cell>
          <cell r="S373" t="str">
            <v>character</v>
          </cell>
          <cell r="T373" t="str">
            <v>1114</v>
          </cell>
          <cell r="U373">
            <v>13300</v>
          </cell>
          <cell r="V373">
            <v>14</v>
          </cell>
          <cell r="W373" t="str">
            <v>14階 コスト制限なし</v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 t="str">
            <v>anytime</v>
          </cell>
          <cell r="AC373">
            <v>965</v>
          </cell>
          <cell r="AD373">
            <v>6</v>
          </cell>
          <cell r="AE373" t="str">
            <v>singleonly</v>
          </cell>
        </row>
        <row r="374">
          <cell r="A374" t="str">
            <v>13301_1</v>
          </cell>
          <cell r="B374">
            <v>3</v>
          </cell>
          <cell r="C374">
            <v>13301</v>
          </cell>
          <cell r="D374" t="str">
            <v>タワーオブザクイーン -アヴァルシア-</v>
          </cell>
          <cell r="E374" t="str">
            <v>タワーオブザクイーン1本目</v>
          </cell>
          <cell r="F374">
            <v>1</v>
          </cell>
          <cell r="G374" t="str">
            <v>ja</v>
          </cell>
          <cell r="H374" t="str">
            <v>1階 コスト制限なし</v>
          </cell>
          <cell r="I374" t="str">
            <v>タワーオブザクイーン</v>
          </cell>
          <cell r="J374">
            <v>347</v>
          </cell>
          <cell r="K374">
            <v>15</v>
          </cell>
          <cell r="L374">
            <v>750</v>
          </cell>
          <cell r="M374">
            <v>1</v>
          </cell>
          <cell r="N374">
            <v>1</v>
          </cell>
          <cell r="O374">
            <v>1</v>
          </cell>
          <cell r="P374">
            <v>1</v>
          </cell>
          <cell r="Q374">
            <v>1</v>
          </cell>
          <cell r="R374">
            <v>3</v>
          </cell>
          <cell r="S374" t="str">
            <v>character</v>
          </cell>
          <cell r="T374" t="str">
            <v>347,837,347</v>
          </cell>
          <cell r="U374" t="str">
            <v>NULL</v>
          </cell>
          <cell r="V374" t="str">
            <v>NULL</v>
          </cell>
          <cell r="W374" t="str">
            <v/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 t="str">
            <v>anytime</v>
          </cell>
          <cell r="AC374">
            <v>965</v>
          </cell>
          <cell r="AD374">
            <v>6</v>
          </cell>
          <cell r="AE374" t="str">
            <v>singleonly</v>
          </cell>
        </row>
        <row r="375">
          <cell r="A375" t="str">
            <v>13301_2</v>
          </cell>
          <cell r="B375">
            <v>3</v>
          </cell>
          <cell r="C375">
            <v>13301</v>
          </cell>
          <cell r="D375" t="str">
            <v>タワーオブザクイーン -アヴァルシア-</v>
          </cell>
          <cell r="E375" t="str">
            <v>タワーオブザクイーン1本目</v>
          </cell>
          <cell r="F375">
            <v>2</v>
          </cell>
          <cell r="G375" t="str">
            <v>ja</v>
          </cell>
          <cell r="H375" t="str">
            <v>2階 コスト制限なし</v>
          </cell>
          <cell r="I375" t="str">
            <v>タワーオブザクイーン</v>
          </cell>
          <cell r="J375">
            <v>343</v>
          </cell>
          <cell r="K375">
            <v>18</v>
          </cell>
          <cell r="L375">
            <v>990</v>
          </cell>
          <cell r="M375">
            <v>1</v>
          </cell>
          <cell r="N375">
            <v>1</v>
          </cell>
          <cell r="O375">
            <v>1</v>
          </cell>
          <cell r="P375">
            <v>1</v>
          </cell>
          <cell r="Q375">
            <v>1</v>
          </cell>
          <cell r="R375">
            <v>3</v>
          </cell>
          <cell r="S375" t="str">
            <v>character</v>
          </cell>
          <cell r="T375" t="str">
            <v>343,343,343</v>
          </cell>
          <cell r="U375">
            <v>13301</v>
          </cell>
          <cell r="V375">
            <v>1</v>
          </cell>
          <cell r="W375" t="str">
            <v>1階 コスト制限なし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 t="str">
            <v>anytime</v>
          </cell>
          <cell r="AC375">
            <v>965</v>
          </cell>
          <cell r="AD375">
            <v>6</v>
          </cell>
          <cell r="AE375" t="str">
            <v>singleonly</v>
          </cell>
        </row>
        <row r="376">
          <cell r="A376" t="str">
            <v>13301_3</v>
          </cell>
          <cell r="B376">
            <v>3</v>
          </cell>
          <cell r="C376">
            <v>13301</v>
          </cell>
          <cell r="D376" t="str">
            <v>タワーオブザクイーン -アヴァルシア-</v>
          </cell>
          <cell r="E376" t="str">
            <v>タワーオブザクイーン1本目</v>
          </cell>
          <cell r="F376">
            <v>3</v>
          </cell>
          <cell r="G376" t="str">
            <v>ja</v>
          </cell>
          <cell r="H376" t="str">
            <v>3階 コスト制限なし</v>
          </cell>
          <cell r="I376" t="str">
            <v>タワーオブザクイーン</v>
          </cell>
          <cell r="J376">
            <v>335</v>
          </cell>
          <cell r="K376">
            <v>19</v>
          </cell>
          <cell r="L376">
            <v>1140</v>
          </cell>
          <cell r="M376">
            <v>1</v>
          </cell>
          <cell r="N376">
            <v>1</v>
          </cell>
          <cell r="O376">
            <v>1</v>
          </cell>
          <cell r="P376">
            <v>1</v>
          </cell>
          <cell r="Q376">
            <v>1</v>
          </cell>
          <cell r="R376">
            <v>3</v>
          </cell>
          <cell r="S376" t="str">
            <v>character</v>
          </cell>
          <cell r="T376" t="str">
            <v>335,335,335</v>
          </cell>
          <cell r="U376">
            <v>13301</v>
          </cell>
          <cell r="V376">
            <v>2</v>
          </cell>
          <cell r="W376" t="str">
            <v>2階 コスト制限なし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 t="str">
            <v>anytime</v>
          </cell>
          <cell r="AC376">
            <v>965</v>
          </cell>
          <cell r="AD376">
            <v>6</v>
          </cell>
          <cell r="AE376" t="str">
            <v>singleonly</v>
          </cell>
        </row>
        <row r="377">
          <cell r="A377" t="str">
            <v>13301_4</v>
          </cell>
          <cell r="B377">
            <v>3</v>
          </cell>
          <cell r="C377">
            <v>13301</v>
          </cell>
          <cell r="D377" t="str">
            <v>タワーオブザクイーン -アヴァルシア-</v>
          </cell>
          <cell r="E377" t="str">
            <v>タワーオブザクイーン1本目</v>
          </cell>
          <cell r="F377">
            <v>4</v>
          </cell>
          <cell r="G377" t="str">
            <v>ja</v>
          </cell>
          <cell r="H377" t="str">
            <v>4階 コスト制限なし</v>
          </cell>
          <cell r="I377" t="str">
            <v>タワーオブザクイーン</v>
          </cell>
          <cell r="J377">
            <v>339</v>
          </cell>
          <cell r="K377">
            <v>20</v>
          </cell>
          <cell r="L377">
            <v>1300</v>
          </cell>
          <cell r="M377">
            <v>1</v>
          </cell>
          <cell r="N377">
            <v>1</v>
          </cell>
          <cell r="O377">
            <v>1</v>
          </cell>
          <cell r="P377">
            <v>1</v>
          </cell>
          <cell r="Q377">
            <v>1</v>
          </cell>
          <cell r="R377">
            <v>3</v>
          </cell>
          <cell r="S377" t="str">
            <v>character</v>
          </cell>
          <cell r="T377" t="str">
            <v>339,339,339</v>
          </cell>
          <cell r="U377">
            <v>13301</v>
          </cell>
          <cell r="V377">
            <v>3</v>
          </cell>
          <cell r="W377" t="str">
            <v>3階 コスト制限なし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 t="str">
            <v>anytime</v>
          </cell>
          <cell r="AC377">
            <v>965</v>
          </cell>
          <cell r="AD377">
            <v>6</v>
          </cell>
          <cell r="AE377" t="str">
            <v>singleonly</v>
          </cell>
        </row>
        <row r="378">
          <cell r="A378" t="str">
            <v>13301_5</v>
          </cell>
          <cell r="B378">
            <v>3</v>
          </cell>
          <cell r="C378">
            <v>13301</v>
          </cell>
          <cell r="D378" t="str">
            <v>タワーオブザクイーン -アヴァルシア-</v>
          </cell>
          <cell r="E378" t="str">
            <v>タワーオブザクイーン1本目</v>
          </cell>
          <cell r="F378">
            <v>5</v>
          </cell>
          <cell r="G378" t="str">
            <v>ja</v>
          </cell>
          <cell r="H378" t="str">
            <v>5階 コスト30以下限定</v>
          </cell>
          <cell r="I378" t="str">
            <v>タワーオブザクイーン</v>
          </cell>
          <cell r="J378">
            <v>837</v>
          </cell>
          <cell r="K378">
            <v>24</v>
          </cell>
          <cell r="L378">
            <v>1680</v>
          </cell>
          <cell r="M378">
            <v>1</v>
          </cell>
          <cell r="N378">
            <v>1</v>
          </cell>
          <cell r="O378">
            <v>1</v>
          </cell>
          <cell r="P378">
            <v>1</v>
          </cell>
          <cell r="Q378">
            <v>1</v>
          </cell>
          <cell r="R378">
            <v>3</v>
          </cell>
          <cell r="S378" t="str">
            <v>character</v>
          </cell>
          <cell r="T378" t="str">
            <v>837,610,125</v>
          </cell>
          <cell r="U378">
            <v>13301</v>
          </cell>
          <cell r="V378">
            <v>4</v>
          </cell>
          <cell r="W378" t="str">
            <v>4階 コスト制限なし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 t="str">
            <v>anytime</v>
          </cell>
          <cell r="AC378">
            <v>965</v>
          </cell>
          <cell r="AD378">
            <v>6</v>
          </cell>
          <cell r="AE378" t="str">
            <v>singleonly</v>
          </cell>
        </row>
        <row r="379">
          <cell r="A379" t="str">
            <v>13301_6</v>
          </cell>
          <cell r="B379">
            <v>3</v>
          </cell>
          <cell r="C379">
            <v>13301</v>
          </cell>
          <cell r="D379" t="str">
            <v>タワーオブザクイーン -アヴァルシア-</v>
          </cell>
          <cell r="E379" t="str">
            <v>タワーオブザクイーン1本目</v>
          </cell>
          <cell r="F379">
            <v>6</v>
          </cell>
          <cell r="G379" t="str">
            <v>ja</v>
          </cell>
          <cell r="H379" t="str">
            <v>6階 コスト30以下ヒューマン限定</v>
          </cell>
          <cell r="I379" t="str">
            <v>タワーオブザクイーン</v>
          </cell>
          <cell r="J379">
            <v>612</v>
          </cell>
          <cell r="K379">
            <v>25</v>
          </cell>
          <cell r="L379">
            <v>1875</v>
          </cell>
          <cell r="M379">
            <v>1</v>
          </cell>
          <cell r="N379">
            <v>1</v>
          </cell>
          <cell r="O379">
            <v>1</v>
          </cell>
          <cell r="P379">
            <v>1</v>
          </cell>
          <cell r="Q379">
            <v>1</v>
          </cell>
          <cell r="R379">
            <v>3</v>
          </cell>
          <cell r="S379" t="str">
            <v>character</v>
          </cell>
          <cell r="T379" t="str">
            <v>612,612,355</v>
          </cell>
          <cell r="U379">
            <v>13301</v>
          </cell>
          <cell r="V379">
            <v>5</v>
          </cell>
          <cell r="W379" t="str">
            <v>5階 コスト30以下限定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 t="str">
            <v>anytime</v>
          </cell>
          <cell r="AC379">
            <v>965</v>
          </cell>
          <cell r="AD379">
            <v>6</v>
          </cell>
          <cell r="AE379" t="str">
            <v>singleonly</v>
          </cell>
        </row>
        <row r="380">
          <cell r="A380" t="str">
            <v>13301_7</v>
          </cell>
          <cell r="B380">
            <v>3</v>
          </cell>
          <cell r="C380">
            <v>13301</v>
          </cell>
          <cell r="D380" t="str">
            <v>タワーオブザクイーン -アヴァルシア-</v>
          </cell>
          <cell r="E380" t="str">
            <v>タワーオブザクイーン1本目</v>
          </cell>
          <cell r="F380">
            <v>7</v>
          </cell>
          <cell r="G380" t="str">
            <v>ja</v>
          </cell>
          <cell r="H380" t="str">
            <v>7階 コスト制限なし</v>
          </cell>
          <cell r="I380" t="str">
            <v>タワーオブザクイーン</v>
          </cell>
          <cell r="J380">
            <v>613</v>
          </cell>
          <cell r="K380">
            <v>28</v>
          </cell>
          <cell r="L380">
            <v>2240</v>
          </cell>
          <cell r="M380">
            <v>1</v>
          </cell>
          <cell r="N380">
            <v>1</v>
          </cell>
          <cell r="O380">
            <v>1</v>
          </cell>
          <cell r="P380">
            <v>1</v>
          </cell>
          <cell r="Q380">
            <v>1</v>
          </cell>
          <cell r="R380">
            <v>3</v>
          </cell>
          <cell r="S380" t="str">
            <v>character</v>
          </cell>
          <cell r="T380" t="str">
            <v>613,613,353</v>
          </cell>
          <cell r="U380">
            <v>13301</v>
          </cell>
          <cell r="V380">
            <v>6</v>
          </cell>
          <cell r="W380" t="str">
            <v>6階 コスト30以下ヒューマン限定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 t="str">
            <v>anytime</v>
          </cell>
          <cell r="AC380">
            <v>965</v>
          </cell>
          <cell r="AD380">
            <v>6</v>
          </cell>
          <cell r="AE380" t="str">
            <v>singleonly</v>
          </cell>
        </row>
        <row r="381">
          <cell r="A381" t="str">
            <v>13301_8</v>
          </cell>
          <cell r="B381">
            <v>3</v>
          </cell>
          <cell r="C381">
            <v>13301</v>
          </cell>
          <cell r="D381" t="str">
            <v>タワーオブザクイーン -アヴァルシア-</v>
          </cell>
          <cell r="E381" t="str">
            <v>タワーオブザクイーン1本目</v>
          </cell>
          <cell r="F381">
            <v>8</v>
          </cell>
          <cell r="G381" t="str">
            <v>ja</v>
          </cell>
          <cell r="H381" t="str">
            <v>8階 コスト28以下限定</v>
          </cell>
          <cell r="I381" t="str">
            <v>タワーオブザクイーン</v>
          </cell>
          <cell r="J381">
            <v>611</v>
          </cell>
          <cell r="K381">
            <v>30</v>
          </cell>
          <cell r="L381">
            <v>2550</v>
          </cell>
          <cell r="M381">
            <v>1</v>
          </cell>
          <cell r="N381">
            <v>1</v>
          </cell>
          <cell r="O381">
            <v>1</v>
          </cell>
          <cell r="P381">
            <v>1</v>
          </cell>
          <cell r="Q381">
            <v>1</v>
          </cell>
          <cell r="R381">
            <v>3</v>
          </cell>
          <cell r="S381" t="str">
            <v>character</v>
          </cell>
          <cell r="T381" t="str">
            <v>611,611,349</v>
          </cell>
          <cell r="U381">
            <v>13301</v>
          </cell>
          <cell r="V381">
            <v>7</v>
          </cell>
          <cell r="W381" t="str">
            <v>7階 コスト制限なし</v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 t="str">
            <v>anytime</v>
          </cell>
          <cell r="AC381">
            <v>965</v>
          </cell>
          <cell r="AD381">
            <v>6</v>
          </cell>
          <cell r="AE381" t="str">
            <v>singleonly</v>
          </cell>
        </row>
        <row r="382">
          <cell r="A382" t="str">
            <v>13301_9</v>
          </cell>
          <cell r="B382">
            <v>3</v>
          </cell>
          <cell r="C382">
            <v>13301</v>
          </cell>
          <cell r="D382" t="str">
            <v>タワーオブザクイーン -アヴァルシア-</v>
          </cell>
          <cell r="E382" t="str">
            <v>タワーオブザクイーン1本目</v>
          </cell>
          <cell r="F382">
            <v>9</v>
          </cell>
          <cell r="G382" t="str">
            <v>ja</v>
          </cell>
          <cell r="H382" t="str">
            <v>9階 コスト28以下ヒューマン限定</v>
          </cell>
          <cell r="I382" t="str">
            <v>タワーオブザクイーン</v>
          </cell>
          <cell r="J382">
            <v>837</v>
          </cell>
          <cell r="K382">
            <v>31</v>
          </cell>
          <cell r="L382">
            <v>2790</v>
          </cell>
          <cell r="M382">
            <v>1</v>
          </cell>
          <cell r="N382">
            <v>1</v>
          </cell>
          <cell r="O382">
            <v>1</v>
          </cell>
          <cell r="P382">
            <v>1</v>
          </cell>
          <cell r="Q382">
            <v>1</v>
          </cell>
          <cell r="R382">
            <v>3</v>
          </cell>
          <cell r="S382" t="str">
            <v>character</v>
          </cell>
          <cell r="T382" t="str">
            <v>837,610,125</v>
          </cell>
          <cell r="U382">
            <v>13301</v>
          </cell>
          <cell r="V382">
            <v>8</v>
          </cell>
          <cell r="W382" t="str">
            <v>8階 コスト28以下限定</v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 t="str">
            <v>anytime</v>
          </cell>
          <cell r="AC382">
            <v>965</v>
          </cell>
          <cell r="AD382">
            <v>6</v>
          </cell>
          <cell r="AE382" t="str">
            <v>singleonly</v>
          </cell>
        </row>
        <row r="383">
          <cell r="A383" t="str">
            <v>13301_10</v>
          </cell>
          <cell r="B383">
            <v>3</v>
          </cell>
          <cell r="C383">
            <v>13301</v>
          </cell>
          <cell r="D383" t="str">
            <v>タワーオブザクイーン -アヴァルシア-</v>
          </cell>
          <cell r="E383" t="str">
            <v>タワーオブザクイーン1本目</v>
          </cell>
          <cell r="F383">
            <v>10</v>
          </cell>
          <cell r="G383" t="str">
            <v>ja</v>
          </cell>
          <cell r="H383" t="str">
            <v>10階 ボナンザ 現る！</v>
          </cell>
          <cell r="I383" t="str">
            <v>タワーオブザクイーン</v>
          </cell>
          <cell r="J383">
            <v>0</v>
          </cell>
          <cell r="K383">
            <v>35</v>
          </cell>
          <cell r="L383">
            <v>3325</v>
          </cell>
          <cell r="M383">
            <v>1</v>
          </cell>
          <cell r="N383">
            <v>1</v>
          </cell>
          <cell r="O383">
            <v>1</v>
          </cell>
          <cell r="P383">
            <v>1</v>
          </cell>
          <cell r="Q383">
            <v>1</v>
          </cell>
          <cell r="R383">
            <v>3</v>
          </cell>
          <cell r="S383" t="str">
            <v>polygon</v>
          </cell>
          <cell r="T383" t="str">
            <v>2</v>
          </cell>
          <cell r="U383">
            <v>13301</v>
          </cell>
          <cell r="V383">
            <v>9</v>
          </cell>
          <cell r="W383" t="str">
            <v>9階 コスト28以下ヒューマン限定</v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 t="str">
            <v>anytime</v>
          </cell>
          <cell r="AC383">
            <v>965</v>
          </cell>
          <cell r="AD383">
            <v>6</v>
          </cell>
          <cell r="AE383" t="str">
            <v>singleonly</v>
          </cell>
        </row>
        <row r="384">
          <cell r="A384" t="str">
            <v>13301_11</v>
          </cell>
          <cell r="B384">
            <v>3</v>
          </cell>
          <cell r="C384">
            <v>13301</v>
          </cell>
          <cell r="D384" t="str">
            <v>タワーオブザクイーン -アヴァルシア-</v>
          </cell>
          <cell r="E384" t="str">
            <v>タワーオブザクイーン1本目</v>
          </cell>
          <cell r="F384">
            <v>11</v>
          </cell>
          <cell r="G384" t="str">
            <v>ja</v>
          </cell>
          <cell r="H384" t="str">
            <v>11階 コスト30以下限定</v>
          </cell>
          <cell r="I384" t="str">
            <v>タワーオブザクイーン</v>
          </cell>
          <cell r="J384">
            <v>612</v>
          </cell>
          <cell r="K384">
            <v>37</v>
          </cell>
          <cell r="L384">
            <v>3700</v>
          </cell>
          <cell r="M384">
            <v>1</v>
          </cell>
          <cell r="N384">
            <v>1</v>
          </cell>
          <cell r="O384">
            <v>1</v>
          </cell>
          <cell r="P384">
            <v>1</v>
          </cell>
          <cell r="Q384">
            <v>1</v>
          </cell>
          <cell r="R384">
            <v>3</v>
          </cell>
          <cell r="S384" t="str">
            <v>character</v>
          </cell>
          <cell r="T384" t="str">
            <v>612,612,612</v>
          </cell>
          <cell r="U384">
            <v>13301</v>
          </cell>
          <cell r="V384">
            <v>10</v>
          </cell>
          <cell r="W384" t="str">
            <v>10階 ボナンザ 現る！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 t="str">
            <v>anytime</v>
          </cell>
          <cell r="AC384">
            <v>965</v>
          </cell>
          <cell r="AD384">
            <v>6</v>
          </cell>
          <cell r="AE384" t="str">
            <v>singleonly</v>
          </cell>
        </row>
        <row r="385">
          <cell r="A385" t="str">
            <v>13301_12</v>
          </cell>
          <cell r="B385">
            <v>3</v>
          </cell>
          <cell r="C385">
            <v>13301</v>
          </cell>
          <cell r="D385" t="str">
            <v>タワーオブザクイーン -アヴァルシア-</v>
          </cell>
          <cell r="E385" t="str">
            <v>タワーオブザクイーン1本目</v>
          </cell>
          <cell r="F385">
            <v>12</v>
          </cell>
          <cell r="G385" t="str">
            <v>ja</v>
          </cell>
          <cell r="H385" t="str">
            <v>12階 コスト30以下ヒューマン限定</v>
          </cell>
          <cell r="I385" t="str">
            <v>タワーオブザクイーン</v>
          </cell>
          <cell r="J385">
            <v>613</v>
          </cell>
          <cell r="K385">
            <v>38</v>
          </cell>
          <cell r="L385">
            <v>3990</v>
          </cell>
          <cell r="M385">
            <v>1</v>
          </cell>
          <cell r="N385">
            <v>1</v>
          </cell>
          <cell r="O385">
            <v>1</v>
          </cell>
          <cell r="P385">
            <v>1</v>
          </cell>
          <cell r="Q385">
            <v>1</v>
          </cell>
          <cell r="R385">
            <v>3</v>
          </cell>
          <cell r="S385" t="str">
            <v>character</v>
          </cell>
          <cell r="T385" t="str">
            <v>613,613,613</v>
          </cell>
          <cell r="U385">
            <v>13301</v>
          </cell>
          <cell r="V385">
            <v>11</v>
          </cell>
          <cell r="W385" t="str">
            <v>11階 コスト30以下限定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 t="str">
            <v>anytime</v>
          </cell>
          <cell r="AC385">
            <v>965</v>
          </cell>
          <cell r="AD385">
            <v>6</v>
          </cell>
          <cell r="AE385" t="str">
            <v>singleonly</v>
          </cell>
        </row>
        <row r="386">
          <cell r="A386" t="str">
            <v>13301_13</v>
          </cell>
          <cell r="B386">
            <v>3</v>
          </cell>
          <cell r="C386">
            <v>13301</v>
          </cell>
          <cell r="D386" t="str">
            <v>タワーオブザクイーン -アヴァルシア-</v>
          </cell>
          <cell r="E386" t="str">
            <v>タワーオブザクイーン1本目</v>
          </cell>
          <cell r="F386">
            <v>13</v>
          </cell>
          <cell r="G386" t="str">
            <v>ja</v>
          </cell>
          <cell r="H386" t="str">
            <v>13階 コスト制限なし</v>
          </cell>
          <cell r="I386" t="str">
            <v>タワーオブザクイーン</v>
          </cell>
          <cell r="J386">
            <v>611</v>
          </cell>
          <cell r="K386">
            <v>39</v>
          </cell>
          <cell r="L386">
            <v>4290</v>
          </cell>
          <cell r="M386">
            <v>1</v>
          </cell>
          <cell r="N386">
            <v>1</v>
          </cell>
          <cell r="O386">
            <v>1</v>
          </cell>
          <cell r="P386">
            <v>1</v>
          </cell>
          <cell r="Q386">
            <v>1</v>
          </cell>
          <cell r="R386">
            <v>3</v>
          </cell>
          <cell r="S386" t="str">
            <v>character</v>
          </cell>
          <cell r="T386" t="str">
            <v>611,611,611</v>
          </cell>
          <cell r="U386">
            <v>13301</v>
          </cell>
          <cell r="V386">
            <v>12</v>
          </cell>
          <cell r="W386" t="str">
            <v>12階 コスト30以下ヒューマン限定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 t="str">
            <v>anytime</v>
          </cell>
          <cell r="AC386">
            <v>965</v>
          </cell>
          <cell r="AD386">
            <v>6</v>
          </cell>
          <cell r="AE386" t="str">
            <v>singleonly</v>
          </cell>
        </row>
        <row r="387">
          <cell r="A387" t="str">
            <v>13301_14</v>
          </cell>
          <cell r="B387">
            <v>3</v>
          </cell>
          <cell r="C387">
            <v>13301</v>
          </cell>
          <cell r="D387" t="str">
            <v>タワーオブザクイーン -アヴァルシア-</v>
          </cell>
          <cell r="E387" t="str">
            <v>タワーオブザクイーン1本目</v>
          </cell>
          <cell r="F387">
            <v>14</v>
          </cell>
          <cell r="G387" t="str">
            <v>ja</v>
          </cell>
          <cell r="H387" t="str">
            <v>14階 コスト制限なし</v>
          </cell>
          <cell r="I387" t="str">
            <v>タワーオブザクイーン</v>
          </cell>
          <cell r="J387">
            <v>614</v>
          </cell>
          <cell r="K387">
            <v>40</v>
          </cell>
          <cell r="L387">
            <v>4600</v>
          </cell>
          <cell r="M387">
            <v>1</v>
          </cell>
          <cell r="N387">
            <v>1</v>
          </cell>
          <cell r="O387">
            <v>1</v>
          </cell>
          <cell r="P387">
            <v>1</v>
          </cell>
          <cell r="Q387">
            <v>1</v>
          </cell>
          <cell r="R387">
            <v>3</v>
          </cell>
          <cell r="S387" t="str">
            <v>character</v>
          </cell>
          <cell r="T387" t="str">
            <v>614,611,351</v>
          </cell>
          <cell r="U387">
            <v>13301</v>
          </cell>
          <cell r="V387">
            <v>13</v>
          </cell>
          <cell r="W387" t="str">
            <v>13階 コスト制限なし</v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 t="str">
            <v>anytime</v>
          </cell>
          <cell r="AC387">
            <v>965</v>
          </cell>
          <cell r="AD387">
            <v>6</v>
          </cell>
          <cell r="AE387" t="str">
            <v>singleonly</v>
          </cell>
        </row>
        <row r="388">
          <cell r="A388" t="str">
            <v>13301_15</v>
          </cell>
          <cell r="B388">
            <v>3</v>
          </cell>
          <cell r="C388">
            <v>13301</v>
          </cell>
          <cell r="D388" t="str">
            <v>タワーオブザクイーン -アヴァルシア-</v>
          </cell>
          <cell r="E388" t="str">
            <v>タワーオブザクイーン1本目</v>
          </cell>
          <cell r="F388">
            <v>15</v>
          </cell>
          <cell r="G388" t="str">
            <v>ja</v>
          </cell>
          <cell r="H388" t="str">
            <v>15階 アヴァルシアの女王 ボナンザ</v>
          </cell>
          <cell r="I388" t="str">
            <v>タワーオブザクイーン</v>
          </cell>
          <cell r="J388">
            <v>1115</v>
          </cell>
          <cell r="K388">
            <v>50</v>
          </cell>
          <cell r="L388">
            <v>6250</v>
          </cell>
          <cell r="M388">
            <v>1</v>
          </cell>
          <cell r="N388">
            <v>1</v>
          </cell>
          <cell r="O388">
            <v>1</v>
          </cell>
          <cell r="P388">
            <v>1</v>
          </cell>
          <cell r="Q388">
            <v>1</v>
          </cell>
          <cell r="R388">
            <v>3</v>
          </cell>
          <cell r="S388" t="str">
            <v>character</v>
          </cell>
          <cell r="T388" t="str">
            <v>1114</v>
          </cell>
          <cell r="U388">
            <v>13301</v>
          </cell>
          <cell r="V388">
            <v>14</v>
          </cell>
          <cell r="W388" t="str">
            <v>14階 コスト制限なし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 t="str">
            <v>anytime</v>
          </cell>
          <cell r="AC388">
            <v>965</v>
          </cell>
          <cell r="AD388">
            <v>6</v>
          </cell>
          <cell r="AE388" t="str">
            <v>singleonly</v>
          </cell>
        </row>
        <row r="389">
          <cell r="A389" t="str">
            <v>13302_1</v>
          </cell>
          <cell r="B389">
            <v>3</v>
          </cell>
          <cell r="C389">
            <v>13302</v>
          </cell>
          <cell r="D389" t="str">
            <v>タワーオブザクイーン -アヴァルシア-</v>
          </cell>
          <cell r="E389" t="str">
            <v>タワーオブザクイーン1本目</v>
          </cell>
          <cell r="F389">
            <v>1</v>
          </cell>
          <cell r="G389" t="str">
            <v>ja</v>
          </cell>
          <cell r="H389" t="str">
            <v>1階 コスト制限なし</v>
          </cell>
          <cell r="I389" t="str">
            <v>タワーオブザクイーン</v>
          </cell>
          <cell r="J389">
            <v>347</v>
          </cell>
          <cell r="K389">
            <v>10</v>
          </cell>
          <cell r="L389">
            <v>600</v>
          </cell>
          <cell r="M389">
            <v>1</v>
          </cell>
          <cell r="N389">
            <v>1</v>
          </cell>
          <cell r="O389">
            <v>1</v>
          </cell>
          <cell r="P389">
            <v>1</v>
          </cell>
          <cell r="Q389">
            <v>1</v>
          </cell>
          <cell r="R389">
            <v>3</v>
          </cell>
          <cell r="S389" t="str">
            <v>character</v>
          </cell>
          <cell r="T389" t="str">
            <v>347,837,347</v>
          </cell>
          <cell r="U389" t="str">
            <v>NULL</v>
          </cell>
          <cell r="V389" t="str">
            <v>NULL</v>
          </cell>
          <cell r="W389" t="str">
            <v/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 t="str">
            <v>anytime</v>
          </cell>
          <cell r="AC389">
            <v>965</v>
          </cell>
          <cell r="AD389">
            <v>6</v>
          </cell>
          <cell r="AE389" t="str">
            <v>singleonly</v>
          </cell>
        </row>
        <row r="390">
          <cell r="A390" t="str">
            <v>13302_2</v>
          </cell>
          <cell r="B390">
            <v>3</v>
          </cell>
          <cell r="C390">
            <v>13302</v>
          </cell>
          <cell r="D390" t="str">
            <v>タワーオブザクイーン -アヴァルシア-</v>
          </cell>
          <cell r="E390" t="str">
            <v>タワーオブザクイーン1本目</v>
          </cell>
          <cell r="F390">
            <v>2</v>
          </cell>
          <cell r="G390" t="str">
            <v>ja</v>
          </cell>
          <cell r="H390" t="str">
            <v>2階 コスト制限なし</v>
          </cell>
          <cell r="I390" t="str">
            <v>タワーオブザクイーン</v>
          </cell>
          <cell r="J390">
            <v>343</v>
          </cell>
          <cell r="K390">
            <v>11</v>
          </cell>
          <cell r="L390">
            <v>860</v>
          </cell>
          <cell r="M390">
            <v>1</v>
          </cell>
          <cell r="N390">
            <v>1</v>
          </cell>
          <cell r="O390">
            <v>1</v>
          </cell>
          <cell r="P390">
            <v>1</v>
          </cell>
          <cell r="Q390">
            <v>1</v>
          </cell>
          <cell r="R390">
            <v>3</v>
          </cell>
          <cell r="S390" t="str">
            <v>character</v>
          </cell>
          <cell r="T390" t="str">
            <v>343,343,125</v>
          </cell>
          <cell r="U390">
            <v>13302</v>
          </cell>
          <cell r="V390">
            <v>1</v>
          </cell>
          <cell r="W390" t="str">
            <v>1階 コスト制限なし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 t="str">
            <v>anytime</v>
          </cell>
          <cell r="AC390">
            <v>965</v>
          </cell>
          <cell r="AD390">
            <v>6</v>
          </cell>
          <cell r="AE390" t="str">
            <v>singleonly</v>
          </cell>
        </row>
        <row r="391">
          <cell r="A391" t="str">
            <v>13302_3</v>
          </cell>
          <cell r="B391">
            <v>3</v>
          </cell>
          <cell r="C391">
            <v>13302</v>
          </cell>
          <cell r="D391" t="str">
            <v>タワーオブザクイーン -アヴァルシア-</v>
          </cell>
          <cell r="E391" t="str">
            <v>タワーオブザクイーン1本目</v>
          </cell>
          <cell r="F391">
            <v>3</v>
          </cell>
          <cell r="G391" t="str">
            <v>ja</v>
          </cell>
          <cell r="H391" t="str">
            <v>3階 コスト制限なし</v>
          </cell>
          <cell r="I391" t="str">
            <v>タワーオブザクイーン</v>
          </cell>
          <cell r="J391">
            <v>335</v>
          </cell>
          <cell r="K391">
            <v>12</v>
          </cell>
          <cell r="L391">
            <v>1140</v>
          </cell>
          <cell r="M391">
            <v>1</v>
          </cell>
          <cell r="N391">
            <v>1</v>
          </cell>
          <cell r="O391">
            <v>1</v>
          </cell>
          <cell r="P391">
            <v>1</v>
          </cell>
          <cell r="Q391">
            <v>1</v>
          </cell>
          <cell r="R391">
            <v>3</v>
          </cell>
          <cell r="S391" t="str">
            <v>character</v>
          </cell>
          <cell r="T391" t="str">
            <v>335,335,125</v>
          </cell>
          <cell r="U391">
            <v>13302</v>
          </cell>
          <cell r="V391">
            <v>2</v>
          </cell>
          <cell r="W391" t="str">
            <v>2階 コスト制限なし</v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 t="str">
            <v>anytime</v>
          </cell>
          <cell r="AC391">
            <v>965</v>
          </cell>
          <cell r="AD391">
            <v>6</v>
          </cell>
          <cell r="AE391" t="str">
            <v>singleonly</v>
          </cell>
        </row>
        <row r="392">
          <cell r="A392" t="str">
            <v>13302_4</v>
          </cell>
          <cell r="B392">
            <v>3</v>
          </cell>
          <cell r="C392">
            <v>13302</v>
          </cell>
          <cell r="D392" t="str">
            <v>タワーオブザクイーン -アヴァルシア-</v>
          </cell>
          <cell r="E392" t="str">
            <v>タワーオブザクイーン1本目</v>
          </cell>
          <cell r="F392">
            <v>4</v>
          </cell>
          <cell r="G392" t="str">
            <v>ja</v>
          </cell>
          <cell r="H392" t="str">
            <v>4階 コスト制限なし</v>
          </cell>
          <cell r="I392" t="str">
            <v>タワーオブザクイーン</v>
          </cell>
          <cell r="J392">
            <v>339</v>
          </cell>
          <cell r="K392">
            <v>13</v>
          </cell>
          <cell r="L392">
            <v>1440</v>
          </cell>
          <cell r="M392">
            <v>1</v>
          </cell>
          <cell r="N392">
            <v>1</v>
          </cell>
          <cell r="O392">
            <v>1</v>
          </cell>
          <cell r="P392">
            <v>1</v>
          </cell>
          <cell r="Q392">
            <v>1</v>
          </cell>
          <cell r="R392">
            <v>3</v>
          </cell>
          <cell r="S392" t="str">
            <v>character</v>
          </cell>
          <cell r="T392" t="str">
            <v>339,339,125</v>
          </cell>
          <cell r="U392">
            <v>13302</v>
          </cell>
          <cell r="V392">
            <v>3</v>
          </cell>
          <cell r="W392" t="str">
            <v>3階 コスト制限なし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 t="str">
            <v>anytime</v>
          </cell>
          <cell r="AC392">
            <v>965</v>
          </cell>
          <cell r="AD392">
            <v>6</v>
          </cell>
          <cell r="AE392" t="str">
            <v>singleonly</v>
          </cell>
        </row>
        <row r="393">
          <cell r="A393" t="str">
            <v>13302_5</v>
          </cell>
          <cell r="B393">
            <v>3</v>
          </cell>
          <cell r="C393">
            <v>13302</v>
          </cell>
          <cell r="D393" t="str">
            <v>タワーオブザクイーン -アヴァルシア-</v>
          </cell>
          <cell r="E393" t="str">
            <v>タワーオブザクイーン1本目</v>
          </cell>
          <cell r="F393">
            <v>5</v>
          </cell>
          <cell r="G393" t="str">
            <v>ja</v>
          </cell>
          <cell r="H393" t="str">
            <v>5階 コスト30以下限定</v>
          </cell>
          <cell r="I393" t="str">
            <v>タワーオブザクイーン</v>
          </cell>
          <cell r="J393">
            <v>837</v>
          </cell>
          <cell r="K393">
            <v>14</v>
          </cell>
          <cell r="L393">
            <v>1760</v>
          </cell>
          <cell r="M393">
            <v>1</v>
          </cell>
          <cell r="N393">
            <v>1</v>
          </cell>
          <cell r="O393">
            <v>1</v>
          </cell>
          <cell r="P393">
            <v>1</v>
          </cell>
          <cell r="Q393">
            <v>1</v>
          </cell>
          <cell r="R393">
            <v>3</v>
          </cell>
          <cell r="S393" t="str">
            <v>character</v>
          </cell>
          <cell r="T393" t="str">
            <v>837,610,610</v>
          </cell>
          <cell r="U393">
            <v>13302</v>
          </cell>
          <cell r="V393">
            <v>4</v>
          </cell>
          <cell r="W393" t="str">
            <v>4階 コスト制限なし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 t="str">
            <v>anytime</v>
          </cell>
          <cell r="AC393">
            <v>965</v>
          </cell>
          <cell r="AD393">
            <v>6</v>
          </cell>
          <cell r="AE393" t="str">
            <v>singleonly</v>
          </cell>
        </row>
        <row r="394">
          <cell r="A394" t="str">
            <v>13302_6</v>
          </cell>
          <cell r="B394">
            <v>3</v>
          </cell>
          <cell r="C394">
            <v>13302</v>
          </cell>
          <cell r="D394" t="str">
            <v>タワーオブザクイーン -アヴァルシア-</v>
          </cell>
          <cell r="E394" t="str">
            <v>タワーオブザクイーン1本目</v>
          </cell>
          <cell r="F394">
            <v>6</v>
          </cell>
          <cell r="G394" t="str">
            <v>ja</v>
          </cell>
          <cell r="H394" t="str">
            <v>6階 コスト30以下ヒューマン限定</v>
          </cell>
          <cell r="I394" t="str">
            <v>タワーオブザクイーン</v>
          </cell>
          <cell r="J394">
            <v>612</v>
          </cell>
          <cell r="K394">
            <v>15</v>
          </cell>
          <cell r="L394">
            <v>2100</v>
          </cell>
          <cell r="M394">
            <v>1</v>
          </cell>
          <cell r="N394">
            <v>1</v>
          </cell>
          <cell r="O394">
            <v>1</v>
          </cell>
          <cell r="P394">
            <v>1</v>
          </cell>
          <cell r="Q394">
            <v>1</v>
          </cell>
          <cell r="R394">
            <v>3</v>
          </cell>
          <cell r="S394" t="str">
            <v>character</v>
          </cell>
          <cell r="T394" t="str">
            <v>612,612,355</v>
          </cell>
          <cell r="U394">
            <v>13302</v>
          </cell>
          <cell r="V394">
            <v>5</v>
          </cell>
          <cell r="W394" t="str">
            <v>5階 コスト30以下限定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 t="str">
            <v>anytime</v>
          </cell>
          <cell r="AC394">
            <v>965</v>
          </cell>
          <cell r="AD394">
            <v>6</v>
          </cell>
          <cell r="AE394" t="str">
            <v>singleonly</v>
          </cell>
        </row>
        <row r="395">
          <cell r="A395" t="str">
            <v>13302_7</v>
          </cell>
          <cell r="B395">
            <v>3</v>
          </cell>
          <cell r="C395">
            <v>13302</v>
          </cell>
          <cell r="D395" t="str">
            <v>タワーオブザクイーン -アヴァルシア-</v>
          </cell>
          <cell r="E395" t="str">
            <v>タワーオブザクイーン1本目</v>
          </cell>
          <cell r="F395">
            <v>7</v>
          </cell>
          <cell r="G395" t="str">
            <v>ja</v>
          </cell>
          <cell r="H395" t="str">
            <v>7階 コスト制限なし</v>
          </cell>
          <cell r="I395" t="str">
            <v>タワーオブザクイーン</v>
          </cell>
          <cell r="J395">
            <v>613</v>
          </cell>
          <cell r="K395">
            <v>16</v>
          </cell>
          <cell r="L395">
            <v>2460</v>
          </cell>
          <cell r="M395">
            <v>1</v>
          </cell>
          <cell r="N395">
            <v>1</v>
          </cell>
          <cell r="O395">
            <v>1</v>
          </cell>
          <cell r="P395">
            <v>1</v>
          </cell>
          <cell r="Q395">
            <v>1</v>
          </cell>
          <cell r="R395">
            <v>3</v>
          </cell>
          <cell r="S395" t="str">
            <v>character</v>
          </cell>
          <cell r="T395" t="str">
            <v>613,613,353</v>
          </cell>
          <cell r="U395">
            <v>13302</v>
          </cell>
          <cell r="V395">
            <v>6</v>
          </cell>
          <cell r="W395" t="str">
            <v>6階 コスト30以下ヒューマン限定</v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 t="str">
            <v>anytime</v>
          </cell>
          <cell r="AC395">
            <v>965</v>
          </cell>
          <cell r="AD395">
            <v>6</v>
          </cell>
          <cell r="AE395" t="str">
            <v>singleonly</v>
          </cell>
        </row>
        <row r="396">
          <cell r="A396" t="str">
            <v>13302_8</v>
          </cell>
          <cell r="B396">
            <v>3</v>
          </cell>
          <cell r="C396">
            <v>13302</v>
          </cell>
          <cell r="D396" t="str">
            <v>タワーオブザクイーン -アヴァルシア-</v>
          </cell>
          <cell r="E396" t="str">
            <v>タワーオブザクイーン1本目</v>
          </cell>
          <cell r="F396">
            <v>8</v>
          </cell>
          <cell r="G396" t="str">
            <v>ja</v>
          </cell>
          <cell r="H396" t="str">
            <v>8階 コスト28以下限定</v>
          </cell>
          <cell r="I396" t="str">
            <v>タワーオブザクイーン</v>
          </cell>
          <cell r="J396">
            <v>611</v>
          </cell>
          <cell r="K396">
            <v>17</v>
          </cell>
          <cell r="L396">
            <v>2840</v>
          </cell>
          <cell r="M396">
            <v>1</v>
          </cell>
          <cell r="N396">
            <v>1</v>
          </cell>
          <cell r="O396">
            <v>1</v>
          </cell>
          <cell r="P396">
            <v>1</v>
          </cell>
          <cell r="Q396">
            <v>1</v>
          </cell>
          <cell r="R396">
            <v>3</v>
          </cell>
          <cell r="S396" t="str">
            <v>character</v>
          </cell>
          <cell r="T396" t="str">
            <v>611,611,349</v>
          </cell>
          <cell r="U396">
            <v>13302</v>
          </cell>
          <cell r="V396">
            <v>7</v>
          </cell>
          <cell r="W396" t="str">
            <v>7階 コスト制限なし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 t="str">
            <v>anytime</v>
          </cell>
          <cell r="AC396">
            <v>965</v>
          </cell>
          <cell r="AD396">
            <v>6</v>
          </cell>
          <cell r="AE396" t="str">
            <v>singleonly</v>
          </cell>
        </row>
        <row r="397">
          <cell r="A397" t="str">
            <v>13302_9</v>
          </cell>
          <cell r="B397">
            <v>3</v>
          </cell>
          <cell r="C397">
            <v>13302</v>
          </cell>
          <cell r="D397" t="str">
            <v>タワーオブザクイーン -アヴァルシア-</v>
          </cell>
          <cell r="E397" t="str">
            <v>タワーオブザクイーン1本目</v>
          </cell>
          <cell r="F397">
            <v>9</v>
          </cell>
          <cell r="G397" t="str">
            <v>ja</v>
          </cell>
          <cell r="H397" t="str">
            <v>9階 コスト28以下ヒューマン限定</v>
          </cell>
          <cell r="I397" t="str">
            <v>タワーオブザクイーン</v>
          </cell>
          <cell r="J397">
            <v>837</v>
          </cell>
          <cell r="K397">
            <v>18</v>
          </cell>
          <cell r="L397">
            <v>3240</v>
          </cell>
          <cell r="M397">
            <v>1</v>
          </cell>
          <cell r="N397">
            <v>1</v>
          </cell>
          <cell r="O397">
            <v>1</v>
          </cell>
          <cell r="P397">
            <v>1</v>
          </cell>
          <cell r="Q397">
            <v>1</v>
          </cell>
          <cell r="R397">
            <v>3</v>
          </cell>
          <cell r="S397" t="str">
            <v>character</v>
          </cell>
          <cell r="T397" t="str">
            <v>837,614,351</v>
          </cell>
          <cell r="U397">
            <v>13302</v>
          </cell>
          <cell r="V397">
            <v>8</v>
          </cell>
          <cell r="W397" t="str">
            <v>8階 コスト28以下限定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 t="str">
            <v>anytime</v>
          </cell>
          <cell r="AC397">
            <v>965</v>
          </cell>
          <cell r="AD397">
            <v>6</v>
          </cell>
          <cell r="AE397" t="str">
            <v>singleonly</v>
          </cell>
        </row>
        <row r="398">
          <cell r="A398" t="str">
            <v>13302_10</v>
          </cell>
          <cell r="B398">
            <v>3</v>
          </cell>
          <cell r="C398">
            <v>13302</v>
          </cell>
          <cell r="D398" t="str">
            <v>タワーオブザクイーン -アヴァルシア-</v>
          </cell>
          <cell r="E398" t="str">
            <v>タワーオブザクイーン1本目</v>
          </cell>
          <cell r="F398">
            <v>10</v>
          </cell>
          <cell r="G398" t="str">
            <v>ja</v>
          </cell>
          <cell r="H398" t="str">
            <v>10階 ボナンザ 現る！</v>
          </cell>
          <cell r="I398" t="str">
            <v>タワーオブザクイーン</v>
          </cell>
          <cell r="J398">
            <v>0</v>
          </cell>
          <cell r="K398">
            <v>19</v>
          </cell>
          <cell r="L398">
            <v>3660</v>
          </cell>
          <cell r="M398">
            <v>1</v>
          </cell>
          <cell r="N398">
            <v>1</v>
          </cell>
          <cell r="O398">
            <v>1</v>
          </cell>
          <cell r="P398">
            <v>1</v>
          </cell>
          <cell r="Q398">
            <v>1</v>
          </cell>
          <cell r="R398">
            <v>3</v>
          </cell>
          <cell r="S398" t="str">
            <v>polygon</v>
          </cell>
          <cell r="T398" t="str">
            <v>7</v>
          </cell>
          <cell r="U398">
            <v>13302</v>
          </cell>
          <cell r="V398">
            <v>9</v>
          </cell>
          <cell r="W398" t="str">
            <v>9階 コスト28以下ヒューマン限定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 t="str">
            <v>anytime</v>
          </cell>
          <cell r="AC398">
            <v>965</v>
          </cell>
          <cell r="AD398">
            <v>6</v>
          </cell>
          <cell r="AE398" t="str">
            <v>singleonly</v>
          </cell>
        </row>
        <row r="399">
          <cell r="A399" t="str">
            <v>13302_11</v>
          </cell>
          <cell r="B399">
            <v>3</v>
          </cell>
          <cell r="C399">
            <v>13302</v>
          </cell>
          <cell r="D399" t="str">
            <v>タワーオブザクイーン -アヴァルシア-</v>
          </cell>
          <cell r="E399" t="str">
            <v>タワーオブザクイーン1本目</v>
          </cell>
          <cell r="F399">
            <v>11</v>
          </cell>
          <cell r="G399" t="str">
            <v>ja</v>
          </cell>
          <cell r="H399" t="str">
            <v>11階 コスト30以下限定</v>
          </cell>
          <cell r="I399" t="str">
            <v>タワーオブザクイーン</v>
          </cell>
          <cell r="J399">
            <v>612</v>
          </cell>
          <cell r="K399">
            <v>20</v>
          </cell>
          <cell r="L399">
            <v>4100</v>
          </cell>
          <cell r="M399">
            <v>1</v>
          </cell>
          <cell r="N399">
            <v>1</v>
          </cell>
          <cell r="O399">
            <v>1</v>
          </cell>
          <cell r="P399">
            <v>1</v>
          </cell>
          <cell r="Q399">
            <v>1</v>
          </cell>
          <cell r="R399">
            <v>3</v>
          </cell>
          <cell r="S399" t="str">
            <v>character</v>
          </cell>
          <cell r="T399" t="str">
            <v>612,612,612</v>
          </cell>
          <cell r="U399">
            <v>13302</v>
          </cell>
          <cell r="V399">
            <v>10</v>
          </cell>
          <cell r="W399" t="str">
            <v>10階 ボナンザ 現る！</v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 t="str">
            <v>anytime</v>
          </cell>
          <cell r="AC399">
            <v>965</v>
          </cell>
          <cell r="AD399">
            <v>6</v>
          </cell>
          <cell r="AE399" t="str">
            <v>singleonly</v>
          </cell>
        </row>
        <row r="400">
          <cell r="A400" t="str">
            <v>13302_12</v>
          </cell>
          <cell r="B400">
            <v>3</v>
          </cell>
          <cell r="C400">
            <v>13302</v>
          </cell>
          <cell r="D400" t="str">
            <v>タワーオブザクイーン -アヴァルシア-</v>
          </cell>
          <cell r="E400" t="str">
            <v>タワーオブザクイーン1本目</v>
          </cell>
          <cell r="F400">
            <v>12</v>
          </cell>
          <cell r="G400" t="str">
            <v>ja</v>
          </cell>
          <cell r="H400" t="str">
            <v>12階 コスト30以下ヒューマン限定</v>
          </cell>
          <cell r="I400" t="str">
            <v>タワーオブザクイーン</v>
          </cell>
          <cell r="J400">
            <v>613</v>
          </cell>
          <cell r="K400">
            <v>21</v>
          </cell>
          <cell r="L400">
            <v>4560</v>
          </cell>
          <cell r="M400">
            <v>1</v>
          </cell>
          <cell r="N400">
            <v>1</v>
          </cell>
          <cell r="O400">
            <v>1</v>
          </cell>
          <cell r="P400">
            <v>1</v>
          </cell>
          <cell r="Q400">
            <v>1</v>
          </cell>
          <cell r="R400">
            <v>3</v>
          </cell>
          <cell r="S400" t="str">
            <v>character</v>
          </cell>
          <cell r="T400" t="str">
            <v>613,613,613</v>
          </cell>
          <cell r="U400">
            <v>13302</v>
          </cell>
          <cell r="V400">
            <v>11</v>
          </cell>
          <cell r="W400" t="str">
            <v>11階 コスト30以下限定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 t="str">
            <v>anytime</v>
          </cell>
          <cell r="AC400">
            <v>965</v>
          </cell>
          <cell r="AD400">
            <v>6</v>
          </cell>
          <cell r="AE400" t="str">
            <v>singleonly</v>
          </cell>
        </row>
        <row r="401">
          <cell r="A401" t="str">
            <v>13302_13</v>
          </cell>
          <cell r="B401">
            <v>3</v>
          </cell>
          <cell r="C401">
            <v>13302</v>
          </cell>
          <cell r="D401" t="str">
            <v>タワーオブザクイーン -アヴァルシア-</v>
          </cell>
          <cell r="E401" t="str">
            <v>タワーオブザクイーン1本目</v>
          </cell>
          <cell r="F401">
            <v>13</v>
          </cell>
          <cell r="G401" t="str">
            <v>ja</v>
          </cell>
          <cell r="H401" t="str">
            <v>13階 コスト制限なし</v>
          </cell>
          <cell r="I401" t="str">
            <v>タワーオブザクイーン</v>
          </cell>
          <cell r="J401">
            <v>611</v>
          </cell>
          <cell r="K401">
            <v>22</v>
          </cell>
          <cell r="L401">
            <v>5040</v>
          </cell>
          <cell r="M401">
            <v>1</v>
          </cell>
          <cell r="N401">
            <v>1</v>
          </cell>
          <cell r="O401">
            <v>1</v>
          </cell>
          <cell r="P401">
            <v>1</v>
          </cell>
          <cell r="Q401">
            <v>1</v>
          </cell>
          <cell r="R401">
            <v>3</v>
          </cell>
          <cell r="S401" t="str">
            <v>character</v>
          </cell>
          <cell r="T401" t="str">
            <v>611,611,611</v>
          </cell>
          <cell r="U401">
            <v>13302</v>
          </cell>
          <cell r="V401">
            <v>12</v>
          </cell>
          <cell r="W401" t="str">
            <v>12階 コスト30以下ヒューマン限定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 t="str">
            <v>anytime</v>
          </cell>
          <cell r="AC401">
            <v>965</v>
          </cell>
          <cell r="AD401">
            <v>6</v>
          </cell>
          <cell r="AE401" t="str">
            <v>singleonly</v>
          </cell>
        </row>
        <row r="402">
          <cell r="A402" t="str">
            <v>13302_14</v>
          </cell>
          <cell r="B402">
            <v>3</v>
          </cell>
          <cell r="C402">
            <v>13302</v>
          </cell>
          <cell r="D402" t="str">
            <v>タワーオブザクイーン -アヴァルシア-</v>
          </cell>
          <cell r="E402" t="str">
            <v>タワーオブザクイーン1本目</v>
          </cell>
          <cell r="F402">
            <v>14</v>
          </cell>
          <cell r="G402" t="str">
            <v>ja</v>
          </cell>
          <cell r="H402" t="str">
            <v>14階 コスト制限なし</v>
          </cell>
          <cell r="I402" t="str">
            <v>タワーオブザクイーン</v>
          </cell>
          <cell r="J402">
            <v>614</v>
          </cell>
          <cell r="K402">
            <v>23</v>
          </cell>
          <cell r="L402">
            <v>5540</v>
          </cell>
          <cell r="M402">
            <v>1</v>
          </cell>
          <cell r="N402">
            <v>1</v>
          </cell>
          <cell r="O402">
            <v>1</v>
          </cell>
          <cell r="P402">
            <v>1</v>
          </cell>
          <cell r="Q402">
            <v>1</v>
          </cell>
          <cell r="R402">
            <v>3</v>
          </cell>
          <cell r="S402" t="str">
            <v>character</v>
          </cell>
          <cell r="T402" t="str">
            <v>614,614</v>
          </cell>
          <cell r="U402">
            <v>13302</v>
          </cell>
          <cell r="V402">
            <v>13</v>
          </cell>
          <cell r="W402" t="str">
            <v>13階 コスト制限なし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 t="str">
            <v>anytime</v>
          </cell>
          <cell r="AC402">
            <v>965</v>
          </cell>
          <cell r="AD402">
            <v>6</v>
          </cell>
          <cell r="AE402" t="str">
            <v>singleonly</v>
          </cell>
        </row>
        <row r="403">
          <cell r="A403" t="str">
            <v>13302_15</v>
          </cell>
          <cell r="B403">
            <v>3</v>
          </cell>
          <cell r="C403">
            <v>13302</v>
          </cell>
          <cell r="D403" t="str">
            <v>タワーオブザクイーン -アヴァルシア-</v>
          </cell>
          <cell r="E403" t="str">
            <v>タワーオブザクイーン1本目</v>
          </cell>
          <cell r="F403">
            <v>15</v>
          </cell>
          <cell r="G403" t="str">
            <v>ja</v>
          </cell>
          <cell r="H403" t="str">
            <v>15階 アヴァルシアの女王 ボナンザ</v>
          </cell>
          <cell r="I403" t="str">
            <v>タワーオブザクイーン</v>
          </cell>
          <cell r="J403">
            <v>1115</v>
          </cell>
          <cell r="K403">
            <v>50</v>
          </cell>
          <cell r="L403">
            <v>10000</v>
          </cell>
          <cell r="M403">
            <v>1</v>
          </cell>
          <cell r="N403">
            <v>1</v>
          </cell>
          <cell r="O403">
            <v>1</v>
          </cell>
          <cell r="P403">
            <v>1</v>
          </cell>
          <cell r="Q403">
            <v>1</v>
          </cell>
          <cell r="R403">
            <v>3</v>
          </cell>
          <cell r="S403" t="str">
            <v>character</v>
          </cell>
          <cell r="T403" t="str">
            <v>1114</v>
          </cell>
          <cell r="U403">
            <v>13302</v>
          </cell>
          <cell r="V403">
            <v>14</v>
          </cell>
          <cell r="W403" t="str">
            <v>14階 コスト制限なし</v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 t="str">
            <v>anytime</v>
          </cell>
          <cell r="AC403">
            <v>965</v>
          </cell>
          <cell r="AD403">
            <v>6</v>
          </cell>
          <cell r="AE403" t="str">
            <v>singleonly</v>
          </cell>
        </row>
        <row r="404">
          <cell r="A404" t="str">
            <v>13400_1</v>
          </cell>
          <cell r="B404">
            <v>1</v>
          </cell>
          <cell r="C404">
            <v>13400</v>
          </cell>
          <cell r="D404" t="str">
            <v>タワーオブザクイーン -セカンド（仮）-</v>
          </cell>
          <cell r="E404" t="str">
            <v>タワーオブザクイーン2本目</v>
          </cell>
          <cell r="F404">
            <v>1</v>
          </cell>
          <cell r="G404" t="str">
            <v>ja</v>
          </cell>
          <cell r="H404" t="str">
            <v>1階 コスト制限なし</v>
          </cell>
          <cell r="I404" t="str">
            <v>タワーオブザクイーン</v>
          </cell>
          <cell r="J404">
            <v>347</v>
          </cell>
          <cell r="K404">
            <v>10</v>
          </cell>
          <cell r="L404">
            <v>600</v>
          </cell>
          <cell r="M404">
            <v>1</v>
          </cell>
          <cell r="N404">
            <v>1</v>
          </cell>
          <cell r="O404">
            <v>1</v>
          </cell>
          <cell r="P404">
            <v>1</v>
          </cell>
          <cell r="Q404">
            <v>1</v>
          </cell>
          <cell r="R404">
            <v>3</v>
          </cell>
          <cell r="S404" t="str">
            <v>character</v>
          </cell>
          <cell r="T404" t="str">
            <v>347,837,347</v>
          </cell>
          <cell r="U404" t="str">
            <v>NULL</v>
          </cell>
          <cell r="V404" t="str">
            <v>NULL</v>
          </cell>
          <cell r="W404" t="str">
            <v/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 t="str">
            <v>anytime</v>
          </cell>
          <cell r="AC404">
            <v>976</v>
          </cell>
          <cell r="AD404">
            <v>6</v>
          </cell>
          <cell r="AE404" t="str">
            <v>singleonly</v>
          </cell>
        </row>
        <row r="405">
          <cell r="A405" t="str">
            <v>13400_2</v>
          </cell>
          <cell r="B405">
            <v>1</v>
          </cell>
          <cell r="C405">
            <v>13400</v>
          </cell>
          <cell r="D405" t="str">
            <v>タワーオブザクイーン -セカンド（仮）-</v>
          </cell>
          <cell r="E405" t="str">
            <v>タワーオブザクイーン2本目</v>
          </cell>
          <cell r="F405">
            <v>2</v>
          </cell>
          <cell r="G405" t="str">
            <v>ja</v>
          </cell>
          <cell r="H405" t="str">
            <v>2階 コスト制限なし</v>
          </cell>
          <cell r="I405" t="str">
            <v>タワーオブザクイーン</v>
          </cell>
          <cell r="J405">
            <v>343</v>
          </cell>
          <cell r="K405">
            <v>11</v>
          </cell>
          <cell r="L405">
            <v>860</v>
          </cell>
          <cell r="M405">
            <v>1</v>
          </cell>
          <cell r="N405">
            <v>1</v>
          </cell>
          <cell r="O405">
            <v>1</v>
          </cell>
          <cell r="P405">
            <v>1</v>
          </cell>
          <cell r="Q405">
            <v>1</v>
          </cell>
          <cell r="R405">
            <v>3</v>
          </cell>
          <cell r="S405" t="str">
            <v>character</v>
          </cell>
          <cell r="T405" t="str">
            <v>343,343,125</v>
          </cell>
          <cell r="U405">
            <v>13400</v>
          </cell>
          <cell r="V405">
            <v>1</v>
          </cell>
          <cell r="W405" t="str">
            <v>1階 コスト制限なし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 t="str">
            <v>anytime</v>
          </cell>
          <cell r="AC405">
            <v>976</v>
          </cell>
          <cell r="AD405">
            <v>6</v>
          </cell>
          <cell r="AE405" t="str">
            <v>singleonly</v>
          </cell>
        </row>
        <row r="406">
          <cell r="A406" t="str">
            <v>13400_3</v>
          </cell>
          <cell r="B406">
            <v>1</v>
          </cell>
          <cell r="C406">
            <v>13400</v>
          </cell>
          <cell r="D406" t="str">
            <v>タワーオブザクイーン -セカンド（仮）-</v>
          </cell>
          <cell r="E406" t="str">
            <v>タワーオブザクイーン2本目</v>
          </cell>
          <cell r="F406">
            <v>3</v>
          </cell>
          <cell r="G406" t="str">
            <v>ja</v>
          </cell>
          <cell r="H406" t="str">
            <v>3階 コスト制限なし</v>
          </cell>
          <cell r="I406" t="str">
            <v>タワーオブザクイーン</v>
          </cell>
          <cell r="J406">
            <v>335</v>
          </cell>
          <cell r="K406">
            <v>12</v>
          </cell>
          <cell r="L406">
            <v>1140</v>
          </cell>
          <cell r="M406">
            <v>1</v>
          </cell>
          <cell r="N406">
            <v>1</v>
          </cell>
          <cell r="O406">
            <v>1</v>
          </cell>
          <cell r="P406">
            <v>1</v>
          </cell>
          <cell r="Q406">
            <v>1</v>
          </cell>
          <cell r="R406">
            <v>3</v>
          </cell>
          <cell r="S406" t="str">
            <v>character</v>
          </cell>
          <cell r="T406" t="str">
            <v>335,335,125</v>
          </cell>
          <cell r="U406">
            <v>13400</v>
          </cell>
          <cell r="V406">
            <v>2</v>
          </cell>
          <cell r="W406" t="str">
            <v>2階 コスト制限なし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 t="str">
            <v>anytime</v>
          </cell>
          <cell r="AC406">
            <v>976</v>
          </cell>
          <cell r="AD406">
            <v>6</v>
          </cell>
          <cell r="AE406" t="str">
            <v>singleonly</v>
          </cell>
        </row>
        <row r="407">
          <cell r="A407" t="str">
            <v>13400_4</v>
          </cell>
          <cell r="B407">
            <v>1</v>
          </cell>
          <cell r="C407">
            <v>13400</v>
          </cell>
          <cell r="D407" t="str">
            <v>タワーオブザクイーン -セカンド（仮）-</v>
          </cell>
          <cell r="E407" t="str">
            <v>タワーオブザクイーン2本目</v>
          </cell>
          <cell r="F407">
            <v>4</v>
          </cell>
          <cell r="G407" t="str">
            <v>ja</v>
          </cell>
          <cell r="H407" t="str">
            <v>4階 コスト制限なし</v>
          </cell>
          <cell r="I407" t="str">
            <v>タワーオブザクイーン</v>
          </cell>
          <cell r="J407">
            <v>339</v>
          </cell>
          <cell r="K407">
            <v>13</v>
          </cell>
          <cell r="L407">
            <v>1440</v>
          </cell>
          <cell r="M407">
            <v>1</v>
          </cell>
          <cell r="N407">
            <v>1</v>
          </cell>
          <cell r="O407">
            <v>1</v>
          </cell>
          <cell r="P407">
            <v>1</v>
          </cell>
          <cell r="Q407">
            <v>1</v>
          </cell>
          <cell r="R407">
            <v>3</v>
          </cell>
          <cell r="S407" t="str">
            <v>character</v>
          </cell>
          <cell r="T407" t="str">
            <v>339,339,125</v>
          </cell>
          <cell r="U407">
            <v>13400</v>
          </cell>
          <cell r="V407">
            <v>3</v>
          </cell>
          <cell r="W407" t="str">
            <v>3階 コスト制限なし</v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 t="str">
            <v>anytime</v>
          </cell>
          <cell r="AC407">
            <v>976</v>
          </cell>
          <cell r="AD407">
            <v>6</v>
          </cell>
          <cell r="AE407" t="str">
            <v>singleonly</v>
          </cell>
        </row>
        <row r="408">
          <cell r="A408" t="str">
            <v>13400_5</v>
          </cell>
          <cell r="B408">
            <v>1</v>
          </cell>
          <cell r="C408">
            <v>13400</v>
          </cell>
          <cell r="D408" t="str">
            <v>タワーオブザクイーン -セカンド（仮）-</v>
          </cell>
          <cell r="E408" t="str">
            <v>タワーオブザクイーン2本目</v>
          </cell>
          <cell r="F408">
            <v>5</v>
          </cell>
          <cell r="G408" t="str">
            <v>ja</v>
          </cell>
          <cell r="H408" t="str">
            <v>5階 バランスタイプ限定</v>
          </cell>
          <cell r="I408" t="str">
            <v>タワーオブザクイーン</v>
          </cell>
          <cell r="J408">
            <v>837</v>
          </cell>
          <cell r="K408">
            <v>14</v>
          </cell>
          <cell r="L408">
            <v>1760</v>
          </cell>
          <cell r="M408">
            <v>1</v>
          </cell>
          <cell r="N408">
            <v>1</v>
          </cell>
          <cell r="O408">
            <v>1</v>
          </cell>
          <cell r="P408">
            <v>1</v>
          </cell>
          <cell r="Q408">
            <v>1</v>
          </cell>
          <cell r="R408">
            <v>3</v>
          </cell>
          <cell r="S408" t="str">
            <v>character</v>
          </cell>
          <cell r="T408" t="str">
            <v>837,610,610</v>
          </cell>
          <cell r="U408">
            <v>13400</v>
          </cell>
          <cell r="V408">
            <v>4</v>
          </cell>
          <cell r="W408" t="str">
            <v>4階 コスト制限なし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 t="str">
            <v>anytime</v>
          </cell>
          <cell r="AC408">
            <v>976</v>
          </cell>
          <cell r="AD408">
            <v>6</v>
          </cell>
          <cell r="AE408" t="str">
            <v>singleonly</v>
          </cell>
        </row>
        <row r="409">
          <cell r="A409" t="str">
            <v>13400_6</v>
          </cell>
          <cell r="B409">
            <v>1</v>
          </cell>
          <cell r="C409">
            <v>13400</v>
          </cell>
          <cell r="D409" t="str">
            <v>タワーオブザクイーン -セカンド（仮）-</v>
          </cell>
          <cell r="E409" t="str">
            <v>タワーオブザクイーン2本目</v>
          </cell>
          <cell r="F409">
            <v>6</v>
          </cell>
          <cell r="G409" t="str">
            <v>ja</v>
          </cell>
          <cell r="H409" t="str">
            <v>6階 コスト制限なし</v>
          </cell>
          <cell r="I409" t="str">
            <v>タワーオブザクイーン</v>
          </cell>
          <cell r="J409">
            <v>612</v>
          </cell>
          <cell r="K409">
            <v>15</v>
          </cell>
          <cell r="L409">
            <v>2100</v>
          </cell>
          <cell r="M409">
            <v>1</v>
          </cell>
          <cell r="N409">
            <v>1</v>
          </cell>
          <cell r="O409">
            <v>1</v>
          </cell>
          <cell r="P409">
            <v>1</v>
          </cell>
          <cell r="Q409">
            <v>1</v>
          </cell>
          <cell r="R409">
            <v>3</v>
          </cell>
          <cell r="S409" t="str">
            <v>character</v>
          </cell>
          <cell r="T409" t="str">
            <v>612,612,355</v>
          </cell>
          <cell r="U409">
            <v>13400</v>
          </cell>
          <cell r="V409">
            <v>5</v>
          </cell>
          <cell r="W409" t="str">
            <v>5階 バランスタイプ限定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 t="str">
            <v>anytime</v>
          </cell>
          <cell r="AC409">
            <v>976</v>
          </cell>
          <cell r="AD409">
            <v>6</v>
          </cell>
          <cell r="AE409" t="str">
            <v>singleonly</v>
          </cell>
        </row>
        <row r="410">
          <cell r="A410" t="str">
            <v>13400_7</v>
          </cell>
          <cell r="B410">
            <v>1</v>
          </cell>
          <cell r="C410">
            <v>13400</v>
          </cell>
          <cell r="D410" t="str">
            <v>タワーオブザクイーン -セカンド（仮）-</v>
          </cell>
          <cell r="E410" t="str">
            <v>タワーオブザクイーン2本目</v>
          </cell>
          <cell r="F410">
            <v>7</v>
          </cell>
          <cell r="G410" t="str">
            <v>ja</v>
          </cell>
          <cell r="H410" t="str">
            <v>7階 コスト30以下限定</v>
          </cell>
          <cell r="I410" t="str">
            <v>タワーオブザクイーン</v>
          </cell>
          <cell r="J410">
            <v>613</v>
          </cell>
          <cell r="K410">
            <v>16</v>
          </cell>
          <cell r="L410">
            <v>2460</v>
          </cell>
          <cell r="M410">
            <v>1</v>
          </cell>
          <cell r="N410">
            <v>1</v>
          </cell>
          <cell r="O410">
            <v>1</v>
          </cell>
          <cell r="P410">
            <v>1</v>
          </cell>
          <cell r="Q410">
            <v>1</v>
          </cell>
          <cell r="R410">
            <v>3</v>
          </cell>
          <cell r="S410" t="str">
            <v>character</v>
          </cell>
          <cell r="T410" t="str">
            <v>613,613,353</v>
          </cell>
          <cell r="U410">
            <v>13400</v>
          </cell>
          <cell r="V410">
            <v>6</v>
          </cell>
          <cell r="W410" t="str">
            <v>6階 コスト制限なし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 t="str">
            <v>anytime</v>
          </cell>
          <cell r="AC410">
            <v>976</v>
          </cell>
          <cell r="AD410">
            <v>6</v>
          </cell>
          <cell r="AE410" t="str">
            <v>singleonly</v>
          </cell>
        </row>
        <row r="411">
          <cell r="A411" t="str">
            <v>13400_8</v>
          </cell>
          <cell r="B411">
            <v>1</v>
          </cell>
          <cell r="C411">
            <v>13400</v>
          </cell>
          <cell r="D411" t="str">
            <v>タワーオブザクイーン -セカンド（仮）-</v>
          </cell>
          <cell r="E411" t="str">
            <v>タワーオブザクイーン2本目</v>
          </cell>
          <cell r="F411">
            <v>8</v>
          </cell>
          <cell r="G411" t="str">
            <v>ja</v>
          </cell>
          <cell r="H411" t="str">
            <v>8階 コスト制限なし</v>
          </cell>
          <cell r="I411" t="str">
            <v>タワーオブザクイーン</v>
          </cell>
          <cell r="J411">
            <v>611</v>
          </cell>
          <cell r="K411">
            <v>17</v>
          </cell>
          <cell r="L411">
            <v>2840</v>
          </cell>
          <cell r="M411">
            <v>1</v>
          </cell>
          <cell r="N411">
            <v>1</v>
          </cell>
          <cell r="O411">
            <v>1</v>
          </cell>
          <cell r="P411">
            <v>1</v>
          </cell>
          <cell r="Q411">
            <v>0</v>
          </cell>
          <cell r="R411">
            <v>3</v>
          </cell>
          <cell r="S411" t="str">
            <v>character</v>
          </cell>
          <cell r="T411" t="str">
            <v>611,611,349</v>
          </cell>
          <cell r="U411">
            <v>13400</v>
          </cell>
          <cell r="V411">
            <v>7</v>
          </cell>
          <cell r="W411" t="str">
            <v>7階 コスト30以下限定</v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 t="str">
            <v>anytime</v>
          </cell>
          <cell r="AC411">
            <v>976</v>
          </cell>
          <cell r="AD411">
            <v>6</v>
          </cell>
          <cell r="AE411" t="str">
            <v>singleonly</v>
          </cell>
        </row>
        <row r="412">
          <cell r="A412" t="str">
            <v>13400_9</v>
          </cell>
          <cell r="B412">
            <v>1</v>
          </cell>
          <cell r="C412">
            <v>13400</v>
          </cell>
          <cell r="D412" t="str">
            <v>タワーオブザクイーン -セカンド（仮）-</v>
          </cell>
          <cell r="E412" t="str">
            <v>タワーオブザクイーン2本目</v>
          </cell>
          <cell r="F412">
            <v>9</v>
          </cell>
          <cell r="G412" t="str">
            <v>ja</v>
          </cell>
          <cell r="H412" t="str">
            <v>9階 テクニカルタイプ限定</v>
          </cell>
          <cell r="I412" t="str">
            <v>タワーオブザクイーン</v>
          </cell>
          <cell r="J412">
            <v>837</v>
          </cell>
          <cell r="K412">
            <v>18</v>
          </cell>
          <cell r="L412">
            <v>3240</v>
          </cell>
          <cell r="M412">
            <v>1</v>
          </cell>
          <cell r="N412">
            <v>1</v>
          </cell>
          <cell r="O412">
            <v>1</v>
          </cell>
          <cell r="P412">
            <v>1</v>
          </cell>
          <cell r="Q412">
            <v>1</v>
          </cell>
          <cell r="R412">
            <v>3</v>
          </cell>
          <cell r="S412" t="str">
            <v>character</v>
          </cell>
          <cell r="T412" t="str">
            <v>837,614,351</v>
          </cell>
          <cell r="U412">
            <v>13400</v>
          </cell>
          <cell r="V412">
            <v>8</v>
          </cell>
          <cell r="W412" t="str">
            <v>8階 コスト制限なし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 t="str">
            <v>anytime</v>
          </cell>
          <cell r="AC412">
            <v>976</v>
          </cell>
          <cell r="AD412">
            <v>6</v>
          </cell>
          <cell r="AE412" t="str">
            <v>singleonly</v>
          </cell>
        </row>
        <row r="413">
          <cell r="A413" t="str">
            <v>13400_10</v>
          </cell>
          <cell r="B413">
            <v>1</v>
          </cell>
          <cell r="C413">
            <v>13400</v>
          </cell>
          <cell r="D413" t="str">
            <v>タワーオブザクイーン -セカンド（仮）-</v>
          </cell>
          <cell r="E413" t="str">
            <v>タワーオブザクイーン2本目</v>
          </cell>
          <cell r="F413">
            <v>10</v>
          </cell>
          <cell r="G413" t="str">
            <v>ja</v>
          </cell>
          <cell r="H413" t="str">
            <v>10階 ローズ 現る！</v>
          </cell>
          <cell r="I413" t="str">
            <v>タワーオブザクイーン</v>
          </cell>
          <cell r="J413">
            <v>0</v>
          </cell>
          <cell r="K413">
            <v>19</v>
          </cell>
          <cell r="L413">
            <v>3660</v>
          </cell>
          <cell r="M413">
            <v>1</v>
          </cell>
          <cell r="N413">
            <v>1</v>
          </cell>
          <cell r="O413">
            <v>1</v>
          </cell>
          <cell r="P413">
            <v>1</v>
          </cell>
          <cell r="Q413">
            <v>1</v>
          </cell>
          <cell r="R413">
            <v>3</v>
          </cell>
          <cell r="S413" t="str">
            <v>polygon</v>
          </cell>
          <cell r="T413" t="str">
            <v>7</v>
          </cell>
          <cell r="U413">
            <v>13400</v>
          </cell>
          <cell r="V413">
            <v>9</v>
          </cell>
          <cell r="W413" t="str">
            <v>9階 テクニカルタイプ限定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 t="str">
            <v>anytime</v>
          </cell>
          <cell r="AC413">
            <v>976</v>
          </cell>
          <cell r="AD413">
            <v>6</v>
          </cell>
          <cell r="AE413" t="str">
            <v>singleonly</v>
          </cell>
        </row>
        <row r="414">
          <cell r="A414" t="str">
            <v>13400_11</v>
          </cell>
          <cell r="B414">
            <v>1</v>
          </cell>
          <cell r="C414">
            <v>13400</v>
          </cell>
          <cell r="D414" t="str">
            <v>タワーオブザクイーン -セカンド（仮）-</v>
          </cell>
          <cell r="E414" t="str">
            <v>タワーオブザクイーン2本目</v>
          </cell>
          <cell r="F414">
            <v>11</v>
          </cell>
          <cell r="G414" t="str">
            <v>ja</v>
          </cell>
          <cell r="H414" t="str">
            <v>11階 コスト制限なし</v>
          </cell>
          <cell r="I414" t="str">
            <v>タワーオブザクイーン</v>
          </cell>
          <cell r="J414">
            <v>612</v>
          </cell>
          <cell r="K414">
            <v>20</v>
          </cell>
          <cell r="L414">
            <v>4100</v>
          </cell>
          <cell r="M414">
            <v>1</v>
          </cell>
          <cell r="N414">
            <v>1</v>
          </cell>
          <cell r="O414">
            <v>1</v>
          </cell>
          <cell r="P414">
            <v>1</v>
          </cell>
          <cell r="Q414">
            <v>1</v>
          </cell>
          <cell r="R414">
            <v>3</v>
          </cell>
          <cell r="S414" t="str">
            <v>character</v>
          </cell>
          <cell r="T414" t="str">
            <v>612,612,612</v>
          </cell>
          <cell r="U414">
            <v>13400</v>
          </cell>
          <cell r="V414">
            <v>10</v>
          </cell>
          <cell r="W414" t="str">
            <v>10階 ローズ 現る！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 t="str">
            <v>anytime</v>
          </cell>
          <cell r="AC414">
            <v>976</v>
          </cell>
          <cell r="AD414">
            <v>6</v>
          </cell>
          <cell r="AE414" t="str">
            <v>singleonly</v>
          </cell>
        </row>
        <row r="415">
          <cell r="A415" t="str">
            <v>13400_12</v>
          </cell>
          <cell r="B415">
            <v>1</v>
          </cell>
          <cell r="C415">
            <v>13400</v>
          </cell>
          <cell r="D415" t="str">
            <v>タワーオブザクイーン -セカンド（仮）-</v>
          </cell>
          <cell r="E415" t="str">
            <v>タワーオブザクイーン2本目</v>
          </cell>
          <cell r="F415">
            <v>12</v>
          </cell>
          <cell r="G415" t="str">
            <v>ja</v>
          </cell>
          <cell r="H415" t="str">
            <v>12階 コスト制限なし</v>
          </cell>
          <cell r="I415" t="str">
            <v>タワーオブザクイーン</v>
          </cell>
          <cell r="J415">
            <v>613</v>
          </cell>
          <cell r="K415">
            <v>21</v>
          </cell>
          <cell r="L415">
            <v>4560</v>
          </cell>
          <cell r="M415">
            <v>1</v>
          </cell>
          <cell r="N415">
            <v>1</v>
          </cell>
          <cell r="O415">
            <v>1</v>
          </cell>
          <cell r="P415">
            <v>1</v>
          </cell>
          <cell r="Q415">
            <v>1</v>
          </cell>
          <cell r="R415">
            <v>3</v>
          </cell>
          <cell r="S415" t="str">
            <v>character</v>
          </cell>
          <cell r="T415" t="str">
            <v>613,613,613</v>
          </cell>
          <cell r="U415">
            <v>13400</v>
          </cell>
          <cell r="V415">
            <v>11</v>
          </cell>
          <cell r="W415" t="str">
            <v>11階 コスト制限なし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 t="str">
            <v>anytime</v>
          </cell>
          <cell r="AC415">
            <v>976</v>
          </cell>
          <cell r="AD415">
            <v>6</v>
          </cell>
          <cell r="AE415" t="str">
            <v>singleonly</v>
          </cell>
        </row>
        <row r="416">
          <cell r="A416" t="str">
            <v>13400_13</v>
          </cell>
          <cell r="B416">
            <v>1</v>
          </cell>
          <cell r="C416">
            <v>13400</v>
          </cell>
          <cell r="D416" t="str">
            <v>タワーオブザクイーン -セカンド（仮）-</v>
          </cell>
          <cell r="E416" t="str">
            <v>タワーオブザクイーン2本目</v>
          </cell>
          <cell r="F416">
            <v>13</v>
          </cell>
          <cell r="G416" t="str">
            <v>ja</v>
          </cell>
          <cell r="H416" t="str">
            <v>13階 コスト30以下限定</v>
          </cell>
          <cell r="I416" t="str">
            <v>タワーオブザクイーン</v>
          </cell>
          <cell r="J416">
            <v>611</v>
          </cell>
          <cell r="K416">
            <v>22</v>
          </cell>
          <cell r="L416">
            <v>5040</v>
          </cell>
          <cell r="M416">
            <v>1</v>
          </cell>
          <cell r="N416">
            <v>1</v>
          </cell>
          <cell r="O416">
            <v>1</v>
          </cell>
          <cell r="P416">
            <v>1</v>
          </cell>
          <cell r="Q416">
            <v>1</v>
          </cell>
          <cell r="R416">
            <v>3</v>
          </cell>
          <cell r="S416" t="str">
            <v>character</v>
          </cell>
          <cell r="T416" t="str">
            <v>611,611,611</v>
          </cell>
          <cell r="U416">
            <v>13400</v>
          </cell>
          <cell r="V416">
            <v>12</v>
          </cell>
          <cell r="W416" t="str">
            <v>12階 コスト制限なし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 t="str">
            <v>anytime</v>
          </cell>
          <cell r="AC416">
            <v>976</v>
          </cell>
          <cell r="AD416">
            <v>6</v>
          </cell>
          <cell r="AE416" t="str">
            <v>singleonly</v>
          </cell>
        </row>
        <row r="417">
          <cell r="A417" t="str">
            <v>13400_14</v>
          </cell>
          <cell r="B417">
            <v>1</v>
          </cell>
          <cell r="C417">
            <v>13400</v>
          </cell>
          <cell r="D417" t="str">
            <v>タワーオブザクイーン -セカンド（仮）-</v>
          </cell>
          <cell r="E417" t="str">
            <v>タワーオブザクイーン2本目</v>
          </cell>
          <cell r="F417">
            <v>14</v>
          </cell>
          <cell r="G417" t="str">
            <v>ja</v>
          </cell>
          <cell r="H417" t="str">
            <v>14階 コスト制限なし</v>
          </cell>
          <cell r="I417" t="str">
            <v>タワーオブザクイーン</v>
          </cell>
          <cell r="J417">
            <v>614</v>
          </cell>
          <cell r="K417">
            <v>23</v>
          </cell>
          <cell r="L417">
            <v>5540</v>
          </cell>
          <cell r="M417">
            <v>1</v>
          </cell>
          <cell r="N417">
            <v>1</v>
          </cell>
          <cell r="O417">
            <v>1</v>
          </cell>
          <cell r="P417">
            <v>1</v>
          </cell>
          <cell r="Q417">
            <v>1</v>
          </cell>
          <cell r="R417">
            <v>3</v>
          </cell>
          <cell r="S417" t="str">
            <v>character</v>
          </cell>
          <cell r="T417" t="str">
            <v>614,614</v>
          </cell>
          <cell r="U417">
            <v>13400</v>
          </cell>
          <cell r="V417">
            <v>13</v>
          </cell>
          <cell r="W417" t="str">
            <v>13階 コスト30以下限定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 t="str">
            <v>anytime</v>
          </cell>
          <cell r="AC417">
            <v>976</v>
          </cell>
          <cell r="AD417">
            <v>6</v>
          </cell>
          <cell r="AE417" t="str">
            <v>singleonly</v>
          </cell>
        </row>
        <row r="418">
          <cell r="A418" t="str">
            <v>13400_15</v>
          </cell>
          <cell r="B418">
            <v>1</v>
          </cell>
          <cell r="C418">
            <v>13400</v>
          </cell>
          <cell r="D418" t="str">
            <v>タワーオブザクイーン -セカンド（仮）-</v>
          </cell>
          <cell r="E418" t="str">
            <v>タワーオブザクイーン2本目</v>
          </cell>
          <cell r="F418">
            <v>15</v>
          </cell>
          <cell r="G418" t="str">
            <v>ja</v>
          </cell>
          <cell r="H418" t="str">
            <v>15階 ローズ</v>
          </cell>
          <cell r="I418" t="str">
            <v>タワーオブザクイーン</v>
          </cell>
          <cell r="J418">
            <v>1269</v>
          </cell>
          <cell r="K418">
            <v>50</v>
          </cell>
          <cell r="L418">
            <v>10000</v>
          </cell>
          <cell r="M418">
            <v>1</v>
          </cell>
          <cell r="N418">
            <v>1</v>
          </cell>
          <cell r="O418">
            <v>1</v>
          </cell>
          <cell r="P418">
            <v>1</v>
          </cell>
          <cell r="Q418">
            <v>1</v>
          </cell>
          <cell r="R418">
            <v>3</v>
          </cell>
          <cell r="S418" t="str">
            <v>character</v>
          </cell>
          <cell r="T418">
            <v>1268</v>
          </cell>
          <cell r="U418">
            <v>13400</v>
          </cell>
          <cell r="V418">
            <v>14</v>
          </cell>
          <cell r="W418" t="str">
            <v>14階 コスト制限なし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 t="str">
            <v>anytime</v>
          </cell>
          <cell r="AC418">
            <v>976</v>
          </cell>
          <cell r="AD418">
            <v>6</v>
          </cell>
          <cell r="AE418" t="str">
            <v>singleonly</v>
          </cell>
        </row>
        <row r="419">
          <cell r="A419" t="str">
            <v>14001_1</v>
          </cell>
          <cell r="B419">
            <v>3</v>
          </cell>
          <cell r="C419">
            <v>14001</v>
          </cell>
          <cell r="D419" t="str">
            <v>【ロック】経験値/ソロ</v>
          </cell>
          <cell r="E419" t="str">
            <v>【ロック】経験値/ソロ</v>
          </cell>
          <cell r="F419">
            <v>1</v>
          </cell>
          <cell r="G419" t="str">
            <v>ja</v>
          </cell>
          <cell r="H419" t="str">
            <v>【超級】雷ファミリー（ハートなし）</v>
          </cell>
          <cell r="I419" t="str">
            <v>【ロッククエスト】経験値</v>
          </cell>
          <cell r="J419">
            <v>347</v>
          </cell>
          <cell r="K419">
            <v>1</v>
          </cell>
          <cell r="L419">
            <v>500</v>
          </cell>
          <cell r="M419">
            <v>1</v>
          </cell>
          <cell r="N419">
            <v>1</v>
          </cell>
          <cell r="O419">
            <v>1</v>
          </cell>
          <cell r="P419">
            <v>1</v>
          </cell>
          <cell r="Q419">
            <v>0</v>
          </cell>
          <cell r="R419">
            <v>3</v>
          </cell>
          <cell r="S419" t="str">
            <v>none</v>
          </cell>
          <cell r="T419">
            <v>0</v>
          </cell>
          <cell r="U419" t="str">
            <v>NULL</v>
          </cell>
          <cell r="V419" t="str">
            <v>NULL</v>
          </cell>
          <cell r="W419" t="str">
            <v/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 t="str">
            <v>anytime</v>
          </cell>
          <cell r="AC419">
            <v>12</v>
          </cell>
          <cell r="AD419">
            <v>6</v>
          </cell>
          <cell r="AE419" t="str">
            <v>singleonly</v>
          </cell>
        </row>
        <row r="420">
          <cell r="A420" t="str">
            <v>14001_2</v>
          </cell>
          <cell r="B420">
            <v>3</v>
          </cell>
          <cell r="C420">
            <v>14001</v>
          </cell>
          <cell r="D420" t="str">
            <v>【ロック】経験値/ソロ</v>
          </cell>
          <cell r="E420" t="str">
            <v>【ロック】経験値/ソロ</v>
          </cell>
          <cell r="F420">
            <v>2</v>
          </cell>
          <cell r="G420" t="str">
            <v>ja</v>
          </cell>
          <cell r="H420" t="str">
            <v>【超級】水ファミリー（ハートなし）</v>
          </cell>
          <cell r="I420" t="str">
            <v>【ロッククエスト】経験値</v>
          </cell>
          <cell r="J420">
            <v>343</v>
          </cell>
          <cell r="K420">
            <v>1</v>
          </cell>
          <cell r="L420">
            <v>500</v>
          </cell>
          <cell r="M420">
            <v>1</v>
          </cell>
          <cell r="N420">
            <v>1</v>
          </cell>
          <cell r="O420">
            <v>1</v>
          </cell>
          <cell r="P420">
            <v>1</v>
          </cell>
          <cell r="Q420">
            <v>0</v>
          </cell>
          <cell r="R420">
            <v>3</v>
          </cell>
          <cell r="S420" t="str">
            <v>none</v>
          </cell>
          <cell r="T420">
            <v>0</v>
          </cell>
          <cell r="U420" t="str">
            <v>NULL</v>
          </cell>
          <cell r="V420" t="str">
            <v>NULL</v>
          </cell>
          <cell r="W420" t="str">
            <v/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 t="str">
            <v>anytime</v>
          </cell>
          <cell r="AC420">
            <v>5</v>
          </cell>
          <cell r="AD420">
            <v>6</v>
          </cell>
          <cell r="AE420" t="str">
            <v>singleonly</v>
          </cell>
        </row>
        <row r="421">
          <cell r="A421" t="str">
            <v>14001_3</v>
          </cell>
          <cell r="B421">
            <v>3</v>
          </cell>
          <cell r="C421">
            <v>14001</v>
          </cell>
          <cell r="D421" t="str">
            <v>【ロック】経験値/ソロ</v>
          </cell>
          <cell r="E421" t="str">
            <v>【ロック】経験値/ソロ</v>
          </cell>
          <cell r="F421">
            <v>3</v>
          </cell>
          <cell r="G421" t="str">
            <v>ja</v>
          </cell>
          <cell r="H421" t="str">
            <v>【超級】森ファミリー（ハートなし）</v>
          </cell>
          <cell r="I421" t="str">
            <v>【ロッククエスト】経験値</v>
          </cell>
          <cell r="J421">
            <v>339</v>
          </cell>
          <cell r="K421">
            <v>1</v>
          </cell>
          <cell r="L421">
            <v>500</v>
          </cell>
          <cell r="M421">
            <v>1</v>
          </cell>
          <cell r="N421">
            <v>1</v>
          </cell>
          <cell r="O421">
            <v>1</v>
          </cell>
          <cell r="P421">
            <v>1</v>
          </cell>
          <cell r="Q421">
            <v>0</v>
          </cell>
          <cell r="R421">
            <v>3</v>
          </cell>
          <cell r="S421" t="str">
            <v>none</v>
          </cell>
          <cell r="T421">
            <v>0</v>
          </cell>
          <cell r="U421" t="str">
            <v>NULL</v>
          </cell>
          <cell r="V421" t="str">
            <v>NULL</v>
          </cell>
          <cell r="W421" t="str">
            <v/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 t="str">
            <v>anytime</v>
          </cell>
          <cell r="AC421">
            <v>7</v>
          </cell>
          <cell r="AD421">
            <v>6</v>
          </cell>
          <cell r="AE421" t="str">
            <v>singleonly</v>
          </cell>
        </row>
        <row r="422">
          <cell r="A422" t="str">
            <v>14001_4</v>
          </cell>
          <cell r="B422">
            <v>3</v>
          </cell>
          <cell r="C422">
            <v>14001</v>
          </cell>
          <cell r="D422" t="str">
            <v>【ロック】経験値/ソロ</v>
          </cell>
          <cell r="E422" t="str">
            <v>【ロック】経験値/ソロ</v>
          </cell>
          <cell r="F422">
            <v>4</v>
          </cell>
          <cell r="G422" t="str">
            <v>ja</v>
          </cell>
          <cell r="H422" t="str">
            <v>【超級】炎ファミリー（ハートなし）</v>
          </cell>
          <cell r="I422" t="str">
            <v>【ロッククエスト】経験値</v>
          </cell>
          <cell r="J422">
            <v>335</v>
          </cell>
          <cell r="K422">
            <v>1</v>
          </cell>
          <cell r="L422">
            <v>500</v>
          </cell>
          <cell r="M422">
            <v>1</v>
          </cell>
          <cell r="N422">
            <v>1</v>
          </cell>
          <cell r="O422">
            <v>1</v>
          </cell>
          <cell r="P422">
            <v>1</v>
          </cell>
          <cell r="Q422">
            <v>0</v>
          </cell>
          <cell r="R422">
            <v>3</v>
          </cell>
          <cell r="S422" t="str">
            <v>none</v>
          </cell>
          <cell r="T422">
            <v>0</v>
          </cell>
          <cell r="U422" t="str">
            <v>NULL</v>
          </cell>
          <cell r="V422" t="str">
            <v>NULL</v>
          </cell>
          <cell r="W422" t="str">
            <v/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 t="str">
            <v>anytime</v>
          </cell>
          <cell r="AC422">
            <v>10</v>
          </cell>
          <cell r="AD422">
            <v>6</v>
          </cell>
          <cell r="AE422" t="str">
            <v>singleonly</v>
          </cell>
        </row>
        <row r="423">
          <cell r="A423" t="str">
            <v>14001_5</v>
          </cell>
          <cell r="B423">
            <v>0</v>
          </cell>
          <cell r="C423">
            <v>14001</v>
          </cell>
          <cell r="D423" t="str">
            <v>【ロック】経験値/ソロ</v>
          </cell>
          <cell r="E423" t="str">
            <v>【ロック】経験値/ソロ</v>
          </cell>
          <cell r="F423">
            <v>5</v>
          </cell>
          <cell r="G423" t="str">
            <v>ja</v>
          </cell>
          <cell r="H423" t="str">
            <v>【超絶級】雷のサミット（ハートなし）</v>
          </cell>
          <cell r="I423" t="str">
            <v>【ロッククエスト】経験値</v>
          </cell>
          <cell r="J423">
            <v>334</v>
          </cell>
          <cell r="K423">
            <v>1</v>
          </cell>
          <cell r="L423">
            <v>350</v>
          </cell>
          <cell r="M423">
            <v>1</v>
          </cell>
          <cell r="N423">
            <v>1</v>
          </cell>
          <cell r="O423">
            <v>1</v>
          </cell>
          <cell r="P423">
            <v>1</v>
          </cell>
          <cell r="Q423">
            <v>0</v>
          </cell>
          <cell r="R423">
            <v>3</v>
          </cell>
          <cell r="S423" t="str">
            <v>none</v>
          </cell>
          <cell r="T423">
            <v>0</v>
          </cell>
          <cell r="U423" t="str">
            <v>NULL</v>
          </cell>
          <cell r="V423" t="str">
            <v>NULL</v>
          </cell>
          <cell r="W423" t="str">
            <v/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 t="str">
            <v>anytime</v>
          </cell>
          <cell r="AC423">
            <v>201</v>
          </cell>
          <cell r="AD423">
            <v>6</v>
          </cell>
          <cell r="AE423" t="str">
            <v>singleonly</v>
          </cell>
        </row>
        <row r="424">
          <cell r="A424" t="str">
            <v>14001_6</v>
          </cell>
          <cell r="B424">
            <v>0</v>
          </cell>
          <cell r="C424">
            <v>14001</v>
          </cell>
          <cell r="D424" t="str">
            <v>【ロック】経験値/ソロ</v>
          </cell>
          <cell r="E424" t="str">
            <v>【ロック】経験値/ソロ</v>
          </cell>
          <cell r="F424">
            <v>6</v>
          </cell>
          <cell r="G424" t="str">
            <v>ja</v>
          </cell>
          <cell r="H424" t="str">
            <v>【超絶級】水のサミット（ハートなし）</v>
          </cell>
          <cell r="I424" t="str">
            <v>【ロッククエスト】経験値</v>
          </cell>
          <cell r="J424">
            <v>334</v>
          </cell>
          <cell r="K424">
            <v>1</v>
          </cell>
          <cell r="L424">
            <v>350</v>
          </cell>
          <cell r="M424">
            <v>1</v>
          </cell>
          <cell r="N424">
            <v>1</v>
          </cell>
          <cell r="O424">
            <v>1</v>
          </cell>
          <cell r="P424">
            <v>1</v>
          </cell>
          <cell r="Q424">
            <v>0</v>
          </cell>
          <cell r="R424">
            <v>3</v>
          </cell>
          <cell r="S424" t="str">
            <v>none</v>
          </cell>
          <cell r="T424">
            <v>0</v>
          </cell>
          <cell r="U424" t="str">
            <v>NULL</v>
          </cell>
          <cell r="V424" t="str">
            <v>NULL</v>
          </cell>
          <cell r="W424" t="str">
            <v/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 t="str">
            <v>anytime</v>
          </cell>
          <cell r="AC424">
            <v>201</v>
          </cell>
          <cell r="AD424">
            <v>6</v>
          </cell>
          <cell r="AE424" t="str">
            <v>singleonly</v>
          </cell>
        </row>
        <row r="425">
          <cell r="A425" t="str">
            <v>14001_7</v>
          </cell>
          <cell r="B425">
            <v>0</v>
          </cell>
          <cell r="C425">
            <v>14001</v>
          </cell>
          <cell r="D425" t="str">
            <v>【ロック】経験値/ソロ</v>
          </cell>
          <cell r="E425" t="str">
            <v>【ロック】経験値/ソロ</v>
          </cell>
          <cell r="F425">
            <v>7</v>
          </cell>
          <cell r="G425" t="str">
            <v>ja</v>
          </cell>
          <cell r="H425" t="str">
            <v>【超絶級】森のサミット（ハートなし）</v>
          </cell>
          <cell r="I425" t="str">
            <v>【ロッククエスト】経験値</v>
          </cell>
          <cell r="J425">
            <v>334</v>
          </cell>
          <cell r="K425">
            <v>1</v>
          </cell>
          <cell r="L425">
            <v>350</v>
          </cell>
          <cell r="M425">
            <v>1</v>
          </cell>
          <cell r="N425">
            <v>1</v>
          </cell>
          <cell r="O425">
            <v>1</v>
          </cell>
          <cell r="P425">
            <v>1</v>
          </cell>
          <cell r="Q425">
            <v>0</v>
          </cell>
          <cell r="R425">
            <v>3</v>
          </cell>
          <cell r="S425" t="str">
            <v>none</v>
          </cell>
          <cell r="T425">
            <v>0</v>
          </cell>
          <cell r="U425" t="str">
            <v>NULL</v>
          </cell>
          <cell r="V425" t="str">
            <v>NULL</v>
          </cell>
          <cell r="W425" t="str">
            <v/>
          </cell>
          <cell r="X425">
            <v>0</v>
          </cell>
          <cell r="Y425">
            <v>0</v>
          </cell>
          <cell r="Z425">
            <v>0</v>
          </cell>
          <cell r="AA425">
            <v>0</v>
          </cell>
          <cell r="AB425" t="str">
            <v>anytime</v>
          </cell>
          <cell r="AC425">
            <v>201</v>
          </cell>
          <cell r="AD425">
            <v>6</v>
          </cell>
          <cell r="AE425" t="str">
            <v>singleonly</v>
          </cell>
        </row>
        <row r="426">
          <cell r="A426" t="str">
            <v>14001_8</v>
          </cell>
          <cell r="B426">
            <v>0</v>
          </cell>
          <cell r="C426">
            <v>14001</v>
          </cell>
          <cell r="D426" t="str">
            <v>【ロック】経験値/ソロ</v>
          </cell>
          <cell r="E426" t="str">
            <v>【ロック】経験値/ソロ</v>
          </cell>
          <cell r="F426">
            <v>8</v>
          </cell>
          <cell r="G426" t="str">
            <v>ja</v>
          </cell>
          <cell r="H426" t="str">
            <v>【超絶級】炎のサミット（ハートなし）</v>
          </cell>
          <cell r="I426" t="str">
            <v>【ロッククエスト】経験値</v>
          </cell>
          <cell r="J426">
            <v>334</v>
          </cell>
          <cell r="K426">
            <v>1</v>
          </cell>
          <cell r="L426">
            <v>350</v>
          </cell>
          <cell r="M426">
            <v>1</v>
          </cell>
          <cell r="N426">
            <v>1</v>
          </cell>
          <cell r="O426">
            <v>1</v>
          </cell>
          <cell r="P426">
            <v>1</v>
          </cell>
          <cell r="Q426">
            <v>0</v>
          </cell>
          <cell r="R426">
            <v>3</v>
          </cell>
          <cell r="S426" t="str">
            <v>none</v>
          </cell>
          <cell r="T426">
            <v>0</v>
          </cell>
          <cell r="U426" t="str">
            <v>NULL</v>
          </cell>
          <cell r="V426" t="str">
            <v>NULL</v>
          </cell>
          <cell r="W426" t="str">
            <v/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 t="str">
            <v>anytime</v>
          </cell>
          <cell r="AC426">
            <v>201</v>
          </cell>
          <cell r="AD426">
            <v>6</v>
          </cell>
          <cell r="AE426" t="str">
            <v>singleonly</v>
          </cell>
        </row>
        <row r="427">
          <cell r="A427" t="str">
            <v>14002_1</v>
          </cell>
          <cell r="B427">
            <v>3</v>
          </cell>
          <cell r="C427">
            <v>14002</v>
          </cell>
          <cell r="D427" t="str">
            <v>【ロック】ビット/ソロ</v>
          </cell>
          <cell r="E427" t="str">
            <v>【ロック】ビット/ソロ</v>
          </cell>
          <cell r="F427">
            <v>1</v>
          </cell>
          <cell r="G427" t="str">
            <v>ja</v>
          </cell>
          <cell r="H427" t="str">
            <v>【超級】ハイローラー（ハートなし）</v>
          </cell>
          <cell r="I427" t="str">
            <v>【ロッククエスト】ビット</v>
          </cell>
          <cell r="J427">
            <v>119</v>
          </cell>
          <cell r="K427">
            <v>1</v>
          </cell>
          <cell r="L427">
            <v>777</v>
          </cell>
          <cell r="M427">
            <v>1</v>
          </cell>
          <cell r="N427">
            <v>1</v>
          </cell>
          <cell r="O427">
            <v>1</v>
          </cell>
          <cell r="P427">
            <v>1</v>
          </cell>
          <cell r="Q427">
            <v>0</v>
          </cell>
          <cell r="R427">
            <v>3</v>
          </cell>
          <cell r="S427" t="str">
            <v>none</v>
          </cell>
          <cell r="T427">
            <v>0</v>
          </cell>
          <cell r="U427" t="str">
            <v>NULL</v>
          </cell>
          <cell r="V427" t="str">
            <v>NULL</v>
          </cell>
          <cell r="W427" t="str">
            <v/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  <cell r="AB427" t="str">
            <v>anytime</v>
          </cell>
          <cell r="AC427">
            <v>105</v>
          </cell>
          <cell r="AD427">
            <v>6</v>
          </cell>
          <cell r="AE427" t="str">
            <v>singleonly</v>
          </cell>
        </row>
        <row r="428">
          <cell r="A428" t="str">
            <v>14002_2</v>
          </cell>
          <cell r="B428">
            <v>0</v>
          </cell>
          <cell r="C428">
            <v>14002</v>
          </cell>
          <cell r="D428" t="str">
            <v>【ロック】ビット/ソロ</v>
          </cell>
          <cell r="E428" t="str">
            <v>【ロック】ビット/ソロ</v>
          </cell>
          <cell r="F428">
            <v>2</v>
          </cell>
          <cell r="G428" t="str">
            <v>ja</v>
          </cell>
          <cell r="H428" t="str">
            <v>【上級】ゴールドカジノ （ハートなし）</v>
          </cell>
          <cell r="I428" t="str">
            <v>【ロッククエスト】ビット</v>
          </cell>
          <cell r="J428">
            <v>119</v>
          </cell>
          <cell r="K428">
            <v>1</v>
          </cell>
          <cell r="L428">
            <v>350</v>
          </cell>
          <cell r="M428">
            <v>1</v>
          </cell>
          <cell r="N428">
            <v>1</v>
          </cell>
          <cell r="O428">
            <v>1</v>
          </cell>
          <cell r="P428">
            <v>1</v>
          </cell>
          <cell r="Q428">
            <v>0</v>
          </cell>
          <cell r="R428">
            <v>3</v>
          </cell>
          <cell r="S428" t="str">
            <v>none</v>
          </cell>
          <cell r="T428">
            <v>0</v>
          </cell>
          <cell r="U428" t="str">
            <v>NULL</v>
          </cell>
          <cell r="V428" t="str">
            <v>NULL</v>
          </cell>
          <cell r="W428" t="str">
            <v/>
          </cell>
          <cell r="X428">
            <v>0</v>
          </cell>
          <cell r="Y428">
            <v>0</v>
          </cell>
          <cell r="Z428">
            <v>0</v>
          </cell>
          <cell r="AA428">
            <v>0</v>
          </cell>
          <cell r="AB428" t="str">
            <v>anytime</v>
          </cell>
          <cell r="AC428">
            <v>105</v>
          </cell>
          <cell r="AD428">
            <v>6</v>
          </cell>
          <cell r="AE428" t="str">
            <v>singleonly</v>
          </cell>
        </row>
        <row r="429">
          <cell r="A429" t="str">
            <v>14003_1</v>
          </cell>
          <cell r="B429">
            <v>3</v>
          </cell>
          <cell r="C429">
            <v>14003</v>
          </cell>
          <cell r="D429" t="str">
            <v>【ロック】限界突破/ソロ</v>
          </cell>
          <cell r="E429" t="str">
            <v>【ロック】限界突破/ソロ</v>
          </cell>
          <cell r="F429">
            <v>1</v>
          </cell>
          <cell r="G429" t="str">
            <v>ja</v>
          </cell>
          <cell r="H429" t="str">
            <v>【超級】果実の楽園（ハートなし）</v>
          </cell>
          <cell r="I429" t="str">
            <v>【ロッククエスト】限界突破</v>
          </cell>
          <cell r="J429">
            <v>125</v>
          </cell>
          <cell r="K429">
            <v>1</v>
          </cell>
          <cell r="L429">
            <v>860</v>
          </cell>
          <cell r="M429">
            <v>1</v>
          </cell>
          <cell r="N429">
            <v>1</v>
          </cell>
          <cell r="O429">
            <v>1</v>
          </cell>
          <cell r="P429">
            <v>1</v>
          </cell>
          <cell r="Q429">
            <v>0</v>
          </cell>
          <cell r="R429">
            <v>3</v>
          </cell>
          <cell r="S429" t="str">
            <v>none</v>
          </cell>
          <cell r="T429">
            <v>0</v>
          </cell>
          <cell r="U429" t="str">
            <v>NULL</v>
          </cell>
          <cell r="V429" t="str">
            <v>NULL</v>
          </cell>
          <cell r="W429" t="str">
            <v/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 t="str">
            <v>anytime</v>
          </cell>
          <cell r="AC429">
            <v>7</v>
          </cell>
          <cell r="AD429">
            <v>6</v>
          </cell>
          <cell r="AE429" t="str">
            <v>singleonly</v>
          </cell>
        </row>
        <row r="430">
          <cell r="A430" t="str">
            <v>14003_2</v>
          </cell>
          <cell r="B430">
            <v>3</v>
          </cell>
          <cell r="C430">
            <v>14003</v>
          </cell>
          <cell r="D430" t="str">
            <v>【ロック】限界突破/ソロ</v>
          </cell>
          <cell r="E430" t="str">
            <v>【ロック】限界突破/ソロ</v>
          </cell>
          <cell r="F430">
            <v>2</v>
          </cell>
          <cell r="G430" t="str">
            <v>ja</v>
          </cell>
          <cell r="H430" t="str">
            <v>【超級】攻めの極意（ハートなし）</v>
          </cell>
          <cell r="I430" t="str">
            <v>【ロッククエスト】限界突破</v>
          </cell>
          <cell r="J430">
            <v>611</v>
          </cell>
          <cell r="K430">
            <v>1</v>
          </cell>
          <cell r="L430">
            <v>999</v>
          </cell>
          <cell r="M430">
            <v>1</v>
          </cell>
          <cell r="N430">
            <v>1</v>
          </cell>
          <cell r="O430">
            <v>1</v>
          </cell>
          <cell r="P430">
            <v>1</v>
          </cell>
          <cell r="Q430">
            <v>0</v>
          </cell>
          <cell r="R430">
            <v>3</v>
          </cell>
          <cell r="S430" t="str">
            <v>none</v>
          </cell>
          <cell r="T430">
            <v>0</v>
          </cell>
          <cell r="U430" t="str">
            <v>NULL</v>
          </cell>
          <cell r="V430" t="str">
            <v>NULL</v>
          </cell>
          <cell r="W430" t="str">
            <v/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 t="str">
            <v>anytime</v>
          </cell>
          <cell r="AC430">
            <v>10</v>
          </cell>
          <cell r="AD430">
            <v>6</v>
          </cell>
          <cell r="AE430" t="str">
            <v>singleonly</v>
          </cell>
        </row>
        <row r="431">
          <cell r="A431" t="str">
            <v>14003_3</v>
          </cell>
          <cell r="B431">
            <v>3</v>
          </cell>
          <cell r="C431">
            <v>14003</v>
          </cell>
          <cell r="D431" t="str">
            <v>【ロック】限界突破/ソロ</v>
          </cell>
          <cell r="E431" t="str">
            <v>【ロック】限界突破/ソロ</v>
          </cell>
          <cell r="F431">
            <v>3</v>
          </cell>
          <cell r="G431" t="str">
            <v>ja</v>
          </cell>
          <cell r="H431" t="str">
            <v>【超級】癒しの極意（ハートなし）</v>
          </cell>
          <cell r="I431" t="str">
            <v>【ロッククエスト】限界突破</v>
          </cell>
          <cell r="J431">
            <v>613</v>
          </cell>
          <cell r="K431">
            <v>1</v>
          </cell>
          <cell r="L431">
            <v>999</v>
          </cell>
          <cell r="M431">
            <v>1</v>
          </cell>
          <cell r="N431">
            <v>1</v>
          </cell>
          <cell r="O431">
            <v>1</v>
          </cell>
          <cell r="P431">
            <v>1</v>
          </cell>
          <cell r="Q431">
            <v>0</v>
          </cell>
          <cell r="R431">
            <v>3</v>
          </cell>
          <cell r="S431" t="str">
            <v>none</v>
          </cell>
          <cell r="T431">
            <v>0</v>
          </cell>
          <cell r="U431" t="str">
            <v>NULL</v>
          </cell>
          <cell r="V431" t="str">
            <v>NULL</v>
          </cell>
          <cell r="W431" t="str">
            <v/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 t="str">
            <v>anytime</v>
          </cell>
          <cell r="AC431">
            <v>5</v>
          </cell>
          <cell r="AD431">
            <v>6</v>
          </cell>
          <cell r="AE431" t="str">
            <v>singleonly</v>
          </cell>
        </row>
        <row r="432">
          <cell r="A432" t="str">
            <v>14003_4</v>
          </cell>
          <cell r="B432">
            <v>3</v>
          </cell>
          <cell r="C432">
            <v>14003</v>
          </cell>
          <cell r="D432" t="str">
            <v>【ロック】限界突破/ソロ</v>
          </cell>
          <cell r="E432" t="str">
            <v>【ロック】限界突破/ソロ</v>
          </cell>
          <cell r="F432">
            <v>4</v>
          </cell>
          <cell r="G432" t="str">
            <v>ja</v>
          </cell>
          <cell r="H432" t="str">
            <v>【超級】生命の極意（ハートなし）</v>
          </cell>
          <cell r="I432" t="str">
            <v>【ロッククエスト】限界突破</v>
          </cell>
          <cell r="J432">
            <v>612</v>
          </cell>
          <cell r="K432">
            <v>1</v>
          </cell>
          <cell r="L432">
            <v>999</v>
          </cell>
          <cell r="M432">
            <v>1</v>
          </cell>
          <cell r="N432">
            <v>1</v>
          </cell>
          <cell r="O432">
            <v>1</v>
          </cell>
          <cell r="P432">
            <v>1</v>
          </cell>
          <cell r="Q432">
            <v>0</v>
          </cell>
          <cell r="R432">
            <v>3</v>
          </cell>
          <cell r="S432" t="str">
            <v>none</v>
          </cell>
          <cell r="T432">
            <v>0</v>
          </cell>
          <cell r="U432" t="str">
            <v>NULL</v>
          </cell>
          <cell r="V432" t="str">
            <v>NULL</v>
          </cell>
          <cell r="W432" t="str">
            <v/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 t="str">
            <v>anytime</v>
          </cell>
          <cell r="AC432">
            <v>7</v>
          </cell>
          <cell r="AD432">
            <v>6</v>
          </cell>
          <cell r="AE432" t="str">
            <v>singleonly</v>
          </cell>
        </row>
        <row r="433">
          <cell r="A433" t="str">
            <v>14004_1</v>
          </cell>
          <cell r="B433">
            <v>1</v>
          </cell>
          <cell r="C433">
            <v>14004</v>
          </cell>
          <cell r="D433" t="str">
            <v>【ロック】経験値/LINEマルチ</v>
          </cell>
          <cell r="E433" t="str">
            <v>【ロック】経験値/LINEマルチ</v>
          </cell>
          <cell r="F433">
            <v>1</v>
          </cell>
          <cell r="G433" t="str">
            <v>ja</v>
          </cell>
          <cell r="H433" t="str">
            <v>【超級】雷ファミリー（ハートなし）</v>
          </cell>
          <cell r="I433" t="str">
            <v>【ロッククエスト】経験値</v>
          </cell>
          <cell r="J433">
            <v>347</v>
          </cell>
          <cell r="K433">
            <v>1</v>
          </cell>
          <cell r="L433">
            <v>500</v>
          </cell>
          <cell r="M433">
            <v>1</v>
          </cell>
          <cell r="N433">
            <v>1</v>
          </cell>
          <cell r="O433">
            <v>1</v>
          </cell>
          <cell r="P433">
            <v>1</v>
          </cell>
          <cell r="Q433">
            <v>0</v>
          </cell>
          <cell r="R433">
            <v>3</v>
          </cell>
          <cell r="S433" t="str">
            <v>none</v>
          </cell>
          <cell r="T433">
            <v>0</v>
          </cell>
          <cell r="U433" t="str">
            <v>NULL</v>
          </cell>
          <cell r="V433" t="str">
            <v>NULL</v>
          </cell>
          <cell r="W433" t="str">
            <v/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 t="str">
            <v>anytime</v>
          </cell>
          <cell r="AC433">
            <v>12</v>
          </cell>
          <cell r="AD433">
            <v>6</v>
          </cell>
          <cell r="AE433" t="str">
            <v>lineonly</v>
          </cell>
        </row>
        <row r="434">
          <cell r="A434" t="str">
            <v>14004_2</v>
          </cell>
          <cell r="B434">
            <v>1</v>
          </cell>
          <cell r="C434">
            <v>14004</v>
          </cell>
          <cell r="D434" t="str">
            <v>【ロック】経験値/LINEマルチ</v>
          </cell>
          <cell r="E434" t="str">
            <v>【ロック】経験値/LINEマルチ</v>
          </cell>
          <cell r="F434">
            <v>2</v>
          </cell>
          <cell r="G434" t="str">
            <v>ja</v>
          </cell>
          <cell r="H434" t="str">
            <v>【超級】水ファミリー（ハートなし）</v>
          </cell>
          <cell r="I434" t="str">
            <v>【ロッククエスト】経験値</v>
          </cell>
          <cell r="J434">
            <v>343</v>
          </cell>
          <cell r="K434">
            <v>1</v>
          </cell>
          <cell r="L434">
            <v>500</v>
          </cell>
          <cell r="M434">
            <v>1</v>
          </cell>
          <cell r="N434">
            <v>1</v>
          </cell>
          <cell r="O434">
            <v>1</v>
          </cell>
          <cell r="P434">
            <v>1</v>
          </cell>
          <cell r="Q434">
            <v>0</v>
          </cell>
          <cell r="R434">
            <v>3</v>
          </cell>
          <cell r="S434" t="str">
            <v>none</v>
          </cell>
          <cell r="T434">
            <v>0</v>
          </cell>
          <cell r="U434" t="str">
            <v>NULL</v>
          </cell>
          <cell r="V434" t="str">
            <v>NULL</v>
          </cell>
          <cell r="W434" t="str">
            <v/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  <cell r="AB434" t="str">
            <v>anytime</v>
          </cell>
          <cell r="AC434">
            <v>5</v>
          </cell>
          <cell r="AD434">
            <v>6</v>
          </cell>
          <cell r="AE434" t="str">
            <v>lineonly</v>
          </cell>
        </row>
        <row r="435">
          <cell r="A435" t="str">
            <v>14004_3</v>
          </cell>
          <cell r="B435">
            <v>1</v>
          </cell>
          <cell r="C435">
            <v>14004</v>
          </cell>
          <cell r="D435" t="str">
            <v>【ロック】経験値/LINEマルチ</v>
          </cell>
          <cell r="E435" t="str">
            <v>【ロック】経験値/LINEマルチ</v>
          </cell>
          <cell r="F435">
            <v>3</v>
          </cell>
          <cell r="G435" t="str">
            <v>ja</v>
          </cell>
          <cell r="H435" t="str">
            <v>【超級】森ファミリー（ハートなし）</v>
          </cell>
          <cell r="I435" t="str">
            <v>【ロッククエスト】経験値</v>
          </cell>
          <cell r="J435">
            <v>339</v>
          </cell>
          <cell r="K435">
            <v>1</v>
          </cell>
          <cell r="L435">
            <v>500</v>
          </cell>
          <cell r="M435">
            <v>1</v>
          </cell>
          <cell r="N435">
            <v>1</v>
          </cell>
          <cell r="O435">
            <v>1</v>
          </cell>
          <cell r="P435">
            <v>1</v>
          </cell>
          <cell r="Q435">
            <v>0</v>
          </cell>
          <cell r="R435">
            <v>3</v>
          </cell>
          <cell r="S435" t="str">
            <v>none</v>
          </cell>
          <cell r="T435">
            <v>0</v>
          </cell>
          <cell r="U435" t="str">
            <v>NULL</v>
          </cell>
          <cell r="V435" t="str">
            <v>NULL</v>
          </cell>
          <cell r="W435" t="str">
            <v/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 t="str">
            <v>anytime</v>
          </cell>
          <cell r="AC435">
            <v>7</v>
          </cell>
          <cell r="AD435">
            <v>6</v>
          </cell>
          <cell r="AE435" t="str">
            <v>lineonly</v>
          </cell>
        </row>
        <row r="436">
          <cell r="A436" t="str">
            <v>14004_4</v>
          </cell>
          <cell r="B436">
            <v>1</v>
          </cell>
          <cell r="C436">
            <v>14004</v>
          </cell>
          <cell r="D436" t="str">
            <v>【ロック】経験値/LINEマルチ</v>
          </cell>
          <cell r="E436" t="str">
            <v>【ロック】経験値/LINEマルチ</v>
          </cell>
          <cell r="F436">
            <v>4</v>
          </cell>
          <cell r="G436" t="str">
            <v>ja</v>
          </cell>
          <cell r="H436" t="str">
            <v>【超級】炎ファミリー（ハートなし）</v>
          </cell>
          <cell r="I436" t="str">
            <v>【ロッククエスト】経験値</v>
          </cell>
          <cell r="J436">
            <v>335</v>
          </cell>
          <cell r="K436">
            <v>1</v>
          </cell>
          <cell r="L436">
            <v>500</v>
          </cell>
          <cell r="M436">
            <v>1</v>
          </cell>
          <cell r="N436">
            <v>1</v>
          </cell>
          <cell r="O436">
            <v>1</v>
          </cell>
          <cell r="P436">
            <v>1</v>
          </cell>
          <cell r="Q436">
            <v>0</v>
          </cell>
          <cell r="R436">
            <v>3</v>
          </cell>
          <cell r="S436" t="str">
            <v>none</v>
          </cell>
          <cell r="T436">
            <v>0</v>
          </cell>
          <cell r="U436" t="str">
            <v>NULL</v>
          </cell>
          <cell r="V436" t="str">
            <v>NULL</v>
          </cell>
          <cell r="W436" t="str">
            <v/>
          </cell>
          <cell r="X436">
            <v>0</v>
          </cell>
          <cell r="Y436">
            <v>0</v>
          </cell>
          <cell r="Z436">
            <v>0</v>
          </cell>
          <cell r="AA436">
            <v>0</v>
          </cell>
          <cell r="AB436" t="str">
            <v>anytime</v>
          </cell>
          <cell r="AC436">
            <v>10</v>
          </cell>
          <cell r="AD436">
            <v>6</v>
          </cell>
          <cell r="AE436" t="str">
            <v>lineonly</v>
          </cell>
        </row>
        <row r="437">
          <cell r="A437" t="str">
            <v>14005_1</v>
          </cell>
          <cell r="B437">
            <v>1</v>
          </cell>
          <cell r="C437">
            <v>14005</v>
          </cell>
          <cell r="D437" t="str">
            <v>【ロック】ビット/LINEマルチ</v>
          </cell>
          <cell r="E437" t="str">
            <v>【ロック】ビット/LINEマルチ</v>
          </cell>
          <cell r="F437">
            <v>1</v>
          </cell>
          <cell r="G437" t="str">
            <v>ja</v>
          </cell>
          <cell r="H437" t="str">
            <v>【超級】ハイローラー（ハートなし）</v>
          </cell>
          <cell r="I437" t="str">
            <v>【ロッククエスト】ビット</v>
          </cell>
          <cell r="J437">
            <v>119</v>
          </cell>
          <cell r="K437">
            <v>1</v>
          </cell>
          <cell r="L437">
            <v>777</v>
          </cell>
          <cell r="M437">
            <v>1</v>
          </cell>
          <cell r="N437">
            <v>1</v>
          </cell>
          <cell r="O437">
            <v>1</v>
          </cell>
          <cell r="P437">
            <v>1</v>
          </cell>
          <cell r="Q437">
            <v>0</v>
          </cell>
          <cell r="R437">
            <v>3</v>
          </cell>
          <cell r="S437" t="str">
            <v>none</v>
          </cell>
          <cell r="T437">
            <v>0</v>
          </cell>
          <cell r="U437" t="str">
            <v>NULL</v>
          </cell>
          <cell r="V437" t="str">
            <v>NULL</v>
          </cell>
          <cell r="W437" t="str">
            <v/>
          </cell>
          <cell r="X437">
            <v>0</v>
          </cell>
          <cell r="Y437">
            <v>0</v>
          </cell>
          <cell r="Z437">
            <v>0</v>
          </cell>
          <cell r="AA437">
            <v>0</v>
          </cell>
          <cell r="AB437" t="str">
            <v>anytime</v>
          </cell>
          <cell r="AC437">
            <v>105</v>
          </cell>
          <cell r="AD437">
            <v>6</v>
          </cell>
          <cell r="AE437" t="str">
            <v>lineonly</v>
          </cell>
        </row>
        <row r="438">
          <cell r="A438" t="str">
            <v>14006_1</v>
          </cell>
          <cell r="B438">
            <v>1</v>
          </cell>
          <cell r="C438">
            <v>14006</v>
          </cell>
          <cell r="D438" t="str">
            <v>【ロック】限界突破/LINEマルチ</v>
          </cell>
          <cell r="E438" t="str">
            <v>【ロック】限界突破/LINEマルチ</v>
          </cell>
          <cell r="F438">
            <v>1</v>
          </cell>
          <cell r="G438" t="str">
            <v>ja</v>
          </cell>
          <cell r="H438" t="str">
            <v>【超級】果実の楽園（ハートなし）</v>
          </cell>
          <cell r="I438" t="str">
            <v>【ロッククエスト】限界突破</v>
          </cell>
          <cell r="J438">
            <v>125</v>
          </cell>
          <cell r="K438">
            <v>1</v>
          </cell>
          <cell r="L438">
            <v>860</v>
          </cell>
          <cell r="M438">
            <v>1</v>
          </cell>
          <cell r="N438">
            <v>1</v>
          </cell>
          <cell r="O438">
            <v>1</v>
          </cell>
          <cell r="P438">
            <v>1</v>
          </cell>
          <cell r="Q438">
            <v>0</v>
          </cell>
          <cell r="R438">
            <v>3</v>
          </cell>
          <cell r="S438" t="str">
            <v>none</v>
          </cell>
          <cell r="T438">
            <v>0</v>
          </cell>
          <cell r="U438" t="str">
            <v>NULL</v>
          </cell>
          <cell r="V438" t="str">
            <v>NULL</v>
          </cell>
          <cell r="W438" t="str">
            <v/>
          </cell>
          <cell r="X438">
            <v>0</v>
          </cell>
          <cell r="Y438">
            <v>0</v>
          </cell>
          <cell r="Z438">
            <v>0</v>
          </cell>
          <cell r="AA438">
            <v>0</v>
          </cell>
          <cell r="AB438" t="str">
            <v>anytime</v>
          </cell>
          <cell r="AC438">
            <v>7</v>
          </cell>
          <cell r="AD438">
            <v>6</v>
          </cell>
          <cell r="AE438" t="str">
            <v>lineonly</v>
          </cell>
        </row>
        <row r="439">
          <cell r="A439" t="str">
            <v>15027_1</v>
          </cell>
          <cell r="B439">
            <v>3</v>
          </cell>
          <cell r="C439">
            <v>15027</v>
          </cell>
          <cell r="D439" t="str">
            <v>27. 雷雨の登山道</v>
          </cell>
          <cell r="E439" t="str">
            <v>黄青DL6</v>
          </cell>
          <cell r="F439">
            <v>1</v>
          </cell>
          <cell r="G439" t="str">
            <v>ja</v>
          </cell>
          <cell r="H439" t="str">
            <v>27-1. 登山道入口</v>
          </cell>
          <cell r="J439" t="str">
            <v>NULL</v>
          </cell>
          <cell r="K439">
            <v>18</v>
          </cell>
          <cell r="L439">
            <v>3740</v>
          </cell>
          <cell r="M439">
            <v>1</v>
          </cell>
          <cell r="N439">
            <v>1</v>
          </cell>
          <cell r="O439">
            <v>1</v>
          </cell>
          <cell r="P439">
            <v>1</v>
          </cell>
          <cell r="Q439">
            <v>1</v>
          </cell>
          <cell r="R439">
            <v>3</v>
          </cell>
          <cell r="S439" t="str">
            <v>none</v>
          </cell>
          <cell r="T439">
            <v>0</v>
          </cell>
          <cell r="U439">
            <v>26</v>
          </cell>
          <cell r="V439">
            <v>6</v>
          </cell>
          <cell r="W439" t="str">
            <v>26-6．【1回のみ】ボーナスステージ</v>
          </cell>
          <cell r="X439">
            <v>0</v>
          </cell>
          <cell r="Y439">
            <v>1</v>
          </cell>
          <cell r="Z439">
            <v>0</v>
          </cell>
          <cell r="AA439">
            <v>1</v>
          </cell>
          <cell r="AB439" t="str">
            <v>anytime</v>
          </cell>
          <cell r="AC439">
            <v>27</v>
          </cell>
          <cell r="AD439">
            <v>6</v>
          </cell>
          <cell r="AE439" t="str">
            <v>everyone</v>
          </cell>
        </row>
        <row r="440">
          <cell r="A440" t="str">
            <v>15027_2</v>
          </cell>
          <cell r="B440">
            <v>3</v>
          </cell>
          <cell r="C440">
            <v>15027</v>
          </cell>
          <cell r="D440" t="str">
            <v>27. 雷雨の登山道</v>
          </cell>
          <cell r="E440" t="str">
            <v>黄青DL6</v>
          </cell>
          <cell r="F440">
            <v>2</v>
          </cell>
          <cell r="G440" t="str">
            <v>ja</v>
          </cell>
          <cell r="H440" t="str">
            <v>27-2. 霊峰の守護者</v>
          </cell>
          <cell r="J440" t="str">
            <v>NULL</v>
          </cell>
          <cell r="K440">
            <v>19</v>
          </cell>
          <cell r="L440">
            <v>4140</v>
          </cell>
          <cell r="M440">
            <v>1</v>
          </cell>
          <cell r="N440">
            <v>1</v>
          </cell>
          <cell r="O440">
            <v>1</v>
          </cell>
          <cell r="P440">
            <v>1</v>
          </cell>
          <cell r="Q440">
            <v>1</v>
          </cell>
          <cell r="R440">
            <v>3</v>
          </cell>
          <cell r="S440" t="str">
            <v>none</v>
          </cell>
          <cell r="T440">
            <v>0</v>
          </cell>
          <cell r="U440">
            <v>15027</v>
          </cell>
          <cell r="V440">
            <v>1</v>
          </cell>
          <cell r="W440" t="str">
            <v>27-1. 登山道入口</v>
          </cell>
          <cell r="X440">
            <v>0</v>
          </cell>
          <cell r="Y440">
            <v>1</v>
          </cell>
          <cell r="Z440">
            <v>0</v>
          </cell>
          <cell r="AA440">
            <v>1</v>
          </cell>
          <cell r="AB440" t="str">
            <v>anytime</v>
          </cell>
          <cell r="AC440">
            <v>27</v>
          </cell>
          <cell r="AD440">
            <v>6</v>
          </cell>
          <cell r="AE440" t="str">
            <v>everyone</v>
          </cell>
        </row>
        <row r="441">
          <cell r="A441" t="str">
            <v>15027_3</v>
          </cell>
          <cell r="B441">
            <v>3</v>
          </cell>
          <cell r="C441">
            <v>15027</v>
          </cell>
          <cell r="D441" t="str">
            <v>27. 雷雨の登山道</v>
          </cell>
          <cell r="E441" t="str">
            <v>黄青DL6</v>
          </cell>
          <cell r="F441">
            <v>3</v>
          </cell>
          <cell r="G441" t="str">
            <v>ja</v>
          </cell>
          <cell r="H441" t="str">
            <v>27-3. 山岳の王者</v>
          </cell>
          <cell r="J441" t="str">
            <v>NULL</v>
          </cell>
          <cell r="K441">
            <v>22</v>
          </cell>
          <cell r="L441">
            <v>5250</v>
          </cell>
          <cell r="M441">
            <v>1</v>
          </cell>
          <cell r="N441">
            <v>1</v>
          </cell>
          <cell r="O441">
            <v>1</v>
          </cell>
          <cell r="P441">
            <v>1</v>
          </cell>
          <cell r="Q441">
            <v>1</v>
          </cell>
          <cell r="R441">
            <v>3</v>
          </cell>
          <cell r="S441" t="str">
            <v>none</v>
          </cell>
          <cell r="T441">
            <v>0</v>
          </cell>
          <cell r="U441">
            <v>15027</v>
          </cell>
          <cell r="V441">
            <v>2</v>
          </cell>
          <cell r="W441" t="str">
            <v>27-2. 霊峰の守護者</v>
          </cell>
          <cell r="X441">
            <v>0</v>
          </cell>
          <cell r="Y441">
            <v>1</v>
          </cell>
          <cell r="Z441">
            <v>0</v>
          </cell>
          <cell r="AA441">
            <v>1</v>
          </cell>
          <cell r="AB441" t="str">
            <v>anytime</v>
          </cell>
          <cell r="AC441">
            <v>27</v>
          </cell>
          <cell r="AD441">
            <v>6</v>
          </cell>
          <cell r="AE441" t="str">
            <v>everyone</v>
          </cell>
        </row>
        <row r="442">
          <cell r="A442" t="str">
            <v>15027_4</v>
          </cell>
          <cell r="B442">
            <v>3</v>
          </cell>
          <cell r="C442">
            <v>15027</v>
          </cell>
          <cell r="D442" t="str">
            <v>27. 雷雨の登山道</v>
          </cell>
          <cell r="E442" t="str">
            <v>黄青DL6</v>
          </cell>
          <cell r="F442">
            <v>4</v>
          </cell>
          <cell r="G442" t="str">
            <v>ja</v>
          </cell>
          <cell r="H442" t="str">
            <v>27-4. 【1回のみ】ボーナスステージ</v>
          </cell>
          <cell r="I442" t="str">
            <v>ボーナス</v>
          </cell>
          <cell r="J442">
            <v>343</v>
          </cell>
          <cell r="K442">
            <v>1</v>
          </cell>
          <cell r="L442">
            <v>1</v>
          </cell>
          <cell r="M442">
            <v>1</v>
          </cell>
          <cell r="N442">
            <v>1</v>
          </cell>
          <cell r="O442">
            <v>1</v>
          </cell>
          <cell r="P442">
            <v>1</v>
          </cell>
          <cell r="Q442">
            <v>1</v>
          </cell>
          <cell r="R442">
            <v>3</v>
          </cell>
          <cell r="S442" t="str">
            <v>none</v>
          </cell>
          <cell r="T442">
            <v>0</v>
          </cell>
          <cell r="U442">
            <v>15027</v>
          </cell>
          <cell r="V442">
            <v>3</v>
          </cell>
          <cell r="W442" t="str">
            <v>27-3. 山岳の王者</v>
          </cell>
          <cell r="X442">
            <v>0</v>
          </cell>
          <cell r="Y442">
            <v>1</v>
          </cell>
          <cell r="Z442">
            <v>0</v>
          </cell>
          <cell r="AA442">
            <v>1</v>
          </cell>
          <cell r="AB442" t="str">
            <v>once</v>
          </cell>
          <cell r="AC442">
            <v>27</v>
          </cell>
          <cell r="AD442">
            <v>6</v>
          </cell>
          <cell r="AE442" t="str">
            <v>singleonly</v>
          </cell>
        </row>
        <row r="443">
          <cell r="A443" t="str">
            <v>15028_1</v>
          </cell>
          <cell r="B443">
            <v>3</v>
          </cell>
          <cell r="C443">
            <v>15028</v>
          </cell>
          <cell r="D443" t="str">
            <v>28. 暴風と灼熱の罪浄</v>
          </cell>
          <cell r="E443" t="str">
            <v>赤緑DL6</v>
          </cell>
          <cell r="F443">
            <v>1</v>
          </cell>
          <cell r="G443" t="str">
            <v>ja</v>
          </cell>
          <cell r="H443" t="str">
            <v>28-1. 轟翼のかまど</v>
          </cell>
          <cell r="J443" t="str">
            <v>NULL</v>
          </cell>
          <cell r="K443">
            <v>18</v>
          </cell>
          <cell r="L443">
            <v>3870</v>
          </cell>
          <cell r="M443">
            <v>1</v>
          </cell>
          <cell r="N443">
            <v>1</v>
          </cell>
          <cell r="O443">
            <v>1</v>
          </cell>
          <cell r="P443">
            <v>1</v>
          </cell>
          <cell r="Q443">
            <v>1</v>
          </cell>
          <cell r="R443">
            <v>3</v>
          </cell>
          <cell r="S443" t="str">
            <v>none</v>
          </cell>
          <cell r="T443">
            <v>0</v>
          </cell>
          <cell r="U443">
            <v>15027</v>
          </cell>
          <cell r="V443">
            <v>4</v>
          </cell>
          <cell r="W443" t="str">
            <v>27-4. 【1回のみ】ボーナスステージ</v>
          </cell>
          <cell r="X443">
            <v>1</v>
          </cell>
          <cell r="Y443">
            <v>0</v>
          </cell>
          <cell r="Z443">
            <v>1</v>
          </cell>
          <cell r="AA443">
            <v>0</v>
          </cell>
          <cell r="AB443" t="str">
            <v>anytime</v>
          </cell>
          <cell r="AC443">
            <v>28</v>
          </cell>
          <cell r="AD443">
            <v>6</v>
          </cell>
          <cell r="AE443" t="str">
            <v>everyone</v>
          </cell>
        </row>
        <row r="444">
          <cell r="A444" t="str">
            <v>15028_2</v>
          </cell>
          <cell r="B444">
            <v>3</v>
          </cell>
          <cell r="C444">
            <v>15028</v>
          </cell>
          <cell r="D444" t="str">
            <v>28. 暴風と灼熱の罪浄</v>
          </cell>
          <cell r="E444" t="str">
            <v>赤緑DL6</v>
          </cell>
          <cell r="F444">
            <v>2</v>
          </cell>
          <cell r="G444" t="str">
            <v>ja</v>
          </cell>
          <cell r="H444" t="str">
            <v>28-2. 空の寝殿</v>
          </cell>
          <cell r="J444" t="str">
            <v>NULL</v>
          </cell>
          <cell r="K444">
            <v>19</v>
          </cell>
          <cell r="L444">
            <v>4500</v>
          </cell>
          <cell r="M444">
            <v>1</v>
          </cell>
          <cell r="N444">
            <v>1</v>
          </cell>
          <cell r="O444">
            <v>1</v>
          </cell>
          <cell r="P444">
            <v>1</v>
          </cell>
          <cell r="Q444">
            <v>1</v>
          </cell>
          <cell r="R444">
            <v>3</v>
          </cell>
          <cell r="S444" t="str">
            <v>none</v>
          </cell>
          <cell r="T444">
            <v>0</v>
          </cell>
          <cell r="U444">
            <v>15028</v>
          </cell>
          <cell r="V444">
            <v>1</v>
          </cell>
          <cell r="W444" t="str">
            <v>28-1. 轟翼のかまど</v>
          </cell>
          <cell r="X444">
            <v>1</v>
          </cell>
          <cell r="Y444">
            <v>0</v>
          </cell>
          <cell r="Z444">
            <v>1</v>
          </cell>
          <cell r="AA444">
            <v>0</v>
          </cell>
          <cell r="AB444" t="str">
            <v>anytime</v>
          </cell>
          <cell r="AC444">
            <v>28</v>
          </cell>
          <cell r="AD444">
            <v>6</v>
          </cell>
          <cell r="AE444" t="str">
            <v>everyone</v>
          </cell>
        </row>
        <row r="445">
          <cell r="A445" t="str">
            <v>15028_3</v>
          </cell>
          <cell r="B445">
            <v>3</v>
          </cell>
          <cell r="C445">
            <v>15028</v>
          </cell>
          <cell r="D445" t="str">
            <v>28. 暴風と灼熱の罪浄</v>
          </cell>
          <cell r="E445" t="str">
            <v>赤緑DL6</v>
          </cell>
          <cell r="F445">
            <v>3</v>
          </cell>
          <cell r="G445" t="str">
            <v>ja</v>
          </cell>
          <cell r="H445" t="str">
            <v>28-3. 縛風の洞窟</v>
          </cell>
          <cell r="J445" t="str">
            <v>NULL</v>
          </cell>
          <cell r="K445">
            <v>22</v>
          </cell>
          <cell r="L445">
            <v>5580</v>
          </cell>
          <cell r="M445">
            <v>1</v>
          </cell>
          <cell r="N445">
            <v>1</v>
          </cell>
          <cell r="O445">
            <v>1</v>
          </cell>
          <cell r="P445">
            <v>1</v>
          </cell>
          <cell r="Q445">
            <v>1</v>
          </cell>
          <cell r="R445">
            <v>3</v>
          </cell>
          <cell r="S445" t="str">
            <v>none</v>
          </cell>
          <cell r="T445">
            <v>0</v>
          </cell>
          <cell r="U445">
            <v>15028</v>
          </cell>
          <cell r="V445">
            <v>2</v>
          </cell>
          <cell r="W445" t="str">
            <v>28-2. 空の寝殿</v>
          </cell>
          <cell r="X445">
            <v>1</v>
          </cell>
          <cell r="Y445">
            <v>0</v>
          </cell>
          <cell r="Z445">
            <v>1</v>
          </cell>
          <cell r="AA445">
            <v>0</v>
          </cell>
          <cell r="AB445" t="str">
            <v>anytime</v>
          </cell>
          <cell r="AC445">
            <v>28</v>
          </cell>
          <cell r="AD445">
            <v>6</v>
          </cell>
          <cell r="AE445" t="str">
            <v>everyone</v>
          </cell>
        </row>
        <row r="446">
          <cell r="A446" t="str">
            <v>15028_4</v>
          </cell>
          <cell r="B446">
            <v>3</v>
          </cell>
          <cell r="C446">
            <v>15028</v>
          </cell>
          <cell r="D446" t="str">
            <v>28. 暴風と灼熱の罪浄</v>
          </cell>
          <cell r="E446" t="str">
            <v>赤緑DL6</v>
          </cell>
          <cell r="F446">
            <v>4</v>
          </cell>
          <cell r="G446" t="str">
            <v>ja</v>
          </cell>
          <cell r="H446" t="str">
            <v>28-4. 【1回のみ】ボーナスステージ</v>
          </cell>
          <cell r="I446" t="str">
            <v>ボーナス</v>
          </cell>
          <cell r="J446">
            <v>339</v>
          </cell>
          <cell r="K446">
            <v>1</v>
          </cell>
          <cell r="L446">
            <v>1</v>
          </cell>
          <cell r="M446">
            <v>1</v>
          </cell>
          <cell r="N446">
            <v>1</v>
          </cell>
          <cell r="O446">
            <v>1</v>
          </cell>
          <cell r="P446">
            <v>1</v>
          </cell>
          <cell r="Q446">
            <v>1</v>
          </cell>
          <cell r="R446">
            <v>3</v>
          </cell>
          <cell r="S446" t="str">
            <v>none</v>
          </cell>
          <cell r="T446">
            <v>0</v>
          </cell>
          <cell r="U446">
            <v>15028</v>
          </cell>
          <cell r="V446">
            <v>3</v>
          </cell>
          <cell r="W446" t="str">
            <v>28-3. 縛風の洞窟</v>
          </cell>
          <cell r="X446">
            <v>1</v>
          </cell>
          <cell r="Y446">
            <v>0</v>
          </cell>
          <cell r="Z446">
            <v>1</v>
          </cell>
          <cell r="AA446">
            <v>0</v>
          </cell>
          <cell r="AB446" t="str">
            <v>once</v>
          </cell>
          <cell r="AC446">
            <v>28</v>
          </cell>
          <cell r="AD446">
            <v>6</v>
          </cell>
          <cell r="AE446" t="str">
            <v>singleonly</v>
          </cell>
        </row>
        <row r="447">
          <cell r="A447" t="str">
            <v>15029_1</v>
          </cell>
          <cell r="B447">
            <v>3</v>
          </cell>
          <cell r="C447">
            <v>15029</v>
          </cell>
          <cell r="D447" t="str">
            <v>29. 雪の望郷</v>
          </cell>
          <cell r="E447" t="str">
            <v>緑黄DL6</v>
          </cell>
          <cell r="F447">
            <v>1</v>
          </cell>
          <cell r="G447" t="str">
            <v>ja</v>
          </cell>
          <cell r="H447" t="str">
            <v>29-1. 雪の中のケモノたち</v>
          </cell>
          <cell r="J447" t="str">
            <v>NULL</v>
          </cell>
          <cell r="K447">
            <v>18</v>
          </cell>
          <cell r="L447">
            <v>4210</v>
          </cell>
          <cell r="M447">
            <v>1</v>
          </cell>
          <cell r="N447">
            <v>1</v>
          </cell>
          <cell r="O447">
            <v>1</v>
          </cell>
          <cell r="P447">
            <v>1</v>
          </cell>
          <cell r="Q447">
            <v>1</v>
          </cell>
          <cell r="R447">
            <v>3</v>
          </cell>
          <cell r="S447" t="str">
            <v>none</v>
          </cell>
          <cell r="T447">
            <v>0</v>
          </cell>
          <cell r="U447">
            <v>15028</v>
          </cell>
          <cell r="V447">
            <v>4</v>
          </cell>
          <cell r="W447" t="str">
            <v>28-4. 【1回のみ】ボーナスステージ</v>
          </cell>
          <cell r="X447">
            <v>0</v>
          </cell>
          <cell r="Y447">
            <v>0</v>
          </cell>
          <cell r="Z447">
            <v>1</v>
          </cell>
          <cell r="AA447">
            <v>1</v>
          </cell>
          <cell r="AB447" t="str">
            <v>anytime</v>
          </cell>
          <cell r="AC447">
            <v>29</v>
          </cell>
          <cell r="AD447">
            <v>6</v>
          </cell>
          <cell r="AE447" t="str">
            <v>everyone</v>
          </cell>
        </row>
        <row r="448">
          <cell r="A448" t="str">
            <v>15029_2</v>
          </cell>
          <cell r="B448">
            <v>3</v>
          </cell>
          <cell r="C448">
            <v>15029</v>
          </cell>
          <cell r="D448" t="str">
            <v>29. 雪の望郷</v>
          </cell>
          <cell r="E448" t="str">
            <v>緑黄DL6</v>
          </cell>
          <cell r="F448">
            <v>2</v>
          </cell>
          <cell r="G448" t="str">
            <v>ja</v>
          </cell>
          <cell r="H448" t="str">
            <v>29-2. ねこみみマフラー</v>
          </cell>
          <cell r="J448" t="str">
            <v>NULL</v>
          </cell>
          <cell r="K448">
            <v>19</v>
          </cell>
          <cell r="L448">
            <v>4800</v>
          </cell>
          <cell r="M448">
            <v>1</v>
          </cell>
          <cell r="N448">
            <v>1</v>
          </cell>
          <cell r="O448">
            <v>1</v>
          </cell>
          <cell r="P448">
            <v>1</v>
          </cell>
          <cell r="Q448">
            <v>1</v>
          </cell>
          <cell r="R448">
            <v>3</v>
          </cell>
          <cell r="S448" t="str">
            <v>none</v>
          </cell>
          <cell r="T448">
            <v>0</v>
          </cell>
          <cell r="U448">
            <v>15029</v>
          </cell>
          <cell r="V448">
            <v>1</v>
          </cell>
          <cell r="W448" t="str">
            <v>29-1. 雪の中のケモノたち</v>
          </cell>
          <cell r="X448">
            <v>0</v>
          </cell>
          <cell r="Y448">
            <v>0</v>
          </cell>
          <cell r="Z448">
            <v>1</v>
          </cell>
          <cell r="AA448">
            <v>1</v>
          </cell>
          <cell r="AB448" t="str">
            <v>anytime</v>
          </cell>
          <cell r="AC448">
            <v>29</v>
          </cell>
          <cell r="AD448">
            <v>6</v>
          </cell>
          <cell r="AE448" t="str">
            <v>everyone</v>
          </cell>
        </row>
        <row r="449">
          <cell r="A449" t="str">
            <v>15029_3</v>
          </cell>
          <cell r="B449">
            <v>3</v>
          </cell>
          <cell r="C449">
            <v>15029</v>
          </cell>
          <cell r="D449" t="str">
            <v>29. 雪の望郷</v>
          </cell>
          <cell r="E449" t="str">
            <v>緑黄DL6</v>
          </cell>
          <cell r="F449">
            <v>3</v>
          </cell>
          <cell r="G449" t="str">
            <v>ja</v>
          </cell>
          <cell r="H449" t="str">
            <v>29-3. 仕立屋と兄妹</v>
          </cell>
          <cell r="J449" t="str">
            <v>NULL</v>
          </cell>
          <cell r="K449">
            <v>22</v>
          </cell>
          <cell r="L449">
            <v>5970</v>
          </cell>
          <cell r="M449">
            <v>1</v>
          </cell>
          <cell r="N449">
            <v>1</v>
          </cell>
          <cell r="O449">
            <v>1</v>
          </cell>
          <cell r="P449">
            <v>1</v>
          </cell>
          <cell r="Q449">
            <v>1</v>
          </cell>
          <cell r="R449">
            <v>3</v>
          </cell>
          <cell r="S449" t="str">
            <v>none</v>
          </cell>
          <cell r="T449">
            <v>0</v>
          </cell>
          <cell r="U449">
            <v>15029</v>
          </cell>
          <cell r="V449">
            <v>2</v>
          </cell>
          <cell r="W449" t="str">
            <v>29-2. ねこみみマフラー</v>
          </cell>
          <cell r="X449">
            <v>0</v>
          </cell>
          <cell r="Y449">
            <v>0</v>
          </cell>
          <cell r="Z449">
            <v>1</v>
          </cell>
          <cell r="AA449">
            <v>1</v>
          </cell>
          <cell r="AB449" t="str">
            <v>anytime</v>
          </cell>
          <cell r="AC449">
            <v>29</v>
          </cell>
          <cell r="AD449">
            <v>6</v>
          </cell>
          <cell r="AE449" t="str">
            <v>everyone</v>
          </cell>
        </row>
        <row r="450">
          <cell r="A450" t="str">
            <v>15029_4</v>
          </cell>
          <cell r="B450">
            <v>3</v>
          </cell>
          <cell r="C450">
            <v>15029</v>
          </cell>
          <cell r="D450" t="str">
            <v>29. 雪の望郷</v>
          </cell>
          <cell r="E450" t="str">
            <v>緑黄DL6</v>
          </cell>
          <cell r="F450">
            <v>4</v>
          </cell>
          <cell r="G450" t="str">
            <v>ja</v>
          </cell>
          <cell r="H450" t="str">
            <v>29-4. 【1回のみ】ボーナスステージ</v>
          </cell>
          <cell r="I450" t="str">
            <v>ボーナス</v>
          </cell>
          <cell r="J450">
            <v>347</v>
          </cell>
          <cell r="K450">
            <v>1</v>
          </cell>
          <cell r="L450">
            <v>1</v>
          </cell>
          <cell r="M450">
            <v>1</v>
          </cell>
          <cell r="N450">
            <v>1</v>
          </cell>
          <cell r="O450">
            <v>1</v>
          </cell>
          <cell r="P450">
            <v>1</v>
          </cell>
          <cell r="Q450">
            <v>1</v>
          </cell>
          <cell r="R450">
            <v>3</v>
          </cell>
          <cell r="S450" t="str">
            <v>none</v>
          </cell>
          <cell r="T450">
            <v>0</v>
          </cell>
          <cell r="U450">
            <v>15029</v>
          </cell>
          <cell r="V450">
            <v>3</v>
          </cell>
          <cell r="W450" t="str">
            <v>29-3. 仕立屋と兄妹</v>
          </cell>
          <cell r="X450">
            <v>0</v>
          </cell>
          <cell r="Y450">
            <v>0</v>
          </cell>
          <cell r="Z450">
            <v>1</v>
          </cell>
          <cell r="AA450">
            <v>1</v>
          </cell>
          <cell r="AB450" t="str">
            <v>once</v>
          </cell>
          <cell r="AC450">
            <v>29</v>
          </cell>
          <cell r="AD450">
            <v>6</v>
          </cell>
          <cell r="AE450" t="str">
            <v>singleonly</v>
          </cell>
        </row>
        <row r="451">
          <cell r="A451" t="str">
            <v>15030_1</v>
          </cell>
          <cell r="B451">
            <v>3</v>
          </cell>
          <cell r="C451">
            <v>15030</v>
          </cell>
          <cell r="D451" t="str">
            <v>30. 月夜のオールドシティ</v>
          </cell>
          <cell r="E451" t="str">
            <v>赤青DL6</v>
          </cell>
          <cell r="F451">
            <v>1</v>
          </cell>
          <cell r="G451" t="str">
            <v>ja</v>
          </cell>
          <cell r="H451" t="str">
            <v>30-1. 月夜に煌めく刃</v>
          </cell>
          <cell r="J451" t="str">
            <v>NULL</v>
          </cell>
          <cell r="K451">
            <v>18</v>
          </cell>
          <cell r="L451">
            <v>4460</v>
          </cell>
          <cell r="M451">
            <v>1</v>
          </cell>
          <cell r="N451">
            <v>1</v>
          </cell>
          <cell r="O451">
            <v>1</v>
          </cell>
          <cell r="P451">
            <v>1</v>
          </cell>
          <cell r="Q451">
            <v>1</v>
          </cell>
          <cell r="R451">
            <v>3</v>
          </cell>
          <cell r="S451" t="str">
            <v>none</v>
          </cell>
          <cell r="T451">
            <v>0</v>
          </cell>
          <cell r="U451">
            <v>15029</v>
          </cell>
          <cell r="V451">
            <v>4</v>
          </cell>
          <cell r="W451" t="str">
            <v>29-4. 【1回のみ】ボーナスステージ</v>
          </cell>
          <cell r="X451">
            <v>1</v>
          </cell>
          <cell r="Y451">
            <v>1</v>
          </cell>
          <cell r="Z451">
            <v>0</v>
          </cell>
          <cell r="AA451">
            <v>0</v>
          </cell>
          <cell r="AB451" t="str">
            <v>anytime</v>
          </cell>
          <cell r="AC451">
            <v>30</v>
          </cell>
          <cell r="AD451">
            <v>6</v>
          </cell>
          <cell r="AE451" t="str">
            <v>everyone</v>
          </cell>
        </row>
        <row r="452">
          <cell r="A452" t="str">
            <v>15030_2</v>
          </cell>
          <cell r="B452">
            <v>3</v>
          </cell>
          <cell r="C452">
            <v>15030</v>
          </cell>
          <cell r="D452" t="str">
            <v>30. 月夜のオールドシティ</v>
          </cell>
          <cell r="E452" t="str">
            <v>赤青DL6</v>
          </cell>
          <cell r="F452">
            <v>2</v>
          </cell>
          <cell r="G452" t="str">
            <v>ja</v>
          </cell>
          <cell r="H452" t="str">
            <v>30-2. 深夜のお茶会</v>
          </cell>
          <cell r="J452" t="str">
            <v>NULL</v>
          </cell>
          <cell r="K452">
            <v>19</v>
          </cell>
          <cell r="L452">
            <v>5040</v>
          </cell>
          <cell r="M452">
            <v>1</v>
          </cell>
          <cell r="N452">
            <v>1</v>
          </cell>
          <cell r="O452">
            <v>1</v>
          </cell>
          <cell r="P452">
            <v>1</v>
          </cell>
          <cell r="Q452">
            <v>1</v>
          </cell>
          <cell r="R452">
            <v>3</v>
          </cell>
          <cell r="S452" t="str">
            <v>none</v>
          </cell>
          <cell r="T452">
            <v>0</v>
          </cell>
          <cell r="U452">
            <v>15030</v>
          </cell>
          <cell r="V452">
            <v>1</v>
          </cell>
          <cell r="W452" t="str">
            <v>30-1. 月夜に煌めく刃</v>
          </cell>
          <cell r="X452">
            <v>1</v>
          </cell>
          <cell r="Y452">
            <v>1</v>
          </cell>
          <cell r="Z452">
            <v>0</v>
          </cell>
          <cell r="AA452">
            <v>0</v>
          </cell>
          <cell r="AB452" t="str">
            <v>anytime</v>
          </cell>
          <cell r="AC452">
            <v>30</v>
          </cell>
          <cell r="AD452">
            <v>6</v>
          </cell>
          <cell r="AE452" t="str">
            <v>everyone</v>
          </cell>
        </row>
        <row r="453">
          <cell r="A453" t="str">
            <v>15030_3</v>
          </cell>
          <cell r="B453">
            <v>3</v>
          </cell>
          <cell r="C453">
            <v>15030</v>
          </cell>
          <cell r="D453" t="str">
            <v>30. 月夜のオールドシティ</v>
          </cell>
          <cell r="E453" t="str">
            <v>赤青DL6</v>
          </cell>
          <cell r="F453">
            <v>3</v>
          </cell>
          <cell r="G453" t="str">
            <v>ja</v>
          </cell>
          <cell r="H453" t="str">
            <v>30-3. 月影の襲撃者</v>
          </cell>
          <cell r="J453" t="str">
            <v>NULL</v>
          </cell>
          <cell r="K453">
            <v>22</v>
          </cell>
          <cell r="L453">
            <v>6370</v>
          </cell>
          <cell r="M453">
            <v>1</v>
          </cell>
          <cell r="N453">
            <v>1</v>
          </cell>
          <cell r="O453">
            <v>1</v>
          </cell>
          <cell r="P453">
            <v>1</v>
          </cell>
          <cell r="Q453">
            <v>1</v>
          </cell>
          <cell r="R453">
            <v>3</v>
          </cell>
          <cell r="S453" t="str">
            <v>none</v>
          </cell>
          <cell r="T453">
            <v>0</v>
          </cell>
          <cell r="U453">
            <v>15030</v>
          </cell>
          <cell r="V453">
            <v>2</v>
          </cell>
          <cell r="W453" t="str">
            <v>30-2. 深夜のお茶会</v>
          </cell>
          <cell r="X453">
            <v>1</v>
          </cell>
          <cell r="Y453">
            <v>1</v>
          </cell>
          <cell r="Z453">
            <v>0</v>
          </cell>
          <cell r="AA453">
            <v>0</v>
          </cell>
          <cell r="AB453" t="str">
            <v>anytime</v>
          </cell>
          <cell r="AC453">
            <v>30</v>
          </cell>
          <cell r="AD453">
            <v>6</v>
          </cell>
          <cell r="AE453" t="str">
            <v>everyone</v>
          </cell>
        </row>
        <row r="454">
          <cell r="A454" t="str">
            <v>15030_4</v>
          </cell>
          <cell r="B454">
            <v>3</v>
          </cell>
          <cell r="C454">
            <v>15030</v>
          </cell>
          <cell r="D454" t="str">
            <v>30. 月夜のオールドシティ</v>
          </cell>
          <cell r="E454" t="str">
            <v>赤青DL6</v>
          </cell>
          <cell r="F454">
            <v>4</v>
          </cell>
          <cell r="G454" t="str">
            <v>ja</v>
          </cell>
          <cell r="H454" t="str">
            <v>30-4. 【1回のみ】ボーナスステージ</v>
          </cell>
          <cell r="I454" t="str">
            <v>ボーナス</v>
          </cell>
          <cell r="J454">
            <v>335</v>
          </cell>
          <cell r="K454">
            <v>1</v>
          </cell>
          <cell r="L454">
            <v>1</v>
          </cell>
          <cell r="M454">
            <v>1</v>
          </cell>
          <cell r="N454">
            <v>1</v>
          </cell>
          <cell r="O454">
            <v>1</v>
          </cell>
          <cell r="P454">
            <v>1</v>
          </cell>
          <cell r="Q454">
            <v>1</v>
          </cell>
          <cell r="R454">
            <v>3</v>
          </cell>
          <cell r="S454" t="str">
            <v>none</v>
          </cell>
          <cell r="T454">
            <v>0</v>
          </cell>
          <cell r="U454">
            <v>15030</v>
          </cell>
          <cell r="V454">
            <v>3</v>
          </cell>
          <cell r="W454" t="str">
            <v>30-3. 月影の襲撃者</v>
          </cell>
          <cell r="X454">
            <v>1</v>
          </cell>
          <cell r="Y454">
            <v>1</v>
          </cell>
          <cell r="Z454">
            <v>0</v>
          </cell>
          <cell r="AA454">
            <v>0</v>
          </cell>
          <cell r="AB454" t="str">
            <v>once</v>
          </cell>
          <cell r="AC454">
            <v>30</v>
          </cell>
          <cell r="AD454">
            <v>6</v>
          </cell>
          <cell r="AE454" t="str">
            <v>singleonly</v>
          </cell>
        </row>
        <row r="455">
          <cell r="A455" t="str">
            <v>15031_1</v>
          </cell>
          <cell r="B455">
            <v>3</v>
          </cell>
          <cell r="C455">
            <v>15031</v>
          </cell>
          <cell r="D455" t="str">
            <v>31. 桜花乱城</v>
          </cell>
          <cell r="E455" t="str">
            <v>混色DL6</v>
          </cell>
          <cell r="F455">
            <v>1</v>
          </cell>
          <cell r="G455" t="str">
            <v>ja</v>
          </cell>
          <cell r="H455" t="str">
            <v>31-1. 忍び寄る影</v>
          </cell>
          <cell r="J455" t="str">
            <v>NULL</v>
          </cell>
          <cell r="K455">
            <v>19</v>
          </cell>
          <cell r="L455">
            <v>5040</v>
          </cell>
          <cell r="M455">
            <v>1</v>
          </cell>
          <cell r="N455">
            <v>1</v>
          </cell>
          <cell r="O455">
            <v>1</v>
          </cell>
          <cell r="P455">
            <v>1</v>
          </cell>
          <cell r="Q455">
            <v>1</v>
          </cell>
          <cell r="R455">
            <v>3</v>
          </cell>
          <cell r="S455" t="str">
            <v>none</v>
          </cell>
          <cell r="T455">
            <v>0</v>
          </cell>
          <cell r="U455">
            <v>15030</v>
          </cell>
          <cell r="V455">
            <v>4</v>
          </cell>
          <cell r="W455" t="str">
            <v>30-4. 【1回のみ】ボーナスステージ</v>
          </cell>
          <cell r="X455">
            <v>1</v>
          </cell>
          <cell r="Y455">
            <v>1</v>
          </cell>
          <cell r="Z455">
            <v>1</v>
          </cell>
          <cell r="AA455">
            <v>1</v>
          </cell>
          <cell r="AB455" t="str">
            <v>anytime</v>
          </cell>
          <cell r="AC455">
            <v>31</v>
          </cell>
          <cell r="AD455">
            <v>6</v>
          </cell>
          <cell r="AE455" t="str">
            <v>everyone</v>
          </cell>
        </row>
        <row r="456">
          <cell r="A456" t="str">
            <v>15031_2</v>
          </cell>
          <cell r="B456">
            <v>3</v>
          </cell>
          <cell r="C456">
            <v>15031</v>
          </cell>
          <cell r="D456" t="str">
            <v>31. 桜花乱城</v>
          </cell>
          <cell r="E456" t="str">
            <v>混色DL6</v>
          </cell>
          <cell r="F456">
            <v>2</v>
          </cell>
          <cell r="G456" t="str">
            <v>ja</v>
          </cell>
          <cell r="H456" t="str">
            <v>31-2. 赤鉄の将</v>
          </cell>
          <cell r="J456" t="str">
            <v>NULL</v>
          </cell>
          <cell r="K456">
            <v>21</v>
          </cell>
          <cell r="L456">
            <v>5760</v>
          </cell>
          <cell r="M456">
            <v>1</v>
          </cell>
          <cell r="N456">
            <v>1</v>
          </cell>
          <cell r="O456">
            <v>1</v>
          </cell>
          <cell r="P456">
            <v>1</v>
          </cell>
          <cell r="Q456">
            <v>1</v>
          </cell>
          <cell r="R456">
            <v>3</v>
          </cell>
          <cell r="S456" t="str">
            <v>none</v>
          </cell>
          <cell r="T456">
            <v>0</v>
          </cell>
          <cell r="U456">
            <v>15031</v>
          </cell>
          <cell r="V456">
            <v>1</v>
          </cell>
          <cell r="W456" t="str">
            <v>31-1. 忍び寄る影</v>
          </cell>
          <cell r="X456">
            <v>1</v>
          </cell>
          <cell r="Y456">
            <v>1</v>
          </cell>
          <cell r="Z456">
            <v>1</v>
          </cell>
          <cell r="AA456">
            <v>1</v>
          </cell>
          <cell r="AB456" t="str">
            <v>anytime</v>
          </cell>
          <cell r="AC456">
            <v>31</v>
          </cell>
          <cell r="AD456">
            <v>6</v>
          </cell>
          <cell r="AE456" t="str">
            <v>everyone</v>
          </cell>
        </row>
        <row r="457">
          <cell r="A457" t="str">
            <v>15031_3</v>
          </cell>
          <cell r="B457">
            <v>3</v>
          </cell>
          <cell r="C457">
            <v>15031</v>
          </cell>
          <cell r="D457" t="str">
            <v>31. 桜花乱城</v>
          </cell>
          <cell r="E457" t="str">
            <v>混色DL6</v>
          </cell>
          <cell r="F457">
            <v>3</v>
          </cell>
          <cell r="G457" t="str">
            <v>ja</v>
          </cell>
          <cell r="H457" t="str">
            <v>31-3. 神域の試練</v>
          </cell>
          <cell r="J457" t="str">
            <v>NULL</v>
          </cell>
          <cell r="K457">
            <v>24</v>
          </cell>
          <cell r="L457">
            <v>7200</v>
          </cell>
          <cell r="M457">
            <v>1</v>
          </cell>
          <cell r="N457">
            <v>1</v>
          </cell>
          <cell r="O457">
            <v>1</v>
          </cell>
          <cell r="P457">
            <v>1</v>
          </cell>
          <cell r="Q457">
            <v>1</v>
          </cell>
          <cell r="R457">
            <v>3</v>
          </cell>
          <cell r="S457" t="str">
            <v>none</v>
          </cell>
          <cell r="T457">
            <v>0</v>
          </cell>
          <cell r="U457">
            <v>15031</v>
          </cell>
          <cell r="V457">
            <v>2</v>
          </cell>
          <cell r="W457" t="str">
            <v>31-2. 赤鉄の将</v>
          </cell>
          <cell r="X457">
            <v>1</v>
          </cell>
          <cell r="Y457">
            <v>1</v>
          </cell>
          <cell r="Z457">
            <v>1</v>
          </cell>
          <cell r="AA457">
            <v>1</v>
          </cell>
          <cell r="AB457" t="str">
            <v>anytime</v>
          </cell>
          <cell r="AC457">
            <v>31</v>
          </cell>
          <cell r="AD457">
            <v>6</v>
          </cell>
          <cell r="AE457" t="str">
            <v>everyone</v>
          </cell>
        </row>
        <row r="458">
          <cell r="A458" t="str">
            <v>15031_4</v>
          </cell>
          <cell r="B458">
            <v>3</v>
          </cell>
          <cell r="C458">
            <v>15031</v>
          </cell>
          <cell r="D458" t="str">
            <v>31. 桜花乱城</v>
          </cell>
          <cell r="E458" t="str">
            <v>混色DL6</v>
          </cell>
          <cell r="F458">
            <v>4</v>
          </cell>
          <cell r="G458" t="str">
            <v>ja</v>
          </cell>
          <cell r="H458" t="str">
            <v>31-4. 【1回のみ】ボーナスステージ</v>
          </cell>
          <cell r="I458" t="str">
            <v>ボーナス</v>
          </cell>
          <cell r="J458">
            <v>610</v>
          </cell>
          <cell r="K458">
            <v>1</v>
          </cell>
          <cell r="L458">
            <v>1</v>
          </cell>
          <cell r="M458">
            <v>1</v>
          </cell>
          <cell r="N458">
            <v>1</v>
          </cell>
          <cell r="O458">
            <v>1</v>
          </cell>
          <cell r="P458">
            <v>1</v>
          </cell>
          <cell r="Q458">
            <v>1</v>
          </cell>
          <cell r="R458">
            <v>3</v>
          </cell>
          <cell r="S458" t="str">
            <v>none</v>
          </cell>
          <cell r="T458">
            <v>0</v>
          </cell>
          <cell r="U458">
            <v>15031</v>
          </cell>
          <cell r="V458">
            <v>3</v>
          </cell>
          <cell r="W458" t="str">
            <v>31-3. 神域の試練</v>
          </cell>
          <cell r="X458">
            <v>1</v>
          </cell>
          <cell r="Y458">
            <v>1</v>
          </cell>
          <cell r="Z458">
            <v>1</v>
          </cell>
          <cell r="AA458">
            <v>1</v>
          </cell>
          <cell r="AB458" t="str">
            <v>once</v>
          </cell>
          <cell r="AC458">
            <v>31</v>
          </cell>
          <cell r="AD458">
            <v>6</v>
          </cell>
          <cell r="AE458" t="str">
            <v>singleonly</v>
          </cell>
        </row>
        <row r="459">
          <cell r="A459" t="str">
            <v>20001_1</v>
          </cell>
          <cell r="B459">
            <v>3</v>
          </cell>
          <cell r="C459">
            <v>20001</v>
          </cell>
          <cell r="D459" t="str">
            <v>紅き執行者</v>
          </cell>
          <cell r="E459" t="str">
            <v>ドロップイベント1-1</v>
          </cell>
          <cell r="F459">
            <v>1</v>
          </cell>
          <cell r="G459" t="str">
            <v>ja</v>
          </cell>
          <cell r="H459" t="str">
            <v xml:space="preserve">【初級】紅き執行者 </v>
          </cell>
          <cell r="I459" t="str">
            <v>初級</v>
          </cell>
          <cell r="J459">
            <v>262</v>
          </cell>
          <cell r="K459">
            <v>8</v>
          </cell>
          <cell r="L459">
            <v>384</v>
          </cell>
          <cell r="M459">
            <v>1</v>
          </cell>
          <cell r="N459">
            <v>1</v>
          </cell>
          <cell r="O459">
            <v>1</v>
          </cell>
          <cell r="P459">
            <v>1</v>
          </cell>
          <cell r="Q459">
            <v>1</v>
          </cell>
          <cell r="R459">
            <v>3</v>
          </cell>
          <cell r="S459" t="str">
            <v>none</v>
          </cell>
          <cell r="T459">
            <v>0</v>
          </cell>
          <cell r="U459" t="str">
            <v>NULL</v>
          </cell>
          <cell r="V459" t="str">
            <v>NULL</v>
          </cell>
          <cell r="W459" t="str">
            <v/>
          </cell>
          <cell r="X459">
            <v>0</v>
          </cell>
          <cell r="Y459">
            <v>0</v>
          </cell>
          <cell r="Z459">
            <v>0</v>
          </cell>
          <cell r="AA459">
            <v>0</v>
          </cell>
          <cell r="AB459" t="str">
            <v>anytime</v>
          </cell>
          <cell r="AC459">
            <v>14</v>
          </cell>
          <cell r="AD459">
            <v>6</v>
          </cell>
          <cell r="AE459" t="str">
            <v>everyone</v>
          </cell>
        </row>
        <row r="460">
          <cell r="A460" t="str">
            <v>20001_2</v>
          </cell>
          <cell r="B460">
            <v>3</v>
          </cell>
          <cell r="C460">
            <v>20001</v>
          </cell>
          <cell r="D460" t="str">
            <v>紅き執行者</v>
          </cell>
          <cell r="E460" t="str">
            <v>ドロップイベント1-1</v>
          </cell>
          <cell r="F460">
            <v>2</v>
          </cell>
          <cell r="G460" t="str">
            <v>ja</v>
          </cell>
          <cell r="H460" t="str">
            <v>【中級】紅き執行者</v>
          </cell>
          <cell r="I460" t="str">
            <v>中級</v>
          </cell>
          <cell r="J460">
            <v>262</v>
          </cell>
          <cell r="K460">
            <v>15</v>
          </cell>
          <cell r="L460">
            <v>1200</v>
          </cell>
          <cell r="M460">
            <v>1</v>
          </cell>
          <cell r="N460">
            <v>1</v>
          </cell>
          <cell r="O460">
            <v>1</v>
          </cell>
          <cell r="P460">
            <v>1</v>
          </cell>
          <cell r="Q460">
            <v>1</v>
          </cell>
          <cell r="R460">
            <v>3</v>
          </cell>
          <cell r="S460" t="str">
            <v>none</v>
          </cell>
          <cell r="T460">
            <v>0</v>
          </cell>
          <cell r="U460" t="str">
            <v>NULL</v>
          </cell>
          <cell r="V460" t="str">
            <v>NULL</v>
          </cell>
          <cell r="W460" t="str">
            <v/>
          </cell>
          <cell r="X460">
            <v>0</v>
          </cell>
          <cell r="Y460">
            <v>0</v>
          </cell>
          <cell r="Z460">
            <v>0</v>
          </cell>
          <cell r="AA460">
            <v>0</v>
          </cell>
          <cell r="AB460" t="str">
            <v>anytime</v>
          </cell>
          <cell r="AC460">
            <v>14</v>
          </cell>
          <cell r="AD460">
            <v>6</v>
          </cell>
          <cell r="AE460" t="str">
            <v>everyone</v>
          </cell>
        </row>
        <row r="461">
          <cell r="A461" t="str">
            <v>20001_3</v>
          </cell>
          <cell r="B461">
            <v>3</v>
          </cell>
          <cell r="C461">
            <v>20001</v>
          </cell>
          <cell r="D461" t="str">
            <v>紅き執行者</v>
          </cell>
          <cell r="E461" t="str">
            <v>ドロップイベント1-1</v>
          </cell>
          <cell r="F461">
            <v>3</v>
          </cell>
          <cell r="G461" t="str">
            <v>ja</v>
          </cell>
          <cell r="H461" t="str">
            <v xml:space="preserve">【上級】紅き執行者 </v>
          </cell>
          <cell r="I461" t="str">
            <v>上級</v>
          </cell>
          <cell r="J461">
            <v>263</v>
          </cell>
          <cell r="K461">
            <v>20</v>
          </cell>
          <cell r="L461">
            <v>2000</v>
          </cell>
          <cell r="M461">
            <v>1</v>
          </cell>
          <cell r="N461">
            <v>1</v>
          </cell>
          <cell r="O461">
            <v>1</v>
          </cell>
          <cell r="P461">
            <v>1</v>
          </cell>
          <cell r="Q461">
            <v>1</v>
          </cell>
          <cell r="R461">
            <v>3</v>
          </cell>
          <cell r="S461" t="str">
            <v>polygon</v>
          </cell>
          <cell r="T461">
            <v>1</v>
          </cell>
          <cell r="U461" t="str">
            <v>NULL</v>
          </cell>
          <cell r="V461" t="str">
            <v>NULL</v>
          </cell>
          <cell r="W461" t="str">
            <v/>
          </cell>
          <cell r="X461">
            <v>0</v>
          </cell>
          <cell r="Y461">
            <v>0</v>
          </cell>
          <cell r="Z461">
            <v>0</v>
          </cell>
          <cell r="AA461">
            <v>0</v>
          </cell>
          <cell r="AB461" t="str">
            <v>anytime</v>
          </cell>
          <cell r="AC461">
            <v>14</v>
          </cell>
          <cell r="AD461">
            <v>6</v>
          </cell>
          <cell r="AE461" t="str">
            <v>everyone</v>
          </cell>
        </row>
        <row r="462">
          <cell r="A462" t="str">
            <v>20002_1</v>
          </cell>
          <cell r="B462">
            <v>3</v>
          </cell>
          <cell r="C462">
            <v>20002</v>
          </cell>
          <cell r="D462" t="str">
            <v>孤高の一角獣</v>
          </cell>
          <cell r="E462" t="str">
            <v>ドロップイベント1-2</v>
          </cell>
          <cell r="F462">
            <v>1</v>
          </cell>
          <cell r="G462" t="str">
            <v>ja</v>
          </cell>
          <cell r="H462" t="str">
            <v>【初級】孤高の一角獣</v>
          </cell>
          <cell r="I462" t="str">
            <v>初級</v>
          </cell>
          <cell r="J462">
            <v>264</v>
          </cell>
          <cell r="K462">
            <v>8</v>
          </cell>
          <cell r="L462">
            <v>384</v>
          </cell>
          <cell r="M462">
            <v>1</v>
          </cell>
          <cell r="N462">
            <v>1</v>
          </cell>
          <cell r="O462">
            <v>1</v>
          </cell>
          <cell r="P462">
            <v>1</v>
          </cell>
          <cell r="Q462">
            <v>0</v>
          </cell>
          <cell r="R462">
            <v>3</v>
          </cell>
          <cell r="S462" t="str">
            <v>none</v>
          </cell>
          <cell r="T462">
            <v>0</v>
          </cell>
          <cell r="U462" t="str">
            <v>NULL</v>
          </cell>
          <cell r="V462" t="str">
            <v>NULL</v>
          </cell>
          <cell r="W462" t="str">
            <v/>
          </cell>
          <cell r="X462">
            <v>0</v>
          </cell>
          <cell r="Y462">
            <v>0</v>
          </cell>
          <cell r="Z462">
            <v>0</v>
          </cell>
          <cell r="AA462">
            <v>0</v>
          </cell>
          <cell r="AB462" t="str">
            <v>anytime</v>
          </cell>
          <cell r="AC462">
            <v>19</v>
          </cell>
          <cell r="AD462">
            <v>6</v>
          </cell>
          <cell r="AE462" t="str">
            <v>everyone</v>
          </cell>
        </row>
        <row r="463">
          <cell r="A463" t="str">
            <v>20002_2</v>
          </cell>
          <cell r="B463">
            <v>3</v>
          </cell>
          <cell r="C463">
            <v>20002</v>
          </cell>
          <cell r="D463" t="str">
            <v>孤高の一角獣</v>
          </cell>
          <cell r="E463" t="str">
            <v>ドロップイベント1-2</v>
          </cell>
          <cell r="F463">
            <v>2</v>
          </cell>
          <cell r="G463" t="str">
            <v>ja</v>
          </cell>
          <cell r="H463" t="str">
            <v>【中級】孤高の一角獣</v>
          </cell>
          <cell r="I463" t="str">
            <v>中級</v>
          </cell>
          <cell r="J463">
            <v>264</v>
          </cell>
          <cell r="K463">
            <v>15</v>
          </cell>
          <cell r="L463">
            <v>1200</v>
          </cell>
          <cell r="M463">
            <v>1</v>
          </cell>
          <cell r="N463">
            <v>1</v>
          </cell>
          <cell r="O463">
            <v>1</v>
          </cell>
          <cell r="P463">
            <v>1</v>
          </cell>
          <cell r="Q463">
            <v>0</v>
          </cell>
          <cell r="R463">
            <v>3</v>
          </cell>
          <cell r="S463" t="str">
            <v>none</v>
          </cell>
          <cell r="T463">
            <v>0</v>
          </cell>
          <cell r="U463" t="str">
            <v>NULL</v>
          </cell>
          <cell r="V463" t="str">
            <v>NULL</v>
          </cell>
          <cell r="W463" t="str">
            <v/>
          </cell>
          <cell r="X463">
            <v>0</v>
          </cell>
          <cell r="Y463">
            <v>0</v>
          </cell>
          <cell r="Z463">
            <v>0</v>
          </cell>
          <cell r="AA463">
            <v>0</v>
          </cell>
          <cell r="AB463" t="str">
            <v>anytime</v>
          </cell>
          <cell r="AC463">
            <v>19</v>
          </cell>
          <cell r="AD463">
            <v>6</v>
          </cell>
          <cell r="AE463" t="str">
            <v>everyone</v>
          </cell>
        </row>
        <row r="464">
          <cell r="A464" t="str">
            <v>20002_3</v>
          </cell>
          <cell r="B464">
            <v>3</v>
          </cell>
          <cell r="C464">
            <v>20002</v>
          </cell>
          <cell r="D464" t="str">
            <v>孤高の一角獣</v>
          </cell>
          <cell r="E464" t="str">
            <v>ドロップイベント1-2</v>
          </cell>
          <cell r="F464">
            <v>3</v>
          </cell>
          <cell r="G464" t="str">
            <v>ja</v>
          </cell>
          <cell r="H464" t="str">
            <v>【上級】孤高の一角獣</v>
          </cell>
          <cell r="I464" t="str">
            <v>上級</v>
          </cell>
          <cell r="J464">
            <v>265</v>
          </cell>
          <cell r="K464">
            <v>20</v>
          </cell>
          <cell r="L464">
            <v>2000</v>
          </cell>
          <cell r="M464">
            <v>1</v>
          </cell>
          <cell r="N464">
            <v>1</v>
          </cell>
          <cell r="O464">
            <v>1</v>
          </cell>
          <cell r="P464">
            <v>1</v>
          </cell>
          <cell r="Q464">
            <v>0</v>
          </cell>
          <cell r="R464">
            <v>3</v>
          </cell>
          <cell r="S464" t="str">
            <v>polygon</v>
          </cell>
          <cell r="T464">
            <v>1</v>
          </cell>
          <cell r="U464" t="str">
            <v>NULL</v>
          </cell>
          <cell r="V464" t="str">
            <v>NULL</v>
          </cell>
          <cell r="W464" t="str">
            <v/>
          </cell>
          <cell r="X464">
            <v>0</v>
          </cell>
          <cell r="Y464">
            <v>0</v>
          </cell>
          <cell r="Z464">
            <v>0</v>
          </cell>
          <cell r="AA464">
            <v>0</v>
          </cell>
          <cell r="AB464" t="str">
            <v>anytime</v>
          </cell>
          <cell r="AC464">
            <v>19</v>
          </cell>
          <cell r="AD464">
            <v>6</v>
          </cell>
          <cell r="AE464" t="str">
            <v>everyone</v>
          </cell>
        </row>
        <row r="465">
          <cell r="A465" t="str">
            <v>20003_1</v>
          </cell>
          <cell r="B465">
            <v>3</v>
          </cell>
          <cell r="C465">
            <v>20003</v>
          </cell>
          <cell r="D465" t="str">
            <v>忍び寄る短剣</v>
          </cell>
          <cell r="E465" t="str">
            <v>ドロップイベント1-3</v>
          </cell>
          <cell r="F465">
            <v>1</v>
          </cell>
          <cell r="G465" t="str">
            <v>ja</v>
          </cell>
          <cell r="H465" t="str">
            <v xml:space="preserve">【初級】忍び寄る短剣 </v>
          </cell>
          <cell r="I465" t="str">
            <v>初級</v>
          </cell>
          <cell r="J465">
            <v>266</v>
          </cell>
          <cell r="K465">
            <v>8</v>
          </cell>
          <cell r="L465">
            <v>384</v>
          </cell>
          <cell r="M465">
            <v>1</v>
          </cell>
          <cell r="N465">
            <v>1</v>
          </cell>
          <cell r="O465">
            <v>1</v>
          </cell>
          <cell r="P465">
            <v>1</v>
          </cell>
          <cell r="Q465">
            <v>1</v>
          </cell>
          <cell r="R465">
            <v>3</v>
          </cell>
          <cell r="S465" t="str">
            <v>none</v>
          </cell>
          <cell r="T465">
            <v>0</v>
          </cell>
          <cell r="U465" t="str">
            <v>NULL</v>
          </cell>
          <cell r="V465" t="str">
            <v>NULL</v>
          </cell>
          <cell r="W465" t="str">
            <v/>
          </cell>
          <cell r="X465">
            <v>0</v>
          </cell>
          <cell r="Y465">
            <v>0</v>
          </cell>
          <cell r="Z465">
            <v>0</v>
          </cell>
          <cell r="AA465">
            <v>0</v>
          </cell>
          <cell r="AB465" t="str">
            <v>anytime</v>
          </cell>
          <cell r="AC465">
            <v>11</v>
          </cell>
          <cell r="AD465">
            <v>6</v>
          </cell>
          <cell r="AE465" t="str">
            <v>everyone</v>
          </cell>
        </row>
        <row r="466">
          <cell r="A466" t="str">
            <v>20003_2</v>
          </cell>
          <cell r="B466">
            <v>3</v>
          </cell>
          <cell r="C466">
            <v>20003</v>
          </cell>
          <cell r="D466" t="str">
            <v>忍び寄る短剣</v>
          </cell>
          <cell r="E466" t="str">
            <v>ドロップイベント1-3</v>
          </cell>
          <cell r="F466">
            <v>2</v>
          </cell>
          <cell r="G466" t="str">
            <v>ja</v>
          </cell>
          <cell r="H466" t="str">
            <v xml:space="preserve">【中級】忍び寄る短剣 </v>
          </cell>
          <cell r="I466" t="str">
            <v>中級</v>
          </cell>
          <cell r="J466">
            <v>266</v>
          </cell>
          <cell r="K466">
            <v>15</v>
          </cell>
          <cell r="L466">
            <v>1200</v>
          </cell>
          <cell r="M466">
            <v>1</v>
          </cell>
          <cell r="N466">
            <v>1</v>
          </cell>
          <cell r="O466">
            <v>1</v>
          </cell>
          <cell r="P466">
            <v>1</v>
          </cell>
          <cell r="Q466">
            <v>1</v>
          </cell>
          <cell r="R466">
            <v>3</v>
          </cell>
          <cell r="S466" t="str">
            <v>none</v>
          </cell>
          <cell r="T466">
            <v>0</v>
          </cell>
          <cell r="U466" t="str">
            <v>NULL</v>
          </cell>
          <cell r="V466" t="str">
            <v>NULL</v>
          </cell>
          <cell r="W466" t="str">
            <v/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  <cell r="AB466" t="str">
            <v>anytime</v>
          </cell>
          <cell r="AC466">
            <v>11</v>
          </cell>
          <cell r="AD466">
            <v>6</v>
          </cell>
          <cell r="AE466" t="str">
            <v>everyone</v>
          </cell>
        </row>
        <row r="467">
          <cell r="A467" t="str">
            <v>20003_3</v>
          </cell>
          <cell r="B467">
            <v>3</v>
          </cell>
          <cell r="C467">
            <v>20003</v>
          </cell>
          <cell r="D467" t="str">
            <v>忍び寄る短剣</v>
          </cell>
          <cell r="E467" t="str">
            <v>ドロップイベント1-3</v>
          </cell>
          <cell r="F467">
            <v>3</v>
          </cell>
          <cell r="G467" t="str">
            <v>ja</v>
          </cell>
          <cell r="H467" t="str">
            <v xml:space="preserve">【上級】忍び寄る短剣 </v>
          </cell>
          <cell r="I467" t="str">
            <v>上級</v>
          </cell>
          <cell r="J467">
            <v>267</v>
          </cell>
          <cell r="K467">
            <v>20</v>
          </cell>
          <cell r="L467">
            <v>2000</v>
          </cell>
          <cell r="M467">
            <v>1</v>
          </cell>
          <cell r="N467">
            <v>1</v>
          </cell>
          <cell r="O467">
            <v>1</v>
          </cell>
          <cell r="P467">
            <v>1</v>
          </cell>
          <cell r="Q467">
            <v>1</v>
          </cell>
          <cell r="R467">
            <v>3</v>
          </cell>
          <cell r="S467" t="str">
            <v>polygon</v>
          </cell>
          <cell r="T467">
            <v>1</v>
          </cell>
          <cell r="U467" t="str">
            <v>NULL</v>
          </cell>
          <cell r="V467" t="str">
            <v>NULL</v>
          </cell>
          <cell r="W467" t="str">
            <v/>
          </cell>
          <cell r="X467">
            <v>0</v>
          </cell>
          <cell r="Y467">
            <v>0</v>
          </cell>
          <cell r="Z467">
            <v>0</v>
          </cell>
          <cell r="AA467">
            <v>0</v>
          </cell>
          <cell r="AB467" t="str">
            <v>anytime</v>
          </cell>
          <cell r="AC467">
            <v>11</v>
          </cell>
          <cell r="AD467">
            <v>6</v>
          </cell>
          <cell r="AE467" t="str">
            <v>everyone</v>
          </cell>
        </row>
        <row r="468">
          <cell r="A468" t="str">
            <v>20004_1</v>
          </cell>
          <cell r="B468">
            <v>3</v>
          </cell>
          <cell r="C468">
            <v>20004</v>
          </cell>
          <cell r="D468" t="str">
            <v>雷雲からの刺客</v>
          </cell>
          <cell r="E468" t="str">
            <v>ドロップイベント1-4</v>
          </cell>
          <cell r="F468">
            <v>1</v>
          </cell>
          <cell r="G468" t="str">
            <v>ja</v>
          </cell>
          <cell r="H468" t="str">
            <v>【初級】雷雲からの刺客</v>
          </cell>
          <cell r="I468" t="str">
            <v>初級</v>
          </cell>
          <cell r="J468">
            <v>268</v>
          </cell>
          <cell r="K468">
            <v>8</v>
          </cell>
          <cell r="L468">
            <v>384</v>
          </cell>
          <cell r="M468">
            <v>1</v>
          </cell>
          <cell r="N468">
            <v>1</v>
          </cell>
          <cell r="O468">
            <v>1</v>
          </cell>
          <cell r="P468">
            <v>1</v>
          </cell>
          <cell r="Q468">
            <v>0</v>
          </cell>
          <cell r="R468">
            <v>3</v>
          </cell>
          <cell r="S468" t="str">
            <v>none</v>
          </cell>
          <cell r="T468">
            <v>0</v>
          </cell>
          <cell r="U468" t="str">
            <v>NULL</v>
          </cell>
          <cell r="V468" t="str">
            <v>NULL</v>
          </cell>
          <cell r="W468" t="str">
            <v/>
          </cell>
          <cell r="X468">
            <v>0</v>
          </cell>
          <cell r="Y468">
            <v>0</v>
          </cell>
          <cell r="Z468">
            <v>0</v>
          </cell>
          <cell r="AA468">
            <v>0</v>
          </cell>
          <cell r="AB468" t="str">
            <v>anytime</v>
          </cell>
          <cell r="AC468">
            <v>4</v>
          </cell>
          <cell r="AD468">
            <v>6</v>
          </cell>
          <cell r="AE468" t="str">
            <v>everyone</v>
          </cell>
        </row>
        <row r="469">
          <cell r="A469" t="str">
            <v>20004_2</v>
          </cell>
          <cell r="B469">
            <v>3</v>
          </cell>
          <cell r="C469">
            <v>20004</v>
          </cell>
          <cell r="D469" t="str">
            <v>雷雲からの刺客</v>
          </cell>
          <cell r="E469" t="str">
            <v>ドロップイベント1-4</v>
          </cell>
          <cell r="F469">
            <v>2</v>
          </cell>
          <cell r="G469" t="str">
            <v>ja</v>
          </cell>
          <cell r="H469" t="str">
            <v>【中級】雷雲からの刺客</v>
          </cell>
          <cell r="I469" t="str">
            <v>中級</v>
          </cell>
          <cell r="J469">
            <v>268</v>
          </cell>
          <cell r="K469">
            <v>15</v>
          </cell>
          <cell r="L469">
            <v>1200</v>
          </cell>
          <cell r="M469">
            <v>1</v>
          </cell>
          <cell r="N469">
            <v>1</v>
          </cell>
          <cell r="O469">
            <v>1</v>
          </cell>
          <cell r="P469">
            <v>1</v>
          </cell>
          <cell r="Q469">
            <v>0</v>
          </cell>
          <cell r="R469">
            <v>3</v>
          </cell>
          <cell r="S469" t="str">
            <v>none</v>
          </cell>
          <cell r="T469">
            <v>0</v>
          </cell>
          <cell r="U469" t="str">
            <v>NULL</v>
          </cell>
          <cell r="V469" t="str">
            <v>NULL</v>
          </cell>
          <cell r="W469" t="str">
            <v/>
          </cell>
          <cell r="X469">
            <v>0</v>
          </cell>
          <cell r="Y469">
            <v>0</v>
          </cell>
          <cell r="Z469">
            <v>0</v>
          </cell>
          <cell r="AA469">
            <v>0</v>
          </cell>
          <cell r="AB469" t="str">
            <v>anytime</v>
          </cell>
          <cell r="AC469">
            <v>4</v>
          </cell>
          <cell r="AD469">
            <v>6</v>
          </cell>
          <cell r="AE469" t="str">
            <v>everyone</v>
          </cell>
        </row>
        <row r="470">
          <cell r="A470" t="str">
            <v>20004_3</v>
          </cell>
          <cell r="B470">
            <v>3</v>
          </cell>
          <cell r="C470">
            <v>20004</v>
          </cell>
          <cell r="D470" t="str">
            <v>雷雲からの刺客</v>
          </cell>
          <cell r="E470" t="str">
            <v>ドロップイベント1-4</v>
          </cell>
          <cell r="F470">
            <v>3</v>
          </cell>
          <cell r="G470" t="str">
            <v>ja</v>
          </cell>
          <cell r="H470" t="str">
            <v>【上級】雷雲からの刺客</v>
          </cell>
          <cell r="I470" t="str">
            <v>上級</v>
          </cell>
          <cell r="J470">
            <v>269</v>
          </cell>
          <cell r="K470">
            <v>20</v>
          </cell>
          <cell r="L470">
            <v>2000</v>
          </cell>
          <cell r="M470">
            <v>1</v>
          </cell>
          <cell r="N470">
            <v>1</v>
          </cell>
          <cell r="O470">
            <v>1</v>
          </cell>
          <cell r="P470">
            <v>1</v>
          </cell>
          <cell r="Q470">
            <v>0</v>
          </cell>
          <cell r="R470">
            <v>3</v>
          </cell>
          <cell r="S470" t="str">
            <v>polygon</v>
          </cell>
          <cell r="T470">
            <v>1</v>
          </cell>
          <cell r="U470" t="str">
            <v>NULL</v>
          </cell>
          <cell r="V470" t="str">
            <v>NULL</v>
          </cell>
          <cell r="W470" t="str">
            <v/>
          </cell>
          <cell r="X470">
            <v>0</v>
          </cell>
          <cell r="Y470">
            <v>0</v>
          </cell>
          <cell r="Z470">
            <v>0</v>
          </cell>
          <cell r="AA470">
            <v>0</v>
          </cell>
          <cell r="AB470" t="str">
            <v>anytime</v>
          </cell>
          <cell r="AC470">
            <v>4</v>
          </cell>
          <cell r="AD470">
            <v>6</v>
          </cell>
          <cell r="AE470" t="str">
            <v>everyone</v>
          </cell>
        </row>
        <row r="471">
          <cell r="A471" t="str">
            <v>20005_1</v>
          </cell>
          <cell r="B471">
            <v>3</v>
          </cell>
          <cell r="C471">
            <v>20005</v>
          </cell>
          <cell r="D471" t="str">
            <v>ザ・キャノン</v>
          </cell>
          <cell r="E471" t="str">
            <v>ドロップイベント2-2</v>
          </cell>
          <cell r="F471">
            <v>1</v>
          </cell>
          <cell r="G471" t="str">
            <v>ja</v>
          </cell>
          <cell r="H471" t="str">
            <v>【初級】ザ・キャノン(4タップ）</v>
          </cell>
          <cell r="I471" t="str">
            <v>初級</v>
          </cell>
          <cell r="J471">
            <v>286</v>
          </cell>
          <cell r="K471">
            <v>8</v>
          </cell>
          <cell r="L471">
            <v>384</v>
          </cell>
          <cell r="M471">
            <v>1</v>
          </cell>
          <cell r="N471">
            <v>1</v>
          </cell>
          <cell r="O471">
            <v>1</v>
          </cell>
          <cell r="P471">
            <v>1</v>
          </cell>
          <cell r="Q471">
            <v>1</v>
          </cell>
          <cell r="R471">
            <v>4</v>
          </cell>
          <cell r="S471" t="str">
            <v>none</v>
          </cell>
          <cell r="T471">
            <v>0</v>
          </cell>
          <cell r="U471" t="str">
            <v>NULL</v>
          </cell>
          <cell r="V471" t="str">
            <v>NULL</v>
          </cell>
          <cell r="W471" t="str">
            <v/>
          </cell>
          <cell r="X471">
            <v>0</v>
          </cell>
          <cell r="Y471">
            <v>0</v>
          </cell>
          <cell r="Z471">
            <v>0</v>
          </cell>
          <cell r="AA471">
            <v>0</v>
          </cell>
          <cell r="AB471" t="str">
            <v>anytime</v>
          </cell>
          <cell r="AC471">
            <v>14</v>
          </cell>
          <cell r="AD471">
            <v>6</v>
          </cell>
          <cell r="AE471" t="str">
            <v>everyone</v>
          </cell>
        </row>
        <row r="472">
          <cell r="A472" t="str">
            <v>20005_2</v>
          </cell>
          <cell r="B472">
            <v>3</v>
          </cell>
          <cell r="C472">
            <v>20005</v>
          </cell>
          <cell r="D472" t="str">
            <v>ザ・キャノン</v>
          </cell>
          <cell r="E472" t="str">
            <v>ドロップイベント2-2</v>
          </cell>
          <cell r="F472">
            <v>2</v>
          </cell>
          <cell r="G472" t="str">
            <v>ja</v>
          </cell>
          <cell r="H472" t="str">
            <v>【中級】ザ・キャノン(4タップ)</v>
          </cell>
          <cell r="I472" t="str">
            <v>中級</v>
          </cell>
          <cell r="J472">
            <v>286</v>
          </cell>
          <cell r="K472">
            <v>15</v>
          </cell>
          <cell r="L472">
            <v>1200</v>
          </cell>
          <cell r="M472">
            <v>1</v>
          </cell>
          <cell r="N472">
            <v>1</v>
          </cell>
          <cell r="O472">
            <v>1</v>
          </cell>
          <cell r="P472">
            <v>1</v>
          </cell>
          <cell r="Q472">
            <v>1</v>
          </cell>
          <cell r="R472">
            <v>4</v>
          </cell>
          <cell r="S472" t="str">
            <v>none</v>
          </cell>
          <cell r="T472">
            <v>0</v>
          </cell>
          <cell r="U472" t="str">
            <v>NULL</v>
          </cell>
          <cell r="V472" t="str">
            <v>NULL</v>
          </cell>
          <cell r="W472" t="str">
            <v/>
          </cell>
          <cell r="X472">
            <v>0</v>
          </cell>
          <cell r="Y472">
            <v>0</v>
          </cell>
          <cell r="Z472">
            <v>0</v>
          </cell>
          <cell r="AA472">
            <v>0</v>
          </cell>
          <cell r="AB472" t="str">
            <v>anytime</v>
          </cell>
          <cell r="AC472">
            <v>14</v>
          </cell>
          <cell r="AD472">
            <v>6</v>
          </cell>
          <cell r="AE472" t="str">
            <v>everyone</v>
          </cell>
        </row>
        <row r="473">
          <cell r="A473" t="str">
            <v>20005_3</v>
          </cell>
          <cell r="B473">
            <v>3</v>
          </cell>
          <cell r="C473">
            <v>20005</v>
          </cell>
          <cell r="D473" t="str">
            <v>ザ・キャノン</v>
          </cell>
          <cell r="E473" t="str">
            <v>ドロップイベント2-2</v>
          </cell>
          <cell r="F473">
            <v>3</v>
          </cell>
          <cell r="G473" t="str">
            <v>ja</v>
          </cell>
          <cell r="H473" t="str">
            <v>【上級】ザ・キャノン(4タップ)</v>
          </cell>
          <cell r="I473" t="str">
            <v>上級</v>
          </cell>
          <cell r="J473">
            <v>287</v>
          </cell>
          <cell r="K473">
            <v>20</v>
          </cell>
          <cell r="L473">
            <v>2000</v>
          </cell>
          <cell r="M473">
            <v>1</v>
          </cell>
          <cell r="N473">
            <v>1</v>
          </cell>
          <cell r="O473">
            <v>1</v>
          </cell>
          <cell r="P473">
            <v>1</v>
          </cell>
          <cell r="Q473">
            <v>1</v>
          </cell>
          <cell r="R473">
            <v>4</v>
          </cell>
          <cell r="S473" t="str">
            <v>polygon</v>
          </cell>
          <cell r="T473">
            <v>1</v>
          </cell>
          <cell r="U473" t="str">
            <v>NULL</v>
          </cell>
          <cell r="V473" t="str">
            <v>NULL</v>
          </cell>
          <cell r="W473" t="str">
            <v/>
          </cell>
          <cell r="X473">
            <v>0</v>
          </cell>
          <cell r="Y473">
            <v>0</v>
          </cell>
          <cell r="Z473">
            <v>0</v>
          </cell>
          <cell r="AA473">
            <v>0</v>
          </cell>
          <cell r="AB473" t="str">
            <v>anytime</v>
          </cell>
          <cell r="AC473">
            <v>14</v>
          </cell>
          <cell r="AD473">
            <v>6</v>
          </cell>
          <cell r="AE473" t="str">
            <v>everyone</v>
          </cell>
        </row>
        <row r="474">
          <cell r="A474" t="str">
            <v>20006_1</v>
          </cell>
          <cell r="B474">
            <v>3</v>
          </cell>
          <cell r="C474">
            <v>20006</v>
          </cell>
          <cell r="D474" t="str">
            <v>スチール・プレデター</v>
          </cell>
          <cell r="E474" t="str">
            <v>ドロップイベント2-3</v>
          </cell>
          <cell r="F474">
            <v>1</v>
          </cell>
          <cell r="G474" t="str">
            <v>ja</v>
          </cell>
          <cell r="H474" t="str">
            <v>【初級】スチール・プレデター</v>
          </cell>
          <cell r="I474" t="str">
            <v>初級</v>
          </cell>
          <cell r="J474">
            <v>280</v>
          </cell>
          <cell r="K474">
            <v>8</v>
          </cell>
          <cell r="L474">
            <v>384</v>
          </cell>
          <cell r="M474">
            <v>1</v>
          </cell>
          <cell r="N474">
            <v>1</v>
          </cell>
          <cell r="O474">
            <v>1</v>
          </cell>
          <cell r="P474">
            <v>1</v>
          </cell>
          <cell r="Q474">
            <v>1</v>
          </cell>
          <cell r="R474">
            <v>2</v>
          </cell>
          <cell r="S474" t="str">
            <v>none</v>
          </cell>
          <cell r="T474">
            <v>0</v>
          </cell>
          <cell r="U474" t="str">
            <v>NULL</v>
          </cell>
          <cell r="V474" t="str">
            <v>NULL</v>
          </cell>
          <cell r="W474" t="str">
            <v/>
          </cell>
          <cell r="X474">
            <v>0</v>
          </cell>
          <cell r="Y474">
            <v>0</v>
          </cell>
          <cell r="Z474">
            <v>0</v>
          </cell>
          <cell r="AA474">
            <v>0</v>
          </cell>
          <cell r="AB474" t="str">
            <v>anytime</v>
          </cell>
          <cell r="AC474">
            <v>19</v>
          </cell>
          <cell r="AD474">
            <v>6</v>
          </cell>
          <cell r="AE474" t="str">
            <v>everyone</v>
          </cell>
        </row>
        <row r="475">
          <cell r="A475" t="str">
            <v>20006_2</v>
          </cell>
          <cell r="B475">
            <v>3</v>
          </cell>
          <cell r="C475">
            <v>20006</v>
          </cell>
          <cell r="D475" t="str">
            <v>スチール・プレデター</v>
          </cell>
          <cell r="E475" t="str">
            <v>ドロップイベント2-3</v>
          </cell>
          <cell r="F475">
            <v>2</v>
          </cell>
          <cell r="G475" t="str">
            <v>ja</v>
          </cell>
          <cell r="H475" t="str">
            <v>【中級】スチール・プレデター</v>
          </cell>
          <cell r="I475" t="str">
            <v>中級</v>
          </cell>
          <cell r="J475">
            <v>280</v>
          </cell>
          <cell r="K475">
            <v>15</v>
          </cell>
          <cell r="L475">
            <v>1200</v>
          </cell>
          <cell r="M475">
            <v>1</v>
          </cell>
          <cell r="N475">
            <v>1</v>
          </cell>
          <cell r="O475">
            <v>1</v>
          </cell>
          <cell r="P475">
            <v>1</v>
          </cell>
          <cell r="Q475">
            <v>1</v>
          </cell>
          <cell r="R475">
            <v>2</v>
          </cell>
          <cell r="S475" t="str">
            <v>none</v>
          </cell>
          <cell r="T475">
            <v>0</v>
          </cell>
          <cell r="U475" t="str">
            <v>NULL</v>
          </cell>
          <cell r="V475" t="str">
            <v>NULL</v>
          </cell>
          <cell r="W475" t="str">
            <v/>
          </cell>
          <cell r="X475">
            <v>0</v>
          </cell>
          <cell r="Y475">
            <v>0</v>
          </cell>
          <cell r="Z475">
            <v>0</v>
          </cell>
          <cell r="AA475">
            <v>0</v>
          </cell>
          <cell r="AB475" t="str">
            <v>anytime</v>
          </cell>
          <cell r="AC475">
            <v>19</v>
          </cell>
          <cell r="AD475">
            <v>6</v>
          </cell>
          <cell r="AE475" t="str">
            <v>everyone</v>
          </cell>
        </row>
        <row r="476">
          <cell r="A476" t="str">
            <v>20006_3</v>
          </cell>
          <cell r="B476">
            <v>3</v>
          </cell>
          <cell r="C476">
            <v>20006</v>
          </cell>
          <cell r="D476" t="str">
            <v>スチール・プレデター</v>
          </cell>
          <cell r="E476" t="str">
            <v>ドロップイベント2-3</v>
          </cell>
          <cell r="F476">
            <v>3</v>
          </cell>
          <cell r="G476" t="str">
            <v>ja</v>
          </cell>
          <cell r="H476" t="str">
            <v>【上級】スチール・プレデター</v>
          </cell>
          <cell r="I476" t="str">
            <v>上級</v>
          </cell>
          <cell r="J476">
            <v>281</v>
          </cell>
          <cell r="K476">
            <v>20</v>
          </cell>
          <cell r="L476">
            <v>2000</v>
          </cell>
          <cell r="M476">
            <v>1</v>
          </cell>
          <cell r="N476">
            <v>1</v>
          </cell>
          <cell r="O476">
            <v>1</v>
          </cell>
          <cell r="P476">
            <v>1</v>
          </cell>
          <cell r="Q476">
            <v>1</v>
          </cell>
          <cell r="R476">
            <v>2</v>
          </cell>
          <cell r="S476" t="str">
            <v>polygon</v>
          </cell>
          <cell r="T476">
            <v>1</v>
          </cell>
          <cell r="U476" t="str">
            <v>NULL</v>
          </cell>
          <cell r="V476" t="str">
            <v>NULL</v>
          </cell>
          <cell r="W476" t="str">
            <v/>
          </cell>
          <cell r="X476">
            <v>0</v>
          </cell>
          <cell r="Y476">
            <v>0</v>
          </cell>
          <cell r="Z476">
            <v>0</v>
          </cell>
          <cell r="AA476">
            <v>0</v>
          </cell>
          <cell r="AB476" t="str">
            <v>anytime</v>
          </cell>
          <cell r="AC476">
            <v>19</v>
          </cell>
          <cell r="AD476">
            <v>6</v>
          </cell>
          <cell r="AE476" t="str">
            <v>everyone</v>
          </cell>
        </row>
        <row r="477">
          <cell r="A477" t="str">
            <v>20007_1</v>
          </cell>
          <cell r="B477">
            <v>3</v>
          </cell>
          <cell r="C477">
            <v>20007</v>
          </cell>
          <cell r="D477" t="str">
            <v>女王陛下の処刑龍</v>
          </cell>
          <cell r="E477" t="str">
            <v>ドロップイベント2-1</v>
          </cell>
          <cell r="F477">
            <v>1</v>
          </cell>
          <cell r="G477" t="str">
            <v>ja</v>
          </cell>
          <cell r="H477" t="str">
            <v>【初級】女王陛下の処刑龍</v>
          </cell>
          <cell r="I477" t="str">
            <v>初級</v>
          </cell>
          <cell r="J477">
            <v>282</v>
          </cell>
          <cell r="K477">
            <v>8</v>
          </cell>
          <cell r="L477">
            <v>384</v>
          </cell>
          <cell r="M477">
            <v>1</v>
          </cell>
          <cell r="N477">
            <v>1</v>
          </cell>
          <cell r="O477">
            <v>1</v>
          </cell>
          <cell r="P477">
            <v>1</v>
          </cell>
          <cell r="Q477">
            <v>1</v>
          </cell>
          <cell r="R477">
            <v>4</v>
          </cell>
          <cell r="S477" t="str">
            <v>none</v>
          </cell>
          <cell r="T477">
            <v>0</v>
          </cell>
          <cell r="U477" t="str">
            <v>NULL</v>
          </cell>
          <cell r="V477" t="str">
            <v>NULL</v>
          </cell>
          <cell r="W477" t="str">
            <v/>
          </cell>
          <cell r="X477">
            <v>0</v>
          </cell>
          <cell r="Y477">
            <v>0</v>
          </cell>
          <cell r="Z477">
            <v>0</v>
          </cell>
          <cell r="AA477">
            <v>0</v>
          </cell>
          <cell r="AB477" t="str">
            <v>anytime</v>
          </cell>
          <cell r="AC477">
            <v>17</v>
          </cell>
          <cell r="AD477">
            <v>6</v>
          </cell>
          <cell r="AE477" t="str">
            <v>everyone</v>
          </cell>
        </row>
        <row r="478">
          <cell r="A478" t="str">
            <v>20007_2</v>
          </cell>
          <cell r="B478">
            <v>3</v>
          </cell>
          <cell r="C478">
            <v>20007</v>
          </cell>
          <cell r="D478" t="str">
            <v>女王陛下の処刑龍</v>
          </cell>
          <cell r="E478" t="str">
            <v>ドロップイベント2-1</v>
          </cell>
          <cell r="F478">
            <v>2</v>
          </cell>
          <cell r="G478" t="str">
            <v>ja</v>
          </cell>
          <cell r="H478" t="str">
            <v>【中級】女王陛下の処刑龍</v>
          </cell>
          <cell r="I478" t="str">
            <v>中級</v>
          </cell>
          <cell r="J478">
            <v>282</v>
          </cell>
          <cell r="K478">
            <v>15</v>
          </cell>
          <cell r="L478">
            <v>1200</v>
          </cell>
          <cell r="M478">
            <v>1</v>
          </cell>
          <cell r="N478">
            <v>1</v>
          </cell>
          <cell r="O478">
            <v>1</v>
          </cell>
          <cell r="P478">
            <v>1</v>
          </cell>
          <cell r="Q478">
            <v>1</v>
          </cell>
          <cell r="R478">
            <v>4</v>
          </cell>
          <cell r="S478" t="str">
            <v>none</v>
          </cell>
          <cell r="T478">
            <v>0</v>
          </cell>
          <cell r="U478" t="str">
            <v>NULL</v>
          </cell>
          <cell r="V478" t="str">
            <v>NULL</v>
          </cell>
          <cell r="W478" t="str">
            <v/>
          </cell>
          <cell r="X478">
            <v>0</v>
          </cell>
          <cell r="Y478">
            <v>0</v>
          </cell>
          <cell r="Z478">
            <v>0</v>
          </cell>
          <cell r="AA478">
            <v>0</v>
          </cell>
          <cell r="AB478" t="str">
            <v>anytime</v>
          </cell>
          <cell r="AC478">
            <v>17</v>
          </cell>
          <cell r="AD478">
            <v>6</v>
          </cell>
          <cell r="AE478" t="str">
            <v>everyone</v>
          </cell>
        </row>
        <row r="479">
          <cell r="A479" t="str">
            <v>20007_3</v>
          </cell>
          <cell r="B479">
            <v>3</v>
          </cell>
          <cell r="C479">
            <v>20007</v>
          </cell>
          <cell r="D479" t="str">
            <v>女王陛下の処刑龍</v>
          </cell>
          <cell r="E479" t="str">
            <v>ドロップイベント2-1</v>
          </cell>
          <cell r="F479">
            <v>3</v>
          </cell>
          <cell r="G479" t="str">
            <v>ja</v>
          </cell>
          <cell r="H479" t="str">
            <v>【上級】女王陛下の処刑龍</v>
          </cell>
          <cell r="I479" t="str">
            <v>上級</v>
          </cell>
          <cell r="J479">
            <v>283</v>
          </cell>
          <cell r="K479">
            <v>20</v>
          </cell>
          <cell r="L479">
            <v>2000</v>
          </cell>
          <cell r="M479">
            <v>1</v>
          </cell>
          <cell r="N479">
            <v>1</v>
          </cell>
          <cell r="O479">
            <v>1</v>
          </cell>
          <cell r="P479">
            <v>1</v>
          </cell>
          <cell r="Q479">
            <v>1</v>
          </cell>
          <cell r="R479">
            <v>4</v>
          </cell>
          <cell r="S479" t="str">
            <v>polygon</v>
          </cell>
          <cell r="T479">
            <v>1</v>
          </cell>
          <cell r="U479" t="str">
            <v>NULL</v>
          </cell>
          <cell r="V479" t="str">
            <v>NULL</v>
          </cell>
          <cell r="W479" t="str">
            <v/>
          </cell>
          <cell r="X479">
            <v>0</v>
          </cell>
          <cell r="Y479">
            <v>0</v>
          </cell>
          <cell r="Z479">
            <v>0</v>
          </cell>
          <cell r="AA479">
            <v>0</v>
          </cell>
          <cell r="AB479" t="str">
            <v>anytime</v>
          </cell>
          <cell r="AC479">
            <v>17</v>
          </cell>
          <cell r="AD479">
            <v>6</v>
          </cell>
          <cell r="AE479" t="str">
            <v>everyone</v>
          </cell>
        </row>
        <row r="480">
          <cell r="A480" t="str">
            <v>20008_1</v>
          </cell>
          <cell r="B480">
            <v>3</v>
          </cell>
          <cell r="C480">
            <v>20008</v>
          </cell>
          <cell r="D480" t="str">
            <v>天翔ける金轟機龍</v>
          </cell>
          <cell r="E480" t="str">
            <v>ドロップイベント2-4</v>
          </cell>
          <cell r="F480">
            <v>1</v>
          </cell>
          <cell r="G480" t="str">
            <v>ja</v>
          </cell>
          <cell r="H480" t="str">
            <v>【初級】天翔ける金轟機龍</v>
          </cell>
          <cell r="I480" t="str">
            <v>初級</v>
          </cell>
          <cell r="J480">
            <v>284</v>
          </cell>
          <cell r="K480">
            <v>8</v>
          </cell>
          <cell r="L480">
            <v>384</v>
          </cell>
          <cell r="M480">
            <v>1</v>
          </cell>
          <cell r="N480">
            <v>1</v>
          </cell>
          <cell r="O480">
            <v>1</v>
          </cell>
          <cell r="P480">
            <v>1</v>
          </cell>
          <cell r="Q480">
            <v>1</v>
          </cell>
          <cell r="R480">
            <v>3</v>
          </cell>
          <cell r="S480" t="str">
            <v>none</v>
          </cell>
          <cell r="T480">
            <v>0</v>
          </cell>
          <cell r="U480" t="str">
            <v>NULL</v>
          </cell>
          <cell r="V480" t="str">
            <v>NULL</v>
          </cell>
          <cell r="W480" t="str">
            <v/>
          </cell>
          <cell r="X480">
            <v>0</v>
          </cell>
          <cell r="Y480">
            <v>0</v>
          </cell>
          <cell r="Z480">
            <v>0</v>
          </cell>
          <cell r="AA480">
            <v>0</v>
          </cell>
          <cell r="AB480" t="str">
            <v>anytime</v>
          </cell>
          <cell r="AC480">
            <v>8</v>
          </cell>
          <cell r="AD480">
            <v>6</v>
          </cell>
          <cell r="AE480" t="str">
            <v>everyone</v>
          </cell>
        </row>
        <row r="481">
          <cell r="A481" t="str">
            <v>20008_2</v>
          </cell>
          <cell r="B481">
            <v>3</v>
          </cell>
          <cell r="C481">
            <v>20008</v>
          </cell>
          <cell r="D481" t="str">
            <v>天翔ける金轟機龍</v>
          </cell>
          <cell r="E481" t="str">
            <v>ドロップイベント2-4</v>
          </cell>
          <cell r="F481">
            <v>2</v>
          </cell>
          <cell r="G481" t="str">
            <v>ja</v>
          </cell>
          <cell r="H481" t="str">
            <v>【中級】天翔ける金轟機龍</v>
          </cell>
          <cell r="I481" t="str">
            <v>中級</v>
          </cell>
          <cell r="J481">
            <v>284</v>
          </cell>
          <cell r="K481">
            <v>15</v>
          </cell>
          <cell r="L481">
            <v>1200</v>
          </cell>
          <cell r="M481">
            <v>1</v>
          </cell>
          <cell r="N481">
            <v>1</v>
          </cell>
          <cell r="O481">
            <v>1</v>
          </cell>
          <cell r="P481">
            <v>1</v>
          </cell>
          <cell r="Q481">
            <v>1</v>
          </cell>
          <cell r="R481">
            <v>3</v>
          </cell>
          <cell r="S481" t="str">
            <v>none</v>
          </cell>
          <cell r="T481">
            <v>0</v>
          </cell>
          <cell r="U481" t="str">
            <v>NULL</v>
          </cell>
          <cell r="V481" t="str">
            <v>NULL</v>
          </cell>
          <cell r="W481" t="str">
            <v/>
          </cell>
          <cell r="X481">
            <v>0</v>
          </cell>
          <cell r="Y481">
            <v>0</v>
          </cell>
          <cell r="Z481">
            <v>0</v>
          </cell>
          <cell r="AA481">
            <v>0</v>
          </cell>
          <cell r="AB481" t="str">
            <v>anytime</v>
          </cell>
          <cell r="AC481">
            <v>8</v>
          </cell>
          <cell r="AD481">
            <v>6</v>
          </cell>
          <cell r="AE481" t="str">
            <v>everyone</v>
          </cell>
        </row>
        <row r="482">
          <cell r="A482" t="str">
            <v>20008_3</v>
          </cell>
          <cell r="B482">
            <v>3</v>
          </cell>
          <cell r="C482">
            <v>20008</v>
          </cell>
          <cell r="D482" t="str">
            <v>天翔ける金轟機龍</v>
          </cell>
          <cell r="E482" t="str">
            <v>ドロップイベント2-4</v>
          </cell>
          <cell r="F482">
            <v>3</v>
          </cell>
          <cell r="G482" t="str">
            <v>ja</v>
          </cell>
          <cell r="H482" t="str">
            <v>【上級】天翔ける金轟機龍</v>
          </cell>
          <cell r="I482" t="str">
            <v>上級</v>
          </cell>
          <cell r="J482">
            <v>285</v>
          </cell>
          <cell r="K482">
            <v>20</v>
          </cell>
          <cell r="L482">
            <v>2000</v>
          </cell>
          <cell r="M482">
            <v>1</v>
          </cell>
          <cell r="N482">
            <v>1</v>
          </cell>
          <cell r="O482">
            <v>1</v>
          </cell>
          <cell r="P482">
            <v>1</v>
          </cell>
          <cell r="Q482">
            <v>1</v>
          </cell>
          <cell r="R482">
            <v>3</v>
          </cell>
          <cell r="S482" t="str">
            <v>polygon</v>
          </cell>
          <cell r="T482">
            <v>1</v>
          </cell>
          <cell r="U482" t="str">
            <v>NULL</v>
          </cell>
          <cell r="V482" t="str">
            <v>NULL</v>
          </cell>
          <cell r="W482" t="str">
            <v/>
          </cell>
          <cell r="X482">
            <v>0</v>
          </cell>
          <cell r="Y482">
            <v>0</v>
          </cell>
          <cell r="Z482">
            <v>0</v>
          </cell>
          <cell r="AA482">
            <v>0</v>
          </cell>
          <cell r="AB482" t="str">
            <v>anytime</v>
          </cell>
          <cell r="AC482">
            <v>8</v>
          </cell>
          <cell r="AD482">
            <v>6</v>
          </cell>
          <cell r="AE482" t="str">
            <v>everyone</v>
          </cell>
        </row>
        <row r="483">
          <cell r="A483" t="str">
            <v>20009_1</v>
          </cell>
          <cell r="B483">
            <v>0</v>
          </cell>
          <cell r="C483">
            <v>20009</v>
          </cell>
          <cell r="D483" t="str">
            <v>迫り来る窒息</v>
          </cell>
          <cell r="E483" t="str">
            <v>ドロップイベント3</v>
          </cell>
          <cell r="F483">
            <v>1</v>
          </cell>
          <cell r="G483" t="str">
            <v>ja</v>
          </cell>
          <cell r="H483" t="str">
            <v>【初級】迫り来る窒息</v>
          </cell>
          <cell r="I483" t="str">
            <v>初級</v>
          </cell>
          <cell r="J483" t="str">
            <v>NULL</v>
          </cell>
          <cell r="K483">
            <v>8</v>
          </cell>
          <cell r="L483">
            <v>384</v>
          </cell>
          <cell r="M483">
            <v>1</v>
          </cell>
          <cell r="N483">
            <v>1</v>
          </cell>
          <cell r="O483">
            <v>1</v>
          </cell>
          <cell r="P483">
            <v>1</v>
          </cell>
          <cell r="Q483">
            <v>1</v>
          </cell>
          <cell r="R483">
            <v>3</v>
          </cell>
          <cell r="S483" t="str">
            <v>none</v>
          </cell>
          <cell r="T483">
            <v>0</v>
          </cell>
          <cell r="U483" t="str">
            <v>NULL</v>
          </cell>
          <cell r="V483" t="str">
            <v>NULL</v>
          </cell>
          <cell r="W483" t="str">
            <v/>
          </cell>
          <cell r="X483">
            <v>0</v>
          </cell>
          <cell r="Y483">
            <v>0</v>
          </cell>
          <cell r="Z483">
            <v>0</v>
          </cell>
          <cell r="AA483">
            <v>0</v>
          </cell>
          <cell r="AB483" t="str">
            <v>anytime</v>
          </cell>
          <cell r="AC483">
            <v>25</v>
          </cell>
          <cell r="AD483">
            <v>5</v>
          </cell>
          <cell r="AE483" t="str">
            <v>everyone</v>
          </cell>
        </row>
        <row r="484">
          <cell r="A484" t="str">
            <v>20009_2</v>
          </cell>
          <cell r="B484">
            <v>3</v>
          </cell>
          <cell r="C484">
            <v>20009</v>
          </cell>
          <cell r="D484" t="str">
            <v>迫り来る窒息</v>
          </cell>
          <cell r="E484" t="str">
            <v>ドロップイベント3</v>
          </cell>
          <cell r="F484">
            <v>2</v>
          </cell>
          <cell r="G484" t="str">
            <v>ja</v>
          </cell>
          <cell r="H484" t="str">
            <v>【中級】迫り来る窒息</v>
          </cell>
          <cell r="I484" t="str">
            <v>中級</v>
          </cell>
          <cell r="J484">
            <v>302</v>
          </cell>
          <cell r="K484">
            <v>15</v>
          </cell>
          <cell r="L484">
            <v>1200</v>
          </cell>
          <cell r="M484">
            <v>1</v>
          </cell>
          <cell r="N484">
            <v>1</v>
          </cell>
          <cell r="O484">
            <v>1</v>
          </cell>
          <cell r="P484">
            <v>1</v>
          </cell>
          <cell r="Q484">
            <v>1</v>
          </cell>
          <cell r="R484">
            <v>3</v>
          </cell>
          <cell r="S484" t="str">
            <v>none</v>
          </cell>
          <cell r="T484">
            <v>0</v>
          </cell>
          <cell r="U484" t="str">
            <v>NULL</v>
          </cell>
          <cell r="V484" t="str">
            <v>NULL</v>
          </cell>
          <cell r="W484" t="str">
            <v/>
          </cell>
          <cell r="X484">
            <v>0</v>
          </cell>
          <cell r="Y484">
            <v>0</v>
          </cell>
          <cell r="Z484">
            <v>0</v>
          </cell>
          <cell r="AA484">
            <v>0</v>
          </cell>
          <cell r="AB484" t="str">
            <v>anytime</v>
          </cell>
          <cell r="AC484">
            <v>25</v>
          </cell>
          <cell r="AD484">
            <v>5</v>
          </cell>
          <cell r="AE484" t="str">
            <v>everyone</v>
          </cell>
        </row>
        <row r="485">
          <cell r="A485" t="str">
            <v>20009_3</v>
          </cell>
          <cell r="B485">
            <v>3</v>
          </cell>
          <cell r="C485">
            <v>20009</v>
          </cell>
          <cell r="D485" t="str">
            <v>迫り来る窒息</v>
          </cell>
          <cell r="E485" t="str">
            <v>ドロップイベント3</v>
          </cell>
          <cell r="F485">
            <v>3</v>
          </cell>
          <cell r="G485" t="str">
            <v>ja</v>
          </cell>
          <cell r="H485" t="str">
            <v>【上級】迫り来る窒息</v>
          </cell>
          <cell r="I485" t="str">
            <v>上級</v>
          </cell>
          <cell r="J485">
            <v>303</v>
          </cell>
          <cell r="K485">
            <v>20</v>
          </cell>
          <cell r="L485">
            <v>2000</v>
          </cell>
          <cell r="M485">
            <v>1</v>
          </cell>
          <cell r="N485">
            <v>1</v>
          </cell>
          <cell r="O485">
            <v>1</v>
          </cell>
          <cell r="P485">
            <v>1</v>
          </cell>
          <cell r="Q485">
            <v>1</v>
          </cell>
          <cell r="R485">
            <v>3</v>
          </cell>
          <cell r="S485" t="str">
            <v>polygon</v>
          </cell>
          <cell r="T485">
            <v>1</v>
          </cell>
          <cell r="U485" t="str">
            <v>NULL</v>
          </cell>
          <cell r="V485" t="str">
            <v>NULL</v>
          </cell>
          <cell r="W485" t="str">
            <v/>
          </cell>
          <cell r="X485">
            <v>0</v>
          </cell>
          <cell r="Y485">
            <v>0</v>
          </cell>
          <cell r="Z485">
            <v>0</v>
          </cell>
          <cell r="AA485">
            <v>0</v>
          </cell>
          <cell r="AB485" t="str">
            <v>anytime</v>
          </cell>
          <cell r="AC485">
            <v>25</v>
          </cell>
          <cell r="AD485">
            <v>5</v>
          </cell>
          <cell r="AE485" t="str">
            <v>everyone</v>
          </cell>
        </row>
        <row r="486">
          <cell r="A486" t="str">
            <v>20010_1</v>
          </cell>
          <cell r="B486">
            <v>3</v>
          </cell>
          <cell r="C486">
            <v>20010</v>
          </cell>
          <cell r="D486" t="str">
            <v>悪夢の一目惚れ</v>
          </cell>
          <cell r="E486" t="str">
            <v>ドロップイベント3</v>
          </cell>
          <cell r="F486">
            <v>1</v>
          </cell>
          <cell r="G486" t="str">
            <v>ja</v>
          </cell>
          <cell r="H486" t="str">
            <v>【初級】悪夢の一目惚れ</v>
          </cell>
          <cell r="I486" t="str">
            <v>初級</v>
          </cell>
          <cell r="J486">
            <v>304</v>
          </cell>
          <cell r="K486">
            <v>8</v>
          </cell>
          <cell r="L486">
            <v>384</v>
          </cell>
          <cell r="M486">
            <v>1</v>
          </cell>
          <cell r="N486">
            <v>1</v>
          </cell>
          <cell r="O486">
            <v>0</v>
          </cell>
          <cell r="P486">
            <v>1</v>
          </cell>
          <cell r="Q486">
            <v>1</v>
          </cell>
          <cell r="R486">
            <v>3</v>
          </cell>
          <cell r="S486" t="str">
            <v>none</v>
          </cell>
          <cell r="T486">
            <v>0</v>
          </cell>
          <cell r="U486" t="str">
            <v>NULL</v>
          </cell>
          <cell r="V486" t="str">
            <v>NULL</v>
          </cell>
          <cell r="W486" t="str">
            <v/>
          </cell>
          <cell r="X486">
            <v>0</v>
          </cell>
          <cell r="Y486">
            <v>0</v>
          </cell>
          <cell r="Z486">
            <v>0</v>
          </cell>
          <cell r="AA486">
            <v>0</v>
          </cell>
          <cell r="AB486" t="str">
            <v>anytime</v>
          </cell>
          <cell r="AC486">
            <v>2601</v>
          </cell>
          <cell r="AD486">
            <v>6</v>
          </cell>
          <cell r="AE486" t="str">
            <v>everyone</v>
          </cell>
        </row>
        <row r="487">
          <cell r="A487" t="str">
            <v>20010_2</v>
          </cell>
          <cell r="B487">
            <v>3</v>
          </cell>
          <cell r="C487">
            <v>20010</v>
          </cell>
          <cell r="D487" t="str">
            <v>悪夢の一目惚れ</v>
          </cell>
          <cell r="E487" t="str">
            <v>ドロップイベント3</v>
          </cell>
          <cell r="F487">
            <v>2</v>
          </cell>
          <cell r="G487" t="str">
            <v>ja</v>
          </cell>
          <cell r="H487" t="str">
            <v>【中級】悪夢の一目惚れ</v>
          </cell>
          <cell r="I487" t="str">
            <v>中級</v>
          </cell>
          <cell r="J487">
            <v>304</v>
          </cell>
          <cell r="K487">
            <v>15</v>
          </cell>
          <cell r="L487">
            <v>1200</v>
          </cell>
          <cell r="M487">
            <v>1</v>
          </cell>
          <cell r="N487">
            <v>1</v>
          </cell>
          <cell r="O487">
            <v>0</v>
          </cell>
          <cell r="P487">
            <v>1</v>
          </cell>
          <cell r="Q487">
            <v>1</v>
          </cell>
          <cell r="R487">
            <v>3</v>
          </cell>
          <cell r="S487" t="str">
            <v>none</v>
          </cell>
          <cell r="T487">
            <v>0</v>
          </cell>
          <cell r="U487" t="str">
            <v>NULL</v>
          </cell>
          <cell r="V487" t="str">
            <v>NULL</v>
          </cell>
          <cell r="W487" t="str">
            <v/>
          </cell>
          <cell r="X487">
            <v>0</v>
          </cell>
          <cell r="Y487">
            <v>0</v>
          </cell>
          <cell r="Z487">
            <v>0</v>
          </cell>
          <cell r="AA487">
            <v>0</v>
          </cell>
          <cell r="AB487" t="str">
            <v>anytime</v>
          </cell>
          <cell r="AC487">
            <v>2601</v>
          </cell>
          <cell r="AD487">
            <v>6</v>
          </cell>
          <cell r="AE487" t="str">
            <v>everyone</v>
          </cell>
        </row>
        <row r="488">
          <cell r="A488" t="str">
            <v>20010_3</v>
          </cell>
          <cell r="B488">
            <v>3</v>
          </cell>
          <cell r="C488">
            <v>20010</v>
          </cell>
          <cell r="D488" t="str">
            <v>悪夢の一目惚れ</v>
          </cell>
          <cell r="E488" t="str">
            <v>ドロップイベント3</v>
          </cell>
          <cell r="F488">
            <v>3</v>
          </cell>
          <cell r="G488" t="str">
            <v>ja</v>
          </cell>
          <cell r="H488" t="str">
            <v>【上級】悪夢の一目惚れ</v>
          </cell>
          <cell r="I488" t="str">
            <v>上級</v>
          </cell>
          <cell r="J488">
            <v>305</v>
          </cell>
          <cell r="K488">
            <v>20</v>
          </cell>
          <cell r="L488">
            <v>2000</v>
          </cell>
          <cell r="M488">
            <v>1</v>
          </cell>
          <cell r="N488">
            <v>1</v>
          </cell>
          <cell r="O488">
            <v>0</v>
          </cell>
          <cell r="P488">
            <v>1</v>
          </cell>
          <cell r="Q488">
            <v>1</v>
          </cell>
          <cell r="R488">
            <v>3</v>
          </cell>
          <cell r="S488" t="str">
            <v>polygon</v>
          </cell>
          <cell r="T488">
            <v>1</v>
          </cell>
          <cell r="U488" t="str">
            <v>NULL</v>
          </cell>
          <cell r="V488" t="str">
            <v>NULL</v>
          </cell>
          <cell r="W488" t="str">
            <v/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 t="str">
            <v>anytime</v>
          </cell>
          <cell r="AC488">
            <v>2601</v>
          </cell>
          <cell r="AD488">
            <v>6</v>
          </cell>
          <cell r="AE488" t="str">
            <v>everyone</v>
          </cell>
        </row>
        <row r="489">
          <cell r="A489" t="str">
            <v>20011_1</v>
          </cell>
          <cell r="B489">
            <v>3</v>
          </cell>
          <cell r="C489">
            <v>20011</v>
          </cell>
          <cell r="D489" t="str">
            <v>すべてが灰になる</v>
          </cell>
          <cell r="E489" t="str">
            <v>ドロップイベント3</v>
          </cell>
          <cell r="F489">
            <v>1</v>
          </cell>
          <cell r="G489" t="str">
            <v>ja</v>
          </cell>
          <cell r="H489" t="str">
            <v>【初級】すべてが灰になる</v>
          </cell>
          <cell r="I489" t="str">
            <v>初級</v>
          </cell>
          <cell r="J489">
            <v>298</v>
          </cell>
          <cell r="K489">
            <v>8</v>
          </cell>
          <cell r="L489">
            <v>384</v>
          </cell>
          <cell r="M489">
            <v>1</v>
          </cell>
          <cell r="N489">
            <v>1</v>
          </cell>
          <cell r="O489">
            <v>1</v>
          </cell>
          <cell r="P489">
            <v>1</v>
          </cell>
          <cell r="Q489">
            <v>1</v>
          </cell>
          <cell r="R489">
            <v>3</v>
          </cell>
          <cell r="S489" t="str">
            <v>none</v>
          </cell>
          <cell r="T489">
            <v>0</v>
          </cell>
          <cell r="U489" t="str">
            <v>NULL</v>
          </cell>
          <cell r="V489" t="str">
            <v>NULL</v>
          </cell>
          <cell r="W489" t="str">
            <v/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 t="str">
            <v>anytime</v>
          </cell>
          <cell r="AC489">
            <v>10</v>
          </cell>
          <cell r="AD489">
            <v>5</v>
          </cell>
          <cell r="AE489" t="str">
            <v>everyone</v>
          </cell>
        </row>
        <row r="490">
          <cell r="A490" t="str">
            <v>20011_2</v>
          </cell>
          <cell r="B490">
            <v>3</v>
          </cell>
          <cell r="C490">
            <v>20011</v>
          </cell>
          <cell r="D490" t="str">
            <v>すべてが灰になる</v>
          </cell>
          <cell r="E490" t="str">
            <v>ドロップイベント3</v>
          </cell>
          <cell r="F490">
            <v>2</v>
          </cell>
          <cell r="G490" t="str">
            <v>ja</v>
          </cell>
          <cell r="H490" t="str">
            <v>【中級】すべてが灰になる</v>
          </cell>
          <cell r="I490" t="str">
            <v>中級</v>
          </cell>
          <cell r="J490">
            <v>298</v>
          </cell>
          <cell r="K490">
            <v>15</v>
          </cell>
          <cell r="L490">
            <v>1200</v>
          </cell>
          <cell r="M490">
            <v>1</v>
          </cell>
          <cell r="N490">
            <v>1</v>
          </cell>
          <cell r="O490">
            <v>1</v>
          </cell>
          <cell r="P490">
            <v>1</v>
          </cell>
          <cell r="Q490">
            <v>1</v>
          </cell>
          <cell r="R490">
            <v>3</v>
          </cell>
          <cell r="S490" t="str">
            <v>none</v>
          </cell>
          <cell r="T490">
            <v>0</v>
          </cell>
          <cell r="U490" t="str">
            <v>NULL</v>
          </cell>
          <cell r="V490" t="str">
            <v>NULL</v>
          </cell>
          <cell r="W490" t="str">
            <v/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 t="str">
            <v>anytime</v>
          </cell>
          <cell r="AC490">
            <v>10</v>
          </cell>
          <cell r="AD490">
            <v>5</v>
          </cell>
          <cell r="AE490" t="str">
            <v>everyone</v>
          </cell>
        </row>
        <row r="491">
          <cell r="A491" t="str">
            <v>20011_3</v>
          </cell>
          <cell r="B491">
            <v>3</v>
          </cell>
          <cell r="C491">
            <v>20011</v>
          </cell>
          <cell r="D491" t="str">
            <v>すべてが灰になる</v>
          </cell>
          <cell r="E491" t="str">
            <v>ドロップイベント3</v>
          </cell>
          <cell r="F491">
            <v>3</v>
          </cell>
          <cell r="G491" t="str">
            <v>ja</v>
          </cell>
          <cell r="H491" t="str">
            <v>【上級】すべてが灰になる</v>
          </cell>
          <cell r="I491" t="str">
            <v>上級</v>
          </cell>
          <cell r="J491">
            <v>299</v>
          </cell>
          <cell r="K491">
            <v>20</v>
          </cell>
          <cell r="L491">
            <v>2000</v>
          </cell>
          <cell r="M491">
            <v>1</v>
          </cell>
          <cell r="N491">
            <v>1</v>
          </cell>
          <cell r="O491">
            <v>1</v>
          </cell>
          <cell r="P491">
            <v>1</v>
          </cell>
          <cell r="Q491">
            <v>1</v>
          </cell>
          <cell r="R491">
            <v>3</v>
          </cell>
          <cell r="S491" t="str">
            <v>polygon</v>
          </cell>
          <cell r="T491">
            <v>1</v>
          </cell>
          <cell r="U491" t="str">
            <v>NULL</v>
          </cell>
          <cell r="V491" t="str">
            <v>NULL</v>
          </cell>
          <cell r="W491" t="str">
            <v/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  <cell r="AB491" t="str">
            <v>anytime</v>
          </cell>
          <cell r="AC491">
            <v>10</v>
          </cell>
          <cell r="AD491">
            <v>5</v>
          </cell>
          <cell r="AE491" t="str">
            <v>everyone</v>
          </cell>
        </row>
        <row r="492">
          <cell r="A492" t="str">
            <v>20012_1</v>
          </cell>
          <cell r="B492">
            <v>3</v>
          </cell>
          <cell r="C492">
            <v>20012</v>
          </cell>
          <cell r="D492" t="str">
            <v>罪と劇薬</v>
          </cell>
          <cell r="E492" t="str">
            <v>ドロップイベント3</v>
          </cell>
          <cell r="F492">
            <v>1</v>
          </cell>
          <cell r="G492" t="str">
            <v>ja</v>
          </cell>
          <cell r="H492" t="str">
            <v>【初級】罪と劇薬</v>
          </cell>
          <cell r="I492" t="str">
            <v>初級</v>
          </cell>
          <cell r="J492">
            <v>300</v>
          </cell>
          <cell r="K492">
            <v>8</v>
          </cell>
          <cell r="L492">
            <v>384</v>
          </cell>
          <cell r="M492">
            <v>0</v>
          </cell>
          <cell r="N492">
            <v>1</v>
          </cell>
          <cell r="O492">
            <v>1</v>
          </cell>
          <cell r="P492">
            <v>1</v>
          </cell>
          <cell r="Q492">
            <v>1</v>
          </cell>
          <cell r="R492">
            <v>3</v>
          </cell>
          <cell r="S492" t="str">
            <v>none</v>
          </cell>
          <cell r="T492">
            <v>0</v>
          </cell>
          <cell r="U492" t="str">
            <v>NULL</v>
          </cell>
          <cell r="V492" t="str">
            <v>NULL</v>
          </cell>
          <cell r="W492" t="str">
            <v/>
          </cell>
          <cell r="X492">
            <v>0</v>
          </cell>
          <cell r="Y492">
            <v>0</v>
          </cell>
          <cell r="Z492">
            <v>0</v>
          </cell>
          <cell r="AA492">
            <v>0</v>
          </cell>
          <cell r="AB492" t="str">
            <v>anytime</v>
          </cell>
          <cell r="AC492">
            <v>19</v>
          </cell>
          <cell r="AD492">
            <v>6</v>
          </cell>
          <cell r="AE492" t="str">
            <v>everyone</v>
          </cell>
        </row>
        <row r="493">
          <cell r="A493" t="str">
            <v>20012_2</v>
          </cell>
          <cell r="B493">
            <v>3</v>
          </cell>
          <cell r="C493">
            <v>20012</v>
          </cell>
          <cell r="D493" t="str">
            <v>罪と劇薬</v>
          </cell>
          <cell r="E493" t="str">
            <v>ドロップイベント3</v>
          </cell>
          <cell r="F493">
            <v>2</v>
          </cell>
          <cell r="G493" t="str">
            <v>ja</v>
          </cell>
          <cell r="H493" t="str">
            <v>【中級】罪と劇薬</v>
          </cell>
          <cell r="I493" t="str">
            <v>中級</v>
          </cell>
          <cell r="J493">
            <v>300</v>
          </cell>
          <cell r="K493">
            <v>15</v>
          </cell>
          <cell r="L493">
            <v>1200</v>
          </cell>
          <cell r="M493">
            <v>0</v>
          </cell>
          <cell r="N493">
            <v>1</v>
          </cell>
          <cell r="O493">
            <v>1</v>
          </cell>
          <cell r="P493">
            <v>1</v>
          </cell>
          <cell r="Q493">
            <v>1</v>
          </cell>
          <cell r="R493">
            <v>3</v>
          </cell>
          <cell r="S493" t="str">
            <v>none</v>
          </cell>
          <cell r="T493">
            <v>0</v>
          </cell>
          <cell r="U493" t="str">
            <v>NULL</v>
          </cell>
          <cell r="V493" t="str">
            <v>NULL</v>
          </cell>
          <cell r="W493" t="str">
            <v/>
          </cell>
          <cell r="X493">
            <v>0</v>
          </cell>
          <cell r="Y493">
            <v>0</v>
          </cell>
          <cell r="Z493">
            <v>0</v>
          </cell>
          <cell r="AA493">
            <v>0</v>
          </cell>
          <cell r="AB493" t="str">
            <v>anytime</v>
          </cell>
          <cell r="AC493">
            <v>19</v>
          </cell>
          <cell r="AD493">
            <v>6</v>
          </cell>
          <cell r="AE493" t="str">
            <v>everyone</v>
          </cell>
        </row>
        <row r="494">
          <cell r="A494" t="str">
            <v>20012_3</v>
          </cell>
          <cell r="B494">
            <v>3</v>
          </cell>
          <cell r="C494">
            <v>20012</v>
          </cell>
          <cell r="D494" t="str">
            <v>罪と劇薬</v>
          </cell>
          <cell r="E494" t="str">
            <v>ドロップイベント3</v>
          </cell>
          <cell r="F494">
            <v>3</v>
          </cell>
          <cell r="G494" t="str">
            <v>ja</v>
          </cell>
          <cell r="H494" t="str">
            <v>【上級】罪と劇薬</v>
          </cell>
          <cell r="I494" t="str">
            <v>上級</v>
          </cell>
          <cell r="J494">
            <v>301</v>
          </cell>
          <cell r="K494">
            <v>20</v>
          </cell>
          <cell r="L494">
            <v>2000</v>
          </cell>
          <cell r="M494">
            <v>0</v>
          </cell>
          <cell r="N494">
            <v>1</v>
          </cell>
          <cell r="O494">
            <v>1</v>
          </cell>
          <cell r="P494">
            <v>1</v>
          </cell>
          <cell r="Q494">
            <v>1</v>
          </cell>
          <cell r="R494">
            <v>3</v>
          </cell>
          <cell r="S494" t="str">
            <v>polygon</v>
          </cell>
          <cell r="T494">
            <v>1</v>
          </cell>
          <cell r="U494" t="str">
            <v>NULL</v>
          </cell>
          <cell r="V494" t="str">
            <v>NULL</v>
          </cell>
          <cell r="W494" t="str">
            <v/>
          </cell>
          <cell r="X494">
            <v>0</v>
          </cell>
          <cell r="Y494">
            <v>0</v>
          </cell>
          <cell r="Z494">
            <v>0</v>
          </cell>
          <cell r="AA494">
            <v>0</v>
          </cell>
          <cell r="AB494" t="str">
            <v>anytime</v>
          </cell>
          <cell r="AC494">
            <v>19</v>
          </cell>
          <cell r="AD494">
            <v>6</v>
          </cell>
          <cell r="AE494" t="str">
            <v>everyone</v>
          </cell>
        </row>
        <row r="495">
          <cell r="A495" t="str">
            <v>20013_1</v>
          </cell>
          <cell r="B495">
            <v>3</v>
          </cell>
          <cell r="C495">
            <v>20013</v>
          </cell>
          <cell r="D495" t="str">
            <v>天の時、地の利、人の和</v>
          </cell>
          <cell r="E495" t="str">
            <v>ドロップイベント4</v>
          </cell>
          <cell r="F495">
            <v>1</v>
          </cell>
          <cell r="G495" t="str">
            <v>ja</v>
          </cell>
          <cell r="H495" t="str">
            <v>【初級】天の時、地の利、人の和</v>
          </cell>
          <cell r="I495" t="str">
            <v>初級</v>
          </cell>
          <cell r="J495">
            <v>720</v>
          </cell>
          <cell r="K495">
            <v>8</v>
          </cell>
          <cell r="L495">
            <v>384</v>
          </cell>
          <cell r="M495">
            <v>1</v>
          </cell>
          <cell r="N495">
            <v>1</v>
          </cell>
          <cell r="O495">
            <v>1</v>
          </cell>
          <cell r="P495">
            <v>1</v>
          </cell>
          <cell r="Q495">
            <v>1</v>
          </cell>
          <cell r="R495">
            <v>3</v>
          </cell>
          <cell r="S495" t="str">
            <v>none</v>
          </cell>
          <cell r="T495">
            <v>0</v>
          </cell>
          <cell r="U495" t="str">
            <v>NULL</v>
          </cell>
          <cell r="V495" t="str">
            <v>NULL</v>
          </cell>
          <cell r="W495" t="str">
            <v/>
          </cell>
          <cell r="X495">
            <v>0</v>
          </cell>
          <cell r="Y495">
            <v>0</v>
          </cell>
          <cell r="Z495">
            <v>0</v>
          </cell>
          <cell r="AA495">
            <v>0</v>
          </cell>
          <cell r="AB495" t="str">
            <v>anytime</v>
          </cell>
          <cell r="AC495">
            <v>10</v>
          </cell>
          <cell r="AD495">
            <v>6</v>
          </cell>
          <cell r="AE495" t="str">
            <v>everyone</v>
          </cell>
        </row>
        <row r="496">
          <cell r="A496" t="str">
            <v>20013_2</v>
          </cell>
          <cell r="B496">
            <v>3</v>
          </cell>
          <cell r="C496">
            <v>20013</v>
          </cell>
          <cell r="D496" t="str">
            <v>天の時、地の利、人の和</v>
          </cell>
          <cell r="E496" t="str">
            <v>ドロップイベント4</v>
          </cell>
          <cell r="F496">
            <v>2</v>
          </cell>
          <cell r="G496" t="str">
            <v>ja</v>
          </cell>
          <cell r="H496" t="str">
            <v>【中級】天の時、地の利、人の和</v>
          </cell>
          <cell r="I496" t="str">
            <v>中級</v>
          </cell>
          <cell r="J496">
            <v>720</v>
          </cell>
          <cell r="K496">
            <v>15</v>
          </cell>
          <cell r="L496">
            <v>1200</v>
          </cell>
          <cell r="M496">
            <v>1</v>
          </cell>
          <cell r="N496">
            <v>1</v>
          </cell>
          <cell r="O496">
            <v>1</v>
          </cell>
          <cell r="P496">
            <v>1</v>
          </cell>
          <cell r="Q496">
            <v>1</v>
          </cell>
          <cell r="R496">
            <v>3</v>
          </cell>
          <cell r="S496" t="str">
            <v>none</v>
          </cell>
          <cell r="T496">
            <v>0</v>
          </cell>
          <cell r="U496" t="str">
            <v>NULL</v>
          </cell>
          <cell r="V496" t="str">
            <v>NULL</v>
          </cell>
          <cell r="W496" t="str">
            <v/>
          </cell>
          <cell r="X496">
            <v>0</v>
          </cell>
          <cell r="Y496">
            <v>0</v>
          </cell>
          <cell r="Z496">
            <v>0</v>
          </cell>
          <cell r="AA496">
            <v>0</v>
          </cell>
          <cell r="AB496" t="str">
            <v>anytime</v>
          </cell>
          <cell r="AC496">
            <v>10</v>
          </cell>
          <cell r="AD496">
            <v>6</v>
          </cell>
          <cell r="AE496" t="str">
            <v>everyone</v>
          </cell>
        </row>
        <row r="497">
          <cell r="A497" t="str">
            <v>20013_3</v>
          </cell>
          <cell r="B497">
            <v>3</v>
          </cell>
          <cell r="C497">
            <v>20013</v>
          </cell>
          <cell r="D497" t="str">
            <v>天の時、地の利、人の和</v>
          </cell>
          <cell r="E497" t="str">
            <v>ドロップイベント4</v>
          </cell>
          <cell r="F497">
            <v>3</v>
          </cell>
          <cell r="G497" t="str">
            <v>ja</v>
          </cell>
          <cell r="H497" t="str">
            <v>【上級】天の時、地の利、人の和</v>
          </cell>
          <cell r="I497" t="str">
            <v>上級</v>
          </cell>
          <cell r="J497">
            <v>721</v>
          </cell>
          <cell r="K497">
            <v>20</v>
          </cell>
          <cell r="L497">
            <v>2000</v>
          </cell>
          <cell r="M497">
            <v>1</v>
          </cell>
          <cell r="N497">
            <v>1</v>
          </cell>
          <cell r="O497">
            <v>1</v>
          </cell>
          <cell r="P497">
            <v>1</v>
          </cell>
          <cell r="Q497">
            <v>1</v>
          </cell>
          <cell r="R497">
            <v>3</v>
          </cell>
          <cell r="S497" t="str">
            <v>polygon</v>
          </cell>
          <cell r="T497">
            <v>1</v>
          </cell>
          <cell r="U497" t="str">
            <v>NULL</v>
          </cell>
          <cell r="V497" t="str">
            <v>NULL</v>
          </cell>
          <cell r="W497" t="str">
            <v/>
          </cell>
          <cell r="X497">
            <v>0</v>
          </cell>
          <cell r="Y497">
            <v>0</v>
          </cell>
          <cell r="Z497">
            <v>0</v>
          </cell>
          <cell r="AA497">
            <v>0</v>
          </cell>
          <cell r="AB497" t="str">
            <v>anytime</v>
          </cell>
          <cell r="AC497">
            <v>10</v>
          </cell>
          <cell r="AD497">
            <v>6</v>
          </cell>
          <cell r="AE497" t="str">
            <v>everyone</v>
          </cell>
        </row>
        <row r="498">
          <cell r="A498" t="str">
            <v>20014_1</v>
          </cell>
          <cell r="B498">
            <v>3</v>
          </cell>
          <cell r="C498">
            <v>20014</v>
          </cell>
          <cell r="D498" t="str">
            <v>魅了する歌声</v>
          </cell>
          <cell r="E498" t="str">
            <v>天使と悪魔編1</v>
          </cell>
          <cell r="F498">
            <v>1</v>
          </cell>
          <cell r="G498" t="str">
            <v>ja</v>
          </cell>
          <cell r="H498" t="str">
            <v>【初級】魅了する歌声</v>
          </cell>
          <cell r="I498" t="str">
            <v>初級</v>
          </cell>
          <cell r="J498">
            <v>842</v>
          </cell>
          <cell r="K498">
            <v>8</v>
          </cell>
          <cell r="L498">
            <v>384</v>
          </cell>
          <cell r="M498">
            <v>1</v>
          </cell>
          <cell r="N498">
            <v>1</v>
          </cell>
          <cell r="O498">
            <v>1</v>
          </cell>
          <cell r="P498">
            <v>1</v>
          </cell>
          <cell r="Q498">
            <v>1</v>
          </cell>
          <cell r="R498">
            <v>3</v>
          </cell>
          <cell r="S498" t="str">
            <v>none</v>
          </cell>
          <cell r="T498">
            <v>0</v>
          </cell>
          <cell r="U498" t="str">
            <v>NULL</v>
          </cell>
          <cell r="V498" t="str">
            <v>NULL</v>
          </cell>
          <cell r="W498" t="str">
            <v/>
          </cell>
          <cell r="X498">
            <v>0</v>
          </cell>
          <cell r="Y498">
            <v>0</v>
          </cell>
          <cell r="Z498">
            <v>0</v>
          </cell>
          <cell r="AA498">
            <v>0</v>
          </cell>
          <cell r="AB498" t="str">
            <v>anytime</v>
          </cell>
          <cell r="AC498">
            <v>17</v>
          </cell>
          <cell r="AD498">
            <v>4</v>
          </cell>
          <cell r="AE498" t="str">
            <v>everyone</v>
          </cell>
        </row>
        <row r="499">
          <cell r="A499" t="str">
            <v>20014_2</v>
          </cell>
          <cell r="B499">
            <v>3</v>
          </cell>
          <cell r="C499">
            <v>20014</v>
          </cell>
          <cell r="D499" t="str">
            <v>魅了する歌声</v>
          </cell>
          <cell r="E499" t="str">
            <v>天使と悪魔編1</v>
          </cell>
          <cell r="F499">
            <v>2</v>
          </cell>
          <cell r="G499" t="str">
            <v>ja</v>
          </cell>
          <cell r="H499" t="str">
            <v>【中級】魅了する歌声</v>
          </cell>
          <cell r="I499" t="str">
            <v>中級</v>
          </cell>
          <cell r="J499">
            <v>842</v>
          </cell>
          <cell r="K499">
            <v>15</v>
          </cell>
          <cell r="L499">
            <v>1200</v>
          </cell>
          <cell r="M499">
            <v>1</v>
          </cell>
          <cell r="N499">
            <v>1</v>
          </cell>
          <cell r="O499">
            <v>1</v>
          </cell>
          <cell r="P499">
            <v>1</v>
          </cell>
          <cell r="Q499">
            <v>1</v>
          </cell>
          <cell r="R499">
            <v>3</v>
          </cell>
          <cell r="S499" t="str">
            <v>none</v>
          </cell>
          <cell r="T499">
            <v>0</v>
          </cell>
          <cell r="U499" t="str">
            <v>NULL</v>
          </cell>
          <cell r="V499" t="str">
            <v>NULL</v>
          </cell>
          <cell r="W499" t="str">
            <v/>
          </cell>
          <cell r="X499">
            <v>0</v>
          </cell>
          <cell r="Y499">
            <v>0</v>
          </cell>
          <cell r="Z499">
            <v>0</v>
          </cell>
          <cell r="AA499">
            <v>0</v>
          </cell>
          <cell r="AB499" t="str">
            <v>anytime</v>
          </cell>
          <cell r="AC499">
            <v>17</v>
          </cell>
          <cell r="AD499">
            <v>4</v>
          </cell>
          <cell r="AE499" t="str">
            <v>everyone</v>
          </cell>
        </row>
        <row r="500">
          <cell r="A500" t="str">
            <v>20014_3</v>
          </cell>
          <cell r="B500">
            <v>3</v>
          </cell>
          <cell r="C500">
            <v>20014</v>
          </cell>
          <cell r="D500" t="str">
            <v>魅了する歌声</v>
          </cell>
          <cell r="E500" t="str">
            <v>天使と悪魔編1</v>
          </cell>
          <cell r="F500">
            <v>3</v>
          </cell>
          <cell r="G500" t="str">
            <v>ja</v>
          </cell>
          <cell r="H500" t="str">
            <v>【上級】魅了する歌声</v>
          </cell>
          <cell r="I500" t="str">
            <v>上級</v>
          </cell>
          <cell r="J500">
            <v>842</v>
          </cell>
          <cell r="K500">
            <v>20</v>
          </cell>
          <cell r="L500">
            <v>2000</v>
          </cell>
          <cell r="M500">
            <v>1</v>
          </cell>
          <cell r="N500">
            <v>1</v>
          </cell>
          <cell r="O500">
            <v>1</v>
          </cell>
          <cell r="P500">
            <v>1</v>
          </cell>
          <cell r="Q500">
            <v>1</v>
          </cell>
          <cell r="R500">
            <v>3</v>
          </cell>
          <cell r="S500" t="str">
            <v>polygon</v>
          </cell>
          <cell r="T500">
            <v>1</v>
          </cell>
          <cell r="U500" t="str">
            <v>NULL</v>
          </cell>
          <cell r="V500" t="str">
            <v>NULL</v>
          </cell>
          <cell r="W500" t="str">
            <v/>
          </cell>
          <cell r="X500">
            <v>0</v>
          </cell>
          <cell r="Y500">
            <v>0</v>
          </cell>
          <cell r="Z500">
            <v>0</v>
          </cell>
          <cell r="AA500">
            <v>0</v>
          </cell>
          <cell r="AB500" t="str">
            <v>anytime</v>
          </cell>
          <cell r="AC500">
            <v>17</v>
          </cell>
          <cell r="AD500">
            <v>4</v>
          </cell>
          <cell r="AE500" t="str">
            <v>everyone</v>
          </cell>
        </row>
        <row r="501">
          <cell r="A501" t="str">
            <v>20015_1</v>
          </cell>
          <cell r="B501">
            <v>3</v>
          </cell>
          <cell r="C501">
            <v>20015</v>
          </cell>
          <cell r="D501" t="str">
            <v>妄執とり憑く美貌の妃</v>
          </cell>
          <cell r="E501" t="str">
            <v>おとぎ話シリーズ3</v>
          </cell>
          <cell r="F501">
            <v>1</v>
          </cell>
          <cell r="G501" t="str">
            <v>ja</v>
          </cell>
          <cell r="H501" t="str">
            <v>【初級】妄執とり憑く美貌の妃</v>
          </cell>
          <cell r="I501" t="str">
            <v>初級</v>
          </cell>
          <cell r="J501">
            <v>856</v>
          </cell>
          <cell r="K501">
            <v>8</v>
          </cell>
          <cell r="L501">
            <v>384</v>
          </cell>
          <cell r="M501">
            <v>1</v>
          </cell>
          <cell r="N501">
            <v>1</v>
          </cell>
          <cell r="O501">
            <v>1</v>
          </cell>
          <cell r="P501">
            <v>1</v>
          </cell>
          <cell r="Q501">
            <v>1</v>
          </cell>
          <cell r="R501">
            <v>3</v>
          </cell>
          <cell r="S501" t="str">
            <v>none</v>
          </cell>
          <cell r="T501">
            <v>0</v>
          </cell>
          <cell r="U501" t="str">
            <v>NULL</v>
          </cell>
          <cell r="V501" t="str">
            <v>NULL</v>
          </cell>
          <cell r="W501" t="str">
            <v/>
          </cell>
          <cell r="X501">
            <v>0</v>
          </cell>
          <cell r="Y501">
            <v>0</v>
          </cell>
          <cell r="Z501">
            <v>0</v>
          </cell>
          <cell r="AA501">
            <v>0</v>
          </cell>
          <cell r="AB501" t="str">
            <v>anytime</v>
          </cell>
          <cell r="AC501">
            <v>6</v>
          </cell>
          <cell r="AD501">
            <v>6</v>
          </cell>
          <cell r="AE501" t="str">
            <v>everyone</v>
          </cell>
        </row>
        <row r="502">
          <cell r="A502" t="str">
            <v>20015_2</v>
          </cell>
          <cell r="B502">
            <v>3</v>
          </cell>
          <cell r="C502">
            <v>20015</v>
          </cell>
          <cell r="D502" t="str">
            <v>妄執とり憑く美貌の妃</v>
          </cell>
          <cell r="E502" t="str">
            <v>おとぎ話シリーズ3</v>
          </cell>
          <cell r="F502">
            <v>2</v>
          </cell>
          <cell r="G502" t="str">
            <v>ja</v>
          </cell>
          <cell r="H502" t="str">
            <v>【中級】妄執とり憑く美貌の妃</v>
          </cell>
          <cell r="I502" t="str">
            <v>中級</v>
          </cell>
          <cell r="J502">
            <v>856</v>
          </cell>
          <cell r="K502">
            <v>15</v>
          </cell>
          <cell r="L502">
            <v>1200</v>
          </cell>
          <cell r="M502">
            <v>1</v>
          </cell>
          <cell r="N502">
            <v>1</v>
          </cell>
          <cell r="O502">
            <v>1</v>
          </cell>
          <cell r="P502">
            <v>1</v>
          </cell>
          <cell r="Q502">
            <v>1</v>
          </cell>
          <cell r="R502">
            <v>3</v>
          </cell>
          <cell r="S502" t="str">
            <v>none</v>
          </cell>
          <cell r="T502">
            <v>0</v>
          </cell>
          <cell r="U502" t="str">
            <v>NULL</v>
          </cell>
          <cell r="V502" t="str">
            <v>NULL</v>
          </cell>
          <cell r="W502" t="str">
            <v/>
          </cell>
          <cell r="X502">
            <v>0</v>
          </cell>
          <cell r="Y502">
            <v>0</v>
          </cell>
          <cell r="Z502">
            <v>0</v>
          </cell>
          <cell r="AA502">
            <v>0</v>
          </cell>
          <cell r="AB502" t="str">
            <v>anytime</v>
          </cell>
          <cell r="AC502">
            <v>6</v>
          </cell>
          <cell r="AD502">
            <v>6</v>
          </cell>
          <cell r="AE502" t="str">
            <v>everyone</v>
          </cell>
        </row>
        <row r="503">
          <cell r="A503" t="str">
            <v>20015_3</v>
          </cell>
          <cell r="B503">
            <v>3</v>
          </cell>
          <cell r="C503">
            <v>20015</v>
          </cell>
          <cell r="D503" t="str">
            <v>妄執とり憑く美貌の妃</v>
          </cell>
          <cell r="E503" t="str">
            <v>おとぎ話シリーズ3</v>
          </cell>
          <cell r="F503">
            <v>3</v>
          </cell>
          <cell r="G503" t="str">
            <v>ja</v>
          </cell>
          <cell r="H503" t="str">
            <v>【上級】妄執とり憑く美貌の妃</v>
          </cell>
          <cell r="I503" t="str">
            <v>上級</v>
          </cell>
          <cell r="J503">
            <v>857</v>
          </cell>
          <cell r="K503">
            <v>20</v>
          </cell>
          <cell r="L503">
            <v>2000</v>
          </cell>
          <cell r="M503">
            <v>1</v>
          </cell>
          <cell r="N503">
            <v>1</v>
          </cell>
          <cell r="O503">
            <v>1</v>
          </cell>
          <cell r="P503">
            <v>1</v>
          </cell>
          <cell r="Q503">
            <v>1</v>
          </cell>
          <cell r="R503">
            <v>3</v>
          </cell>
          <cell r="S503" t="str">
            <v>polygon</v>
          </cell>
          <cell r="T503">
            <v>1</v>
          </cell>
          <cell r="U503" t="str">
            <v>NULL</v>
          </cell>
          <cell r="V503" t="str">
            <v>NULL</v>
          </cell>
          <cell r="W503" t="str">
            <v/>
          </cell>
          <cell r="X503">
            <v>0</v>
          </cell>
          <cell r="Y503">
            <v>0</v>
          </cell>
          <cell r="Z503">
            <v>0</v>
          </cell>
          <cell r="AA503">
            <v>0</v>
          </cell>
          <cell r="AB503" t="str">
            <v>anytime</v>
          </cell>
          <cell r="AC503">
            <v>6</v>
          </cell>
          <cell r="AD503">
            <v>6</v>
          </cell>
          <cell r="AE503" t="str">
            <v>everyone</v>
          </cell>
        </row>
        <row r="504">
          <cell r="A504" t="str">
            <v>20016_1</v>
          </cell>
          <cell r="B504">
            <v>3</v>
          </cell>
          <cell r="C504">
            <v>20016</v>
          </cell>
          <cell r="D504" t="str">
            <v>寡黙な翼竜の侵攻</v>
          </cell>
          <cell r="E504" t="str">
            <v>ギリシャ神話01</v>
          </cell>
          <cell r="F504">
            <v>1</v>
          </cell>
          <cell r="G504" t="str">
            <v>ja</v>
          </cell>
          <cell r="H504" t="str">
            <v>【初級】寡黙な翼竜の侵攻</v>
          </cell>
          <cell r="I504" t="str">
            <v>初級</v>
          </cell>
          <cell r="J504">
            <v>739</v>
          </cell>
          <cell r="K504">
            <v>8</v>
          </cell>
          <cell r="L504">
            <v>384</v>
          </cell>
          <cell r="M504">
            <v>1</v>
          </cell>
          <cell r="N504">
            <v>1</v>
          </cell>
          <cell r="O504">
            <v>1</v>
          </cell>
          <cell r="P504">
            <v>1</v>
          </cell>
          <cell r="Q504">
            <v>1</v>
          </cell>
          <cell r="R504">
            <v>3</v>
          </cell>
          <cell r="S504" t="str">
            <v>none</v>
          </cell>
          <cell r="T504">
            <v>0</v>
          </cell>
          <cell r="U504" t="str">
            <v>NULL</v>
          </cell>
          <cell r="V504" t="str">
            <v>NULL</v>
          </cell>
          <cell r="W504" t="str">
            <v/>
          </cell>
          <cell r="X504">
            <v>0</v>
          </cell>
          <cell r="Y504">
            <v>0</v>
          </cell>
          <cell r="Z504">
            <v>0</v>
          </cell>
          <cell r="AA504">
            <v>0</v>
          </cell>
          <cell r="AB504" t="str">
            <v>anytime</v>
          </cell>
          <cell r="AC504">
            <v>13</v>
          </cell>
          <cell r="AD504">
            <v>6</v>
          </cell>
          <cell r="AE504" t="str">
            <v>everyone</v>
          </cell>
        </row>
        <row r="505">
          <cell r="A505" t="str">
            <v>20016_2</v>
          </cell>
          <cell r="B505">
            <v>3</v>
          </cell>
          <cell r="C505">
            <v>20016</v>
          </cell>
          <cell r="D505" t="str">
            <v>寡黙な翼竜の侵攻</v>
          </cell>
          <cell r="E505" t="str">
            <v>ギリシャ神話01</v>
          </cell>
          <cell r="F505">
            <v>2</v>
          </cell>
          <cell r="G505" t="str">
            <v>ja</v>
          </cell>
          <cell r="H505" t="str">
            <v>【中級】寡黙な翼竜の侵攻</v>
          </cell>
          <cell r="I505" t="str">
            <v>中級</v>
          </cell>
          <cell r="J505">
            <v>739</v>
          </cell>
          <cell r="K505">
            <v>15</v>
          </cell>
          <cell r="L505">
            <v>1200</v>
          </cell>
          <cell r="M505">
            <v>1</v>
          </cell>
          <cell r="N505">
            <v>1</v>
          </cell>
          <cell r="O505">
            <v>1</v>
          </cell>
          <cell r="P505">
            <v>1</v>
          </cell>
          <cell r="Q505">
            <v>1</v>
          </cell>
          <cell r="R505">
            <v>3</v>
          </cell>
          <cell r="S505" t="str">
            <v>none</v>
          </cell>
          <cell r="T505">
            <v>0</v>
          </cell>
          <cell r="U505" t="str">
            <v>NULL</v>
          </cell>
          <cell r="V505" t="str">
            <v>NULL</v>
          </cell>
          <cell r="W505" t="str">
            <v/>
          </cell>
          <cell r="X505">
            <v>0</v>
          </cell>
          <cell r="Y505">
            <v>0</v>
          </cell>
          <cell r="Z505">
            <v>0</v>
          </cell>
          <cell r="AA505">
            <v>0</v>
          </cell>
          <cell r="AB505" t="str">
            <v>anytime</v>
          </cell>
          <cell r="AC505">
            <v>13</v>
          </cell>
          <cell r="AD505">
            <v>6</v>
          </cell>
          <cell r="AE505" t="str">
            <v>everyone</v>
          </cell>
        </row>
        <row r="506">
          <cell r="A506" t="str">
            <v>20016_3</v>
          </cell>
          <cell r="B506">
            <v>3</v>
          </cell>
          <cell r="C506">
            <v>20016</v>
          </cell>
          <cell r="D506" t="str">
            <v>寡黙な翼竜の侵攻</v>
          </cell>
          <cell r="E506" t="str">
            <v>ギリシャ神話01</v>
          </cell>
          <cell r="F506">
            <v>3</v>
          </cell>
          <cell r="G506" t="str">
            <v>ja</v>
          </cell>
          <cell r="H506" t="str">
            <v>【上級】寡黙な翼竜の侵攻</v>
          </cell>
          <cell r="I506" t="str">
            <v>上級</v>
          </cell>
          <cell r="J506">
            <v>739</v>
          </cell>
          <cell r="K506">
            <v>20</v>
          </cell>
          <cell r="L506">
            <v>2000</v>
          </cell>
          <cell r="M506">
            <v>1</v>
          </cell>
          <cell r="N506">
            <v>1</v>
          </cell>
          <cell r="O506">
            <v>1</v>
          </cell>
          <cell r="P506">
            <v>1</v>
          </cell>
          <cell r="Q506">
            <v>1</v>
          </cell>
          <cell r="R506">
            <v>3</v>
          </cell>
          <cell r="S506" t="str">
            <v>polygon</v>
          </cell>
          <cell r="T506">
            <v>1</v>
          </cell>
          <cell r="U506" t="str">
            <v>NULL</v>
          </cell>
          <cell r="V506" t="str">
            <v>NULL</v>
          </cell>
          <cell r="W506" t="str">
            <v/>
          </cell>
          <cell r="X506">
            <v>0</v>
          </cell>
          <cell r="Y506">
            <v>0</v>
          </cell>
          <cell r="Z506">
            <v>0</v>
          </cell>
          <cell r="AA506">
            <v>0</v>
          </cell>
          <cell r="AB506" t="str">
            <v>anytime</v>
          </cell>
          <cell r="AC506">
            <v>13</v>
          </cell>
          <cell r="AD506">
            <v>6</v>
          </cell>
          <cell r="AE506" t="str">
            <v>everyone</v>
          </cell>
        </row>
        <row r="507">
          <cell r="A507" t="str">
            <v>20017_1</v>
          </cell>
          <cell r="B507">
            <v>3</v>
          </cell>
          <cell r="C507">
            <v>20017</v>
          </cell>
          <cell r="D507" t="str">
            <v>隻腕の提督</v>
          </cell>
          <cell r="E507" t="str">
            <v>フランス革命01</v>
          </cell>
          <cell r="F507">
            <v>1</v>
          </cell>
          <cell r="G507" t="str">
            <v>ja</v>
          </cell>
          <cell r="H507" t="str">
            <v>【初級】隻腕の提督</v>
          </cell>
          <cell r="I507" t="str">
            <v>初級</v>
          </cell>
          <cell r="J507">
            <v>932</v>
          </cell>
          <cell r="K507">
            <v>8</v>
          </cell>
          <cell r="L507">
            <v>384</v>
          </cell>
          <cell r="M507">
            <v>1</v>
          </cell>
          <cell r="N507">
            <v>1</v>
          </cell>
          <cell r="O507">
            <v>1</v>
          </cell>
          <cell r="P507">
            <v>0</v>
          </cell>
          <cell r="Q507">
            <v>1</v>
          </cell>
          <cell r="R507">
            <v>3</v>
          </cell>
          <cell r="S507" t="str">
            <v>none</v>
          </cell>
          <cell r="T507">
            <v>0</v>
          </cell>
          <cell r="U507" t="str">
            <v>NULL</v>
          </cell>
          <cell r="V507" t="str">
            <v>NULL</v>
          </cell>
          <cell r="W507" t="str">
            <v/>
          </cell>
          <cell r="X507">
            <v>0</v>
          </cell>
          <cell r="Y507">
            <v>0</v>
          </cell>
          <cell r="Z507">
            <v>0</v>
          </cell>
          <cell r="AA507">
            <v>0</v>
          </cell>
          <cell r="AB507" t="str">
            <v>anytime</v>
          </cell>
          <cell r="AC507">
            <v>24</v>
          </cell>
          <cell r="AD507">
            <v>6</v>
          </cell>
          <cell r="AE507" t="str">
            <v>everyone</v>
          </cell>
        </row>
        <row r="508">
          <cell r="A508" t="str">
            <v>20017_2</v>
          </cell>
          <cell r="B508">
            <v>3</v>
          </cell>
          <cell r="C508">
            <v>20017</v>
          </cell>
          <cell r="D508" t="str">
            <v>隻腕の提督</v>
          </cell>
          <cell r="E508" t="str">
            <v>フランス革命01</v>
          </cell>
          <cell r="F508">
            <v>2</v>
          </cell>
          <cell r="G508" t="str">
            <v>ja</v>
          </cell>
          <cell r="H508" t="str">
            <v>【中級】隻腕の提督</v>
          </cell>
          <cell r="I508" t="str">
            <v>中級</v>
          </cell>
          <cell r="J508">
            <v>932</v>
          </cell>
          <cell r="K508">
            <v>15</v>
          </cell>
          <cell r="L508">
            <v>1200</v>
          </cell>
          <cell r="M508">
            <v>1</v>
          </cell>
          <cell r="N508">
            <v>1</v>
          </cell>
          <cell r="O508">
            <v>1</v>
          </cell>
          <cell r="P508">
            <v>0</v>
          </cell>
          <cell r="Q508">
            <v>1</v>
          </cell>
          <cell r="R508">
            <v>3</v>
          </cell>
          <cell r="S508" t="str">
            <v>none</v>
          </cell>
          <cell r="T508">
            <v>0</v>
          </cell>
          <cell r="U508" t="str">
            <v>NULL</v>
          </cell>
          <cell r="V508" t="str">
            <v>NULL</v>
          </cell>
          <cell r="W508" t="str">
            <v/>
          </cell>
          <cell r="X508">
            <v>0</v>
          </cell>
          <cell r="Y508">
            <v>0</v>
          </cell>
          <cell r="Z508">
            <v>0</v>
          </cell>
          <cell r="AA508">
            <v>0</v>
          </cell>
          <cell r="AB508" t="str">
            <v>anytime</v>
          </cell>
          <cell r="AC508">
            <v>24</v>
          </cell>
          <cell r="AD508">
            <v>6</v>
          </cell>
          <cell r="AE508" t="str">
            <v>everyone</v>
          </cell>
        </row>
        <row r="509">
          <cell r="A509" t="str">
            <v>20017_3</v>
          </cell>
          <cell r="B509">
            <v>3</v>
          </cell>
          <cell r="C509">
            <v>20017</v>
          </cell>
          <cell r="D509" t="str">
            <v>隻腕の提督</v>
          </cell>
          <cell r="E509" t="str">
            <v>フランス革命01</v>
          </cell>
          <cell r="F509">
            <v>3</v>
          </cell>
          <cell r="G509" t="str">
            <v>ja</v>
          </cell>
          <cell r="H509" t="str">
            <v>【上級】隻腕の提督</v>
          </cell>
          <cell r="I509" t="str">
            <v>上級</v>
          </cell>
          <cell r="J509">
            <v>932</v>
          </cell>
          <cell r="K509">
            <v>20</v>
          </cell>
          <cell r="L509">
            <v>2000</v>
          </cell>
          <cell r="M509">
            <v>1</v>
          </cell>
          <cell r="N509">
            <v>1</v>
          </cell>
          <cell r="O509">
            <v>1</v>
          </cell>
          <cell r="P509">
            <v>0</v>
          </cell>
          <cell r="Q509">
            <v>1</v>
          </cell>
          <cell r="R509">
            <v>3</v>
          </cell>
          <cell r="S509" t="str">
            <v>polygon</v>
          </cell>
          <cell r="T509">
            <v>1</v>
          </cell>
          <cell r="U509" t="str">
            <v>NULL</v>
          </cell>
          <cell r="V509" t="str">
            <v>NULL</v>
          </cell>
          <cell r="W509" t="str">
            <v/>
          </cell>
          <cell r="X509">
            <v>0</v>
          </cell>
          <cell r="Y509">
            <v>0</v>
          </cell>
          <cell r="Z509">
            <v>0</v>
          </cell>
          <cell r="AA509">
            <v>0</v>
          </cell>
          <cell r="AB509" t="str">
            <v>anytime</v>
          </cell>
          <cell r="AC509">
            <v>24</v>
          </cell>
          <cell r="AD509">
            <v>6</v>
          </cell>
          <cell r="AE509" t="str">
            <v>everyone</v>
          </cell>
        </row>
        <row r="510">
          <cell r="A510" t="str">
            <v>20018_1</v>
          </cell>
          <cell r="B510">
            <v>3</v>
          </cell>
          <cell r="C510">
            <v>20018</v>
          </cell>
          <cell r="D510" t="str">
            <v>魂を屠る黒影</v>
          </cell>
          <cell r="E510" t="str">
            <v>エジプト01</v>
          </cell>
          <cell r="F510">
            <v>1</v>
          </cell>
          <cell r="G510" t="str">
            <v>ja</v>
          </cell>
          <cell r="H510" t="str">
            <v>【初級】魂を屠る黒影</v>
          </cell>
          <cell r="I510" t="str">
            <v>初級</v>
          </cell>
          <cell r="J510">
            <v>1005</v>
          </cell>
          <cell r="K510">
            <v>8</v>
          </cell>
          <cell r="L510">
            <v>384</v>
          </cell>
          <cell r="M510">
            <v>1</v>
          </cell>
          <cell r="N510">
            <v>1</v>
          </cell>
          <cell r="O510">
            <v>1</v>
          </cell>
          <cell r="P510">
            <v>1</v>
          </cell>
          <cell r="Q510">
            <v>1</v>
          </cell>
          <cell r="R510">
            <v>3</v>
          </cell>
          <cell r="S510" t="str">
            <v>none</v>
          </cell>
          <cell r="T510">
            <v>0</v>
          </cell>
          <cell r="U510" t="str">
            <v>NULL</v>
          </cell>
          <cell r="V510" t="str">
            <v>NULL</v>
          </cell>
          <cell r="W510" t="str">
            <v/>
          </cell>
          <cell r="X510">
            <v>0</v>
          </cell>
          <cell r="Y510">
            <v>0</v>
          </cell>
          <cell r="Z510">
            <v>0</v>
          </cell>
          <cell r="AA510">
            <v>0</v>
          </cell>
          <cell r="AB510" t="str">
            <v>anytime</v>
          </cell>
          <cell r="AC510">
            <v>7</v>
          </cell>
          <cell r="AD510">
            <v>6</v>
          </cell>
          <cell r="AE510" t="str">
            <v>everyone</v>
          </cell>
        </row>
        <row r="511">
          <cell r="A511" t="str">
            <v>20018_2</v>
          </cell>
          <cell r="B511">
            <v>3</v>
          </cell>
          <cell r="C511">
            <v>20018</v>
          </cell>
          <cell r="D511" t="str">
            <v>魂を屠る黒影</v>
          </cell>
          <cell r="E511" t="str">
            <v>エジプト01</v>
          </cell>
          <cell r="F511">
            <v>2</v>
          </cell>
          <cell r="G511" t="str">
            <v>ja</v>
          </cell>
          <cell r="H511" t="str">
            <v>【中級】魂を屠る黒影</v>
          </cell>
          <cell r="I511" t="str">
            <v>中級</v>
          </cell>
          <cell r="J511">
            <v>1005</v>
          </cell>
          <cell r="K511">
            <v>15</v>
          </cell>
          <cell r="L511">
            <v>1200</v>
          </cell>
          <cell r="M511">
            <v>1</v>
          </cell>
          <cell r="N511">
            <v>1</v>
          </cell>
          <cell r="O511">
            <v>1</v>
          </cell>
          <cell r="P511">
            <v>1</v>
          </cell>
          <cell r="Q511">
            <v>1</v>
          </cell>
          <cell r="R511">
            <v>3</v>
          </cell>
          <cell r="S511" t="str">
            <v>none</v>
          </cell>
          <cell r="T511">
            <v>0</v>
          </cell>
          <cell r="U511" t="str">
            <v>NULL</v>
          </cell>
          <cell r="V511" t="str">
            <v>NULL</v>
          </cell>
          <cell r="W511" t="str">
            <v/>
          </cell>
          <cell r="X511">
            <v>0</v>
          </cell>
          <cell r="Y511">
            <v>0</v>
          </cell>
          <cell r="Z511">
            <v>0</v>
          </cell>
          <cell r="AA511">
            <v>0</v>
          </cell>
          <cell r="AB511" t="str">
            <v>anytime</v>
          </cell>
          <cell r="AC511">
            <v>7</v>
          </cell>
          <cell r="AD511">
            <v>6</v>
          </cell>
          <cell r="AE511" t="str">
            <v>everyone</v>
          </cell>
        </row>
        <row r="512">
          <cell r="A512" t="str">
            <v>20018_3</v>
          </cell>
          <cell r="B512">
            <v>3</v>
          </cell>
          <cell r="C512">
            <v>20018</v>
          </cell>
          <cell r="D512" t="str">
            <v>魂を屠る黒影</v>
          </cell>
          <cell r="E512" t="str">
            <v>エジプト01</v>
          </cell>
          <cell r="F512">
            <v>3</v>
          </cell>
          <cell r="G512" t="str">
            <v>ja</v>
          </cell>
          <cell r="H512" t="str">
            <v>【上級】魂を屠る黒影</v>
          </cell>
          <cell r="I512" t="str">
            <v>上級</v>
          </cell>
          <cell r="J512">
            <v>1005</v>
          </cell>
          <cell r="K512">
            <v>20</v>
          </cell>
          <cell r="L512">
            <v>2000</v>
          </cell>
          <cell r="M512">
            <v>1</v>
          </cell>
          <cell r="N512">
            <v>1</v>
          </cell>
          <cell r="O512">
            <v>1</v>
          </cell>
          <cell r="P512">
            <v>1</v>
          </cell>
          <cell r="Q512">
            <v>1</v>
          </cell>
          <cell r="R512">
            <v>3</v>
          </cell>
          <cell r="S512" t="str">
            <v>polygon</v>
          </cell>
          <cell r="T512">
            <v>1</v>
          </cell>
          <cell r="U512" t="str">
            <v>NULL</v>
          </cell>
          <cell r="V512" t="str">
            <v>NULL</v>
          </cell>
          <cell r="W512" t="str">
            <v/>
          </cell>
          <cell r="X512">
            <v>0</v>
          </cell>
          <cell r="Y512">
            <v>0</v>
          </cell>
          <cell r="Z512">
            <v>0</v>
          </cell>
          <cell r="AA512">
            <v>0</v>
          </cell>
          <cell r="AB512" t="str">
            <v>anytime</v>
          </cell>
          <cell r="AC512">
            <v>7</v>
          </cell>
          <cell r="AD512">
            <v>6</v>
          </cell>
          <cell r="AE512" t="str">
            <v>everyone</v>
          </cell>
        </row>
        <row r="513">
          <cell r="A513" t="str">
            <v>20019_1</v>
          </cell>
          <cell r="B513">
            <v>3</v>
          </cell>
          <cell r="C513">
            <v>20019</v>
          </cell>
          <cell r="D513" t="str">
            <v>灼熱の舞姫</v>
          </cell>
          <cell r="E513" t="str">
            <v>平安01</v>
          </cell>
          <cell r="F513">
            <v>1</v>
          </cell>
          <cell r="G513" t="str">
            <v>ja</v>
          </cell>
          <cell r="H513" t="str">
            <v>【初級】灼熱の舞姫</v>
          </cell>
          <cell r="I513" t="str">
            <v>初級</v>
          </cell>
          <cell r="J513">
            <v>1020</v>
          </cell>
          <cell r="K513">
            <v>8</v>
          </cell>
          <cell r="L513">
            <v>384</v>
          </cell>
          <cell r="M513">
            <v>1</v>
          </cell>
          <cell r="N513">
            <v>1</v>
          </cell>
          <cell r="O513">
            <v>1</v>
          </cell>
          <cell r="P513">
            <v>1</v>
          </cell>
          <cell r="Q513">
            <v>1</v>
          </cell>
          <cell r="R513">
            <v>3</v>
          </cell>
          <cell r="S513" t="str">
            <v>none</v>
          </cell>
          <cell r="T513">
            <v>0</v>
          </cell>
          <cell r="U513" t="str">
            <v>NULL</v>
          </cell>
          <cell r="V513" t="str">
            <v>NULL</v>
          </cell>
          <cell r="W513" t="str">
            <v/>
          </cell>
          <cell r="X513">
            <v>0</v>
          </cell>
          <cell r="Y513">
            <v>0</v>
          </cell>
          <cell r="Z513">
            <v>0</v>
          </cell>
          <cell r="AA513">
            <v>0</v>
          </cell>
          <cell r="AB513" t="str">
            <v>anytime</v>
          </cell>
          <cell r="AC513">
            <v>2</v>
          </cell>
          <cell r="AD513">
            <v>6</v>
          </cell>
          <cell r="AE513" t="str">
            <v>everyone</v>
          </cell>
        </row>
        <row r="514">
          <cell r="A514" t="str">
            <v>20019_2</v>
          </cell>
          <cell r="B514">
            <v>3</v>
          </cell>
          <cell r="C514">
            <v>20019</v>
          </cell>
          <cell r="D514" t="str">
            <v>灼熱の舞姫</v>
          </cell>
          <cell r="E514" t="str">
            <v>平安01</v>
          </cell>
          <cell r="F514">
            <v>2</v>
          </cell>
          <cell r="G514" t="str">
            <v>ja</v>
          </cell>
          <cell r="H514" t="str">
            <v>【中級】灼熱の舞姫</v>
          </cell>
          <cell r="I514" t="str">
            <v>中級</v>
          </cell>
          <cell r="J514">
            <v>1020</v>
          </cell>
          <cell r="K514">
            <v>15</v>
          </cell>
          <cell r="L514">
            <v>1200</v>
          </cell>
          <cell r="M514">
            <v>1</v>
          </cell>
          <cell r="N514">
            <v>1</v>
          </cell>
          <cell r="O514">
            <v>1</v>
          </cell>
          <cell r="P514">
            <v>1</v>
          </cell>
          <cell r="Q514">
            <v>1</v>
          </cell>
          <cell r="R514">
            <v>3</v>
          </cell>
          <cell r="S514" t="str">
            <v>none</v>
          </cell>
          <cell r="T514">
            <v>0</v>
          </cell>
          <cell r="U514" t="str">
            <v>NULL</v>
          </cell>
          <cell r="V514" t="str">
            <v>NULL</v>
          </cell>
          <cell r="W514" t="str">
            <v/>
          </cell>
          <cell r="X514">
            <v>0</v>
          </cell>
          <cell r="Y514">
            <v>0</v>
          </cell>
          <cell r="Z514">
            <v>0</v>
          </cell>
          <cell r="AA514">
            <v>0</v>
          </cell>
          <cell r="AB514" t="str">
            <v>anytime</v>
          </cell>
          <cell r="AC514">
            <v>2</v>
          </cell>
          <cell r="AD514">
            <v>6</v>
          </cell>
          <cell r="AE514" t="str">
            <v>everyone</v>
          </cell>
        </row>
        <row r="515">
          <cell r="A515" t="str">
            <v>20019_3</v>
          </cell>
          <cell r="B515">
            <v>3</v>
          </cell>
          <cell r="C515">
            <v>20019</v>
          </cell>
          <cell r="D515" t="str">
            <v>灼熱の舞姫</v>
          </cell>
          <cell r="E515" t="str">
            <v>平安01</v>
          </cell>
          <cell r="F515">
            <v>3</v>
          </cell>
          <cell r="G515" t="str">
            <v>ja</v>
          </cell>
          <cell r="H515" t="str">
            <v>【上級】灼熱の舞姫</v>
          </cell>
          <cell r="I515" t="str">
            <v>上級</v>
          </cell>
          <cell r="J515">
            <v>1020</v>
          </cell>
          <cell r="K515">
            <v>20</v>
          </cell>
          <cell r="L515">
            <v>2000</v>
          </cell>
          <cell r="M515">
            <v>1</v>
          </cell>
          <cell r="N515">
            <v>1</v>
          </cell>
          <cell r="O515">
            <v>1</v>
          </cell>
          <cell r="P515">
            <v>1</v>
          </cell>
          <cell r="Q515">
            <v>1</v>
          </cell>
          <cell r="R515">
            <v>3</v>
          </cell>
          <cell r="S515" t="str">
            <v>polygon</v>
          </cell>
          <cell r="T515">
            <v>1</v>
          </cell>
          <cell r="U515" t="str">
            <v>NULL</v>
          </cell>
          <cell r="V515" t="str">
            <v>NULL</v>
          </cell>
          <cell r="W515" t="str">
            <v/>
          </cell>
          <cell r="X515">
            <v>0</v>
          </cell>
          <cell r="Y515">
            <v>0</v>
          </cell>
          <cell r="Z515">
            <v>0</v>
          </cell>
          <cell r="AA515">
            <v>0</v>
          </cell>
          <cell r="AB515" t="str">
            <v>anytime</v>
          </cell>
          <cell r="AC515">
            <v>2</v>
          </cell>
          <cell r="AD515">
            <v>6</v>
          </cell>
          <cell r="AE515" t="str">
            <v>everyone</v>
          </cell>
        </row>
        <row r="516">
          <cell r="A516" t="str">
            <v>20020_1</v>
          </cell>
          <cell r="B516">
            <v>3</v>
          </cell>
          <cell r="C516">
            <v>20020</v>
          </cell>
          <cell r="D516" t="str">
            <v>変幻自在の風</v>
          </cell>
          <cell r="E516" t="str">
            <v>メソポタミア01</v>
          </cell>
          <cell r="F516">
            <v>1</v>
          </cell>
          <cell r="G516" t="str">
            <v>ja</v>
          </cell>
          <cell r="H516" t="str">
            <v>【初級】変幻自在の風</v>
          </cell>
          <cell r="I516" t="str">
            <v>初級</v>
          </cell>
          <cell r="J516">
            <v>1060</v>
          </cell>
          <cell r="K516">
            <v>8</v>
          </cell>
          <cell r="L516">
            <v>384</v>
          </cell>
          <cell r="M516">
            <v>1</v>
          </cell>
          <cell r="N516">
            <v>1</v>
          </cell>
          <cell r="O516">
            <v>1</v>
          </cell>
          <cell r="P516">
            <v>1</v>
          </cell>
          <cell r="Q516">
            <v>1</v>
          </cell>
          <cell r="R516">
            <v>3</v>
          </cell>
          <cell r="S516" t="str">
            <v>none</v>
          </cell>
          <cell r="T516">
            <v>0</v>
          </cell>
          <cell r="U516" t="str">
            <v>NULL</v>
          </cell>
          <cell r="V516" t="str">
            <v>NULL</v>
          </cell>
          <cell r="W516" t="str">
            <v/>
          </cell>
          <cell r="X516">
            <v>0</v>
          </cell>
          <cell r="Y516">
            <v>0</v>
          </cell>
          <cell r="Z516">
            <v>0</v>
          </cell>
          <cell r="AA516">
            <v>0</v>
          </cell>
          <cell r="AB516" t="str">
            <v>anytime</v>
          </cell>
          <cell r="AC516">
            <v>23</v>
          </cell>
          <cell r="AD516">
            <v>6</v>
          </cell>
          <cell r="AE516" t="str">
            <v>everyone</v>
          </cell>
        </row>
        <row r="517">
          <cell r="A517" t="str">
            <v>20020_2</v>
          </cell>
          <cell r="B517">
            <v>3</v>
          </cell>
          <cell r="C517">
            <v>20020</v>
          </cell>
          <cell r="D517" t="str">
            <v>変幻自在の風</v>
          </cell>
          <cell r="E517" t="str">
            <v>メソポタミア01</v>
          </cell>
          <cell r="F517">
            <v>2</v>
          </cell>
          <cell r="G517" t="str">
            <v>ja</v>
          </cell>
          <cell r="H517" t="str">
            <v>【中級】変幻自在の風</v>
          </cell>
          <cell r="I517" t="str">
            <v>中級</v>
          </cell>
          <cell r="J517">
            <v>1060</v>
          </cell>
          <cell r="K517">
            <v>15</v>
          </cell>
          <cell r="L517">
            <v>1200</v>
          </cell>
          <cell r="M517">
            <v>1</v>
          </cell>
          <cell r="N517">
            <v>1</v>
          </cell>
          <cell r="O517">
            <v>1</v>
          </cell>
          <cell r="P517">
            <v>1</v>
          </cell>
          <cell r="Q517">
            <v>1</v>
          </cell>
          <cell r="R517">
            <v>3</v>
          </cell>
          <cell r="S517" t="str">
            <v>none</v>
          </cell>
          <cell r="T517">
            <v>0</v>
          </cell>
          <cell r="U517" t="str">
            <v>NULL</v>
          </cell>
          <cell r="V517" t="str">
            <v>NULL</v>
          </cell>
          <cell r="W517" t="str">
            <v/>
          </cell>
          <cell r="X517">
            <v>0</v>
          </cell>
          <cell r="Y517">
            <v>0</v>
          </cell>
          <cell r="Z517">
            <v>0</v>
          </cell>
          <cell r="AA517">
            <v>0</v>
          </cell>
          <cell r="AB517" t="str">
            <v>anytime</v>
          </cell>
          <cell r="AC517">
            <v>23</v>
          </cell>
          <cell r="AD517">
            <v>6</v>
          </cell>
          <cell r="AE517" t="str">
            <v>everyone</v>
          </cell>
        </row>
        <row r="518">
          <cell r="A518" t="str">
            <v>20020_3</v>
          </cell>
          <cell r="B518">
            <v>3</v>
          </cell>
          <cell r="C518">
            <v>20020</v>
          </cell>
          <cell r="D518" t="str">
            <v>変幻自在の風</v>
          </cell>
          <cell r="E518" t="str">
            <v>メソポタミア01</v>
          </cell>
          <cell r="F518">
            <v>3</v>
          </cell>
          <cell r="G518" t="str">
            <v>ja</v>
          </cell>
          <cell r="H518" t="str">
            <v>【上級】変幻自在の風</v>
          </cell>
          <cell r="I518" t="str">
            <v>上級</v>
          </cell>
          <cell r="J518">
            <v>1060</v>
          </cell>
          <cell r="K518">
            <v>20</v>
          </cell>
          <cell r="L518">
            <v>2000</v>
          </cell>
          <cell r="M518">
            <v>1</v>
          </cell>
          <cell r="N518">
            <v>1</v>
          </cell>
          <cell r="O518">
            <v>1</v>
          </cell>
          <cell r="P518">
            <v>1</v>
          </cell>
          <cell r="Q518">
            <v>1</v>
          </cell>
          <cell r="R518">
            <v>3</v>
          </cell>
          <cell r="S518" t="str">
            <v>polygon</v>
          </cell>
          <cell r="T518">
            <v>1</v>
          </cell>
          <cell r="U518" t="str">
            <v>NULL</v>
          </cell>
          <cell r="V518" t="str">
            <v>NULL</v>
          </cell>
          <cell r="W518" t="str">
            <v/>
          </cell>
          <cell r="X518">
            <v>0</v>
          </cell>
          <cell r="Y518">
            <v>0</v>
          </cell>
          <cell r="Z518">
            <v>0</v>
          </cell>
          <cell r="AA518">
            <v>0</v>
          </cell>
          <cell r="AB518" t="str">
            <v>anytime</v>
          </cell>
          <cell r="AC518">
            <v>23</v>
          </cell>
          <cell r="AD518">
            <v>6</v>
          </cell>
          <cell r="AE518" t="str">
            <v>everyone</v>
          </cell>
        </row>
        <row r="519">
          <cell r="A519" t="str">
            <v>20021_1</v>
          </cell>
          <cell r="B519">
            <v>3</v>
          </cell>
          <cell r="C519">
            <v>20021</v>
          </cell>
          <cell r="D519" t="str">
            <v>ペインター・オブ・ラブ</v>
          </cell>
          <cell r="E519" t="str">
            <v>画家シリーズ01</v>
          </cell>
          <cell r="F519">
            <v>1</v>
          </cell>
          <cell r="G519" t="str">
            <v>ja</v>
          </cell>
          <cell r="H519" t="str">
            <v>【初級】ペインター・オブ・ラブ</v>
          </cell>
          <cell r="I519" t="str">
            <v>初級</v>
          </cell>
          <cell r="J519">
            <v>1095</v>
          </cell>
          <cell r="K519">
            <v>8</v>
          </cell>
          <cell r="L519">
            <v>384</v>
          </cell>
          <cell r="M519">
            <v>1</v>
          </cell>
          <cell r="N519">
            <v>1</v>
          </cell>
          <cell r="O519">
            <v>1</v>
          </cell>
          <cell r="P519">
            <v>1</v>
          </cell>
          <cell r="Q519">
            <v>1</v>
          </cell>
          <cell r="R519">
            <v>3</v>
          </cell>
          <cell r="S519" t="str">
            <v>none</v>
          </cell>
          <cell r="T519">
            <v>0</v>
          </cell>
          <cell r="U519" t="str">
            <v>NULL</v>
          </cell>
          <cell r="V519" t="str">
            <v>NULL</v>
          </cell>
          <cell r="W519" t="str">
            <v/>
          </cell>
          <cell r="X519">
            <v>0</v>
          </cell>
          <cell r="Y519">
            <v>0</v>
          </cell>
          <cell r="Z519">
            <v>0</v>
          </cell>
          <cell r="AA519">
            <v>0</v>
          </cell>
          <cell r="AB519" t="str">
            <v>anytime</v>
          </cell>
          <cell r="AC519">
            <v>4</v>
          </cell>
          <cell r="AD519">
            <v>6</v>
          </cell>
          <cell r="AE519" t="str">
            <v>everyone</v>
          </cell>
        </row>
        <row r="520">
          <cell r="A520" t="str">
            <v>20021_2</v>
          </cell>
          <cell r="B520">
            <v>3</v>
          </cell>
          <cell r="C520">
            <v>20021</v>
          </cell>
          <cell r="D520" t="str">
            <v>ペインター・オブ・ラブ</v>
          </cell>
          <cell r="E520" t="str">
            <v>画家シリーズ01</v>
          </cell>
          <cell r="F520">
            <v>2</v>
          </cell>
          <cell r="G520" t="str">
            <v>ja</v>
          </cell>
          <cell r="H520" t="str">
            <v>【中級】ペインター・オブ・ラブ</v>
          </cell>
          <cell r="I520" t="str">
            <v>中級</v>
          </cell>
          <cell r="J520">
            <v>1095</v>
          </cell>
          <cell r="K520">
            <v>15</v>
          </cell>
          <cell r="L520">
            <v>1200</v>
          </cell>
          <cell r="M520">
            <v>1</v>
          </cell>
          <cell r="N520">
            <v>1</v>
          </cell>
          <cell r="O520">
            <v>1</v>
          </cell>
          <cell r="P520">
            <v>1</v>
          </cell>
          <cell r="Q520">
            <v>1</v>
          </cell>
          <cell r="R520">
            <v>3</v>
          </cell>
          <cell r="S520" t="str">
            <v>none</v>
          </cell>
          <cell r="T520">
            <v>0</v>
          </cell>
          <cell r="U520" t="str">
            <v>NULL</v>
          </cell>
          <cell r="V520" t="str">
            <v>NULL</v>
          </cell>
          <cell r="W520" t="str">
            <v/>
          </cell>
          <cell r="X520">
            <v>0</v>
          </cell>
          <cell r="Y520">
            <v>0</v>
          </cell>
          <cell r="Z520">
            <v>0</v>
          </cell>
          <cell r="AA520">
            <v>0</v>
          </cell>
          <cell r="AB520" t="str">
            <v>anytime</v>
          </cell>
          <cell r="AC520">
            <v>4</v>
          </cell>
          <cell r="AD520">
            <v>6</v>
          </cell>
          <cell r="AE520" t="str">
            <v>everyone</v>
          </cell>
        </row>
        <row r="521">
          <cell r="A521" t="str">
            <v>20021_3</v>
          </cell>
          <cell r="B521">
            <v>3</v>
          </cell>
          <cell r="C521">
            <v>20021</v>
          </cell>
          <cell r="D521" t="str">
            <v>ペインター・オブ・ラブ</v>
          </cell>
          <cell r="E521" t="str">
            <v>画家シリーズ01</v>
          </cell>
          <cell r="F521">
            <v>3</v>
          </cell>
          <cell r="G521" t="str">
            <v>ja</v>
          </cell>
          <cell r="H521" t="str">
            <v>【上級】ペインター・オブ・ラブ</v>
          </cell>
          <cell r="I521" t="str">
            <v>上級</v>
          </cell>
          <cell r="J521">
            <v>1095</v>
          </cell>
          <cell r="K521">
            <v>20</v>
          </cell>
          <cell r="L521">
            <v>2000</v>
          </cell>
          <cell r="M521">
            <v>1</v>
          </cell>
          <cell r="N521">
            <v>1</v>
          </cell>
          <cell r="O521">
            <v>1</v>
          </cell>
          <cell r="P521">
            <v>1</v>
          </cell>
          <cell r="Q521">
            <v>1</v>
          </cell>
          <cell r="R521">
            <v>3</v>
          </cell>
          <cell r="S521" t="str">
            <v>polygon</v>
          </cell>
          <cell r="T521">
            <v>1</v>
          </cell>
          <cell r="U521" t="str">
            <v>NULL</v>
          </cell>
          <cell r="V521" t="str">
            <v>NULL</v>
          </cell>
          <cell r="W521" t="str">
            <v/>
          </cell>
          <cell r="X521">
            <v>0</v>
          </cell>
          <cell r="Y521">
            <v>0</v>
          </cell>
          <cell r="Z521">
            <v>0</v>
          </cell>
          <cell r="AA521">
            <v>0</v>
          </cell>
          <cell r="AB521" t="str">
            <v>anytime</v>
          </cell>
          <cell r="AC521">
            <v>4</v>
          </cell>
          <cell r="AD521">
            <v>6</v>
          </cell>
          <cell r="AE521" t="str">
            <v>everyone</v>
          </cell>
        </row>
        <row r="522">
          <cell r="A522" t="str">
            <v>20022_1</v>
          </cell>
          <cell r="B522">
            <v>3</v>
          </cell>
          <cell r="C522">
            <v>20022</v>
          </cell>
          <cell r="D522" t="str">
            <v>年を越える宴</v>
          </cell>
          <cell r="E522" t="str">
            <v>季節イベント</v>
          </cell>
          <cell r="F522">
            <v>1</v>
          </cell>
          <cell r="G522" t="str">
            <v>ja</v>
          </cell>
          <cell r="H522" t="str">
            <v>【上級】年を越える宴（ハートなし）</v>
          </cell>
          <cell r="I522" t="str">
            <v>2016年年忘れクエスト</v>
          </cell>
          <cell r="J522">
            <v>377</v>
          </cell>
          <cell r="K522">
            <v>10</v>
          </cell>
          <cell r="L522">
            <v>350</v>
          </cell>
          <cell r="M522">
            <v>1</v>
          </cell>
          <cell r="N522">
            <v>1</v>
          </cell>
          <cell r="O522">
            <v>1</v>
          </cell>
          <cell r="P522">
            <v>1</v>
          </cell>
          <cell r="Q522">
            <v>0</v>
          </cell>
          <cell r="R522">
            <v>3</v>
          </cell>
          <cell r="S522" t="str">
            <v>polygon</v>
          </cell>
          <cell r="T522">
            <v>1</v>
          </cell>
          <cell r="U522" t="str">
            <v>NULL</v>
          </cell>
          <cell r="V522" t="str">
            <v>NULL</v>
          </cell>
          <cell r="W522" t="str">
            <v/>
          </cell>
          <cell r="X522">
            <v>0</v>
          </cell>
          <cell r="Y522">
            <v>0</v>
          </cell>
          <cell r="Z522">
            <v>0</v>
          </cell>
          <cell r="AA522">
            <v>0</v>
          </cell>
          <cell r="AB522" t="str">
            <v>anytime</v>
          </cell>
          <cell r="AC522">
            <v>901</v>
          </cell>
          <cell r="AD522">
            <v>6</v>
          </cell>
          <cell r="AE522" t="str">
            <v>multionly</v>
          </cell>
        </row>
        <row r="523">
          <cell r="A523" t="str">
            <v>30001_1</v>
          </cell>
          <cell r="B523">
            <v>3</v>
          </cell>
          <cell r="C523">
            <v>30001</v>
          </cell>
          <cell r="D523" t="str">
            <v>ハンター・オブ・ハンター</v>
          </cell>
          <cell r="E523" t="str">
            <v>ドロップイベント1-1（マルチ専用）</v>
          </cell>
          <cell r="F523">
            <v>1</v>
          </cell>
          <cell r="G523" t="str">
            <v>ja</v>
          </cell>
          <cell r="H523" t="str">
            <v xml:space="preserve">【中級】ハンター・オブ・ハンター </v>
          </cell>
          <cell r="I523" t="str">
            <v>中級</v>
          </cell>
          <cell r="J523">
            <v>270</v>
          </cell>
          <cell r="K523">
            <v>15</v>
          </cell>
          <cell r="L523">
            <v>1200</v>
          </cell>
          <cell r="M523">
            <v>1</v>
          </cell>
          <cell r="N523">
            <v>1</v>
          </cell>
          <cell r="O523">
            <v>1</v>
          </cell>
          <cell r="P523">
            <v>1</v>
          </cell>
          <cell r="Q523">
            <v>1</v>
          </cell>
          <cell r="R523">
            <v>3</v>
          </cell>
          <cell r="S523" t="str">
            <v>none</v>
          </cell>
          <cell r="T523">
            <v>0</v>
          </cell>
          <cell r="U523" t="str">
            <v>NULL</v>
          </cell>
          <cell r="V523" t="str">
            <v>NULL</v>
          </cell>
          <cell r="W523" t="str">
            <v/>
          </cell>
          <cell r="X523">
            <v>0</v>
          </cell>
          <cell r="Y523">
            <v>0</v>
          </cell>
          <cell r="Z523">
            <v>0</v>
          </cell>
          <cell r="AA523">
            <v>0</v>
          </cell>
          <cell r="AB523" t="str">
            <v>anytime</v>
          </cell>
          <cell r="AC523">
            <v>7</v>
          </cell>
          <cell r="AD523">
            <v>6</v>
          </cell>
          <cell r="AE523" t="str">
            <v>everyone</v>
          </cell>
        </row>
        <row r="524">
          <cell r="A524" t="str">
            <v>30001_2</v>
          </cell>
          <cell r="B524">
            <v>3</v>
          </cell>
          <cell r="C524">
            <v>30001</v>
          </cell>
          <cell r="D524" t="str">
            <v>ハンター・オブ・ハンター</v>
          </cell>
          <cell r="E524" t="str">
            <v>ドロップイベント1-1（マルチ専用）</v>
          </cell>
          <cell r="F524">
            <v>2</v>
          </cell>
          <cell r="G524" t="str">
            <v>ja</v>
          </cell>
          <cell r="H524" t="str">
            <v xml:space="preserve">【上級】ハンター・オブ・ハンター </v>
          </cell>
          <cell r="I524" t="str">
            <v>上級</v>
          </cell>
          <cell r="J524">
            <v>270</v>
          </cell>
          <cell r="K524">
            <v>20</v>
          </cell>
          <cell r="L524">
            <v>2000</v>
          </cell>
          <cell r="M524">
            <v>1</v>
          </cell>
          <cell r="N524">
            <v>1</v>
          </cell>
          <cell r="O524">
            <v>1</v>
          </cell>
          <cell r="P524">
            <v>1</v>
          </cell>
          <cell r="Q524">
            <v>1</v>
          </cell>
          <cell r="R524">
            <v>3</v>
          </cell>
          <cell r="S524" t="str">
            <v>none</v>
          </cell>
          <cell r="T524">
            <v>0</v>
          </cell>
          <cell r="U524" t="str">
            <v>NULL</v>
          </cell>
          <cell r="V524" t="str">
            <v>NULL</v>
          </cell>
          <cell r="W524" t="str">
            <v/>
          </cell>
          <cell r="X524">
            <v>0</v>
          </cell>
          <cell r="Y524">
            <v>0</v>
          </cell>
          <cell r="Z524">
            <v>0</v>
          </cell>
          <cell r="AA524">
            <v>0</v>
          </cell>
          <cell r="AB524" t="str">
            <v>anytime</v>
          </cell>
          <cell r="AC524">
            <v>7</v>
          </cell>
          <cell r="AD524">
            <v>6</v>
          </cell>
          <cell r="AE524" t="str">
            <v>everyone</v>
          </cell>
        </row>
        <row r="525">
          <cell r="A525" t="str">
            <v>30001_3</v>
          </cell>
          <cell r="B525">
            <v>3</v>
          </cell>
          <cell r="C525">
            <v>30001</v>
          </cell>
          <cell r="D525" t="str">
            <v>ハンター・オブ・ハンター</v>
          </cell>
          <cell r="E525" t="str">
            <v>ドロップイベント1-1（マルチ専用）</v>
          </cell>
          <cell r="F525">
            <v>3</v>
          </cell>
          <cell r="G525" t="str">
            <v>ja</v>
          </cell>
          <cell r="H525" t="str">
            <v xml:space="preserve">【超級】ハンター・オブ・ハンター </v>
          </cell>
          <cell r="I525" t="str">
            <v>超級</v>
          </cell>
          <cell r="J525">
            <v>271</v>
          </cell>
          <cell r="K525">
            <v>30</v>
          </cell>
          <cell r="L525">
            <v>3300</v>
          </cell>
          <cell r="M525">
            <v>1</v>
          </cell>
          <cell r="N525">
            <v>1</v>
          </cell>
          <cell r="O525">
            <v>1</v>
          </cell>
          <cell r="P525">
            <v>1</v>
          </cell>
          <cell r="Q525">
            <v>1</v>
          </cell>
          <cell r="R525">
            <v>3</v>
          </cell>
          <cell r="S525" t="str">
            <v>polygon</v>
          </cell>
          <cell r="T525">
            <v>1</v>
          </cell>
          <cell r="U525" t="str">
            <v>NULL</v>
          </cell>
          <cell r="V525" t="str">
            <v>NULL</v>
          </cell>
          <cell r="W525" t="str">
            <v/>
          </cell>
          <cell r="X525">
            <v>0</v>
          </cell>
          <cell r="Y525">
            <v>0</v>
          </cell>
          <cell r="Z525">
            <v>0</v>
          </cell>
          <cell r="AA525">
            <v>0</v>
          </cell>
          <cell r="AB525" t="str">
            <v>anytime</v>
          </cell>
          <cell r="AC525">
            <v>7</v>
          </cell>
          <cell r="AD525">
            <v>6</v>
          </cell>
          <cell r="AE525" t="str">
            <v>everyone</v>
          </cell>
        </row>
        <row r="526">
          <cell r="A526" t="str">
            <v>30002_1</v>
          </cell>
          <cell r="B526">
            <v>3</v>
          </cell>
          <cell r="C526">
            <v>30002</v>
          </cell>
          <cell r="D526" t="str">
            <v>トリックスター</v>
          </cell>
          <cell r="E526" t="str">
            <v>ドロップイベント1-2（マルチ専用）</v>
          </cell>
          <cell r="F526">
            <v>1</v>
          </cell>
          <cell r="G526" t="str">
            <v>ja</v>
          </cell>
          <cell r="H526" t="str">
            <v xml:space="preserve">【中級】トリックスター </v>
          </cell>
          <cell r="I526" t="str">
            <v>中級</v>
          </cell>
          <cell r="J526">
            <v>272</v>
          </cell>
          <cell r="K526">
            <v>15</v>
          </cell>
          <cell r="L526">
            <v>1200</v>
          </cell>
          <cell r="M526">
            <v>1</v>
          </cell>
          <cell r="N526">
            <v>1</v>
          </cell>
          <cell r="O526">
            <v>1</v>
          </cell>
          <cell r="P526">
            <v>1</v>
          </cell>
          <cell r="Q526">
            <v>1</v>
          </cell>
          <cell r="R526">
            <v>3</v>
          </cell>
          <cell r="S526" t="str">
            <v>none</v>
          </cell>
          <cell r="T526">
            <v>0</v>
          </cell>
          <cell r="U526" t="str">
            <v>NULL</v>
          </cell>
          <cell r="V526" t="str">
            <v>NULL</v>
          </cell>
          <cell r="W526" t="str">
            <v/>
          </cell>
          <cell r="X526">
            <v>0</v>
          </cell>
          <cell r="Y526">
            <v>0</v>
          </cell>
          <cell r="Z526">
            <v>0</v>
          </cell>
          <cell r="AA526">
            <v>0</v>
          </cell>
          <cell r="AB526" t="str">
            <v>anytime</v>
          </cell>
          <cell r="AC526">
            <v>17</v>
          </cell>
          <cell r="AD526">
            <v>6</v>
          </cell>
          <cell r="AE526" t="str">
            <v>everyone</v>
          </cell>
        </row>
        <row r="527">
          <cell r="A527" t="str">
            <v>30002_2</v>
          </cell>
          <cell r="B527">
            <v>3</v>
          </cell>
          <cell r="C527">
            <v>30002</v>
          </cell>
          <cell r="D527" t="str">
            <v>トリックスター</v>
          </cell>
          <cell r="E527" t="str">
            <v>ドロップイベント1-2（マルチ専用）</v>
          </cell>
          <cell r="F527">
            <v>2</v>
          </cell>
          <cell r="G527" t="str">
            <v>ja</v>
          </cell>
          <cell r="H527" t="str">
            <v xml:space="preserve">【上級】トリックスター </v>
          </cell>
          <cell r="I527" t="str">
            <v>上級</v>
          </cell>
          <cell r="J527">
            <v>272</v>
          </cell>
          <cell r="K527">
            <v>20</v>
          </cell>
          <cell r="L527">
            <v>2000</v>
          </cell>
          <cell r="M527">
            <v>1</v>
          </cell>
          <cell r="N527">
            <v>1</v>
          </cell>
          <cell r="O527">
            <v>1</v>
          </cell>
          <cell r="P527">
            <v>1</v>
          </cell>
          <cell r="Q527">
            <v>1</v>
          </cell>
          <cell r="R527">
            <v>3</v>
          </cell>
          <cell r="S527" t="str">
            <v>none</v>
          </cell>
          <cell r="T527">
            <v>0</v>
          </cell>
          <cell r="U527" t="str">
            <v>NULL</v>
          </cell>
          <cell r="V527" t="str">
            <v>NULL</v>
          </cell>
          <cell r="W527" t="str">
            <v/>
          </cell>
          <cell r="X527">
            <v>0</v>
          </cell>
          <cell r="Y527">
            <v>0</v>
          </cell>
          <cell r="Z527">
            <v>0</v>
          </cell>
          <cell r="AA527">
            <v>0</v>
          </cell>
          <cell r="AB527" t="str">
            <v>anytime</v>
          </cell>
          <cell r="AC527">
            <v>17</v>
          </cell>
          <cell r="AD527">
            <v>6</v>
          </cell>
          <cell r="AE527" t="str">
            <v>everyone</v>
          </cell>
        </row>
        <row r="528">
          <cell r="A528" t="str">
            <v>30002_3</v>
          </cell>
          <cell r="B528">
            <v>3</v>
          </cell>
          <cell r="C528">
            <v>30002</v>
          </cell>
          <cell r="D528" t="str">
            <v>トリックスター</v>
          </cell>
          <cell r="E528" t="str">
            <v>ドロップイベント1-2（マルチ専用）</v>
          </cell>
          <cell r="F528">
            <v>3</v>
          </cell>
          <cell r="G528" t="str">
            <v>ja</v>
          </cell>
          <cell r="H528" t="str">
            <v xml:space="preserve">【超級】トリックスター </v>
          </cell>
          <cell r="I528" t="str">
            <v>超級</v>
          </cell>
          <cell r="J528">
            <v>273</v>
          </cell>
          <cell r="K528">
            <v>30</v>
          </cell>
          <cell r="L528">
            <v>3300</v>
          </cell>
          <cell r="M528">
            <v>1</v>
          </cell>
          <cell r="N528">
            <v>1</v>
          </cell>
          <cell r="O528">
            <v>1</v>
          </cell>
          <cell r="P528">
            <v>1</v>
          </cell>
          <cell r="Q528">
            <v>1</v>
          </cell>
          <cell r="R528">
            <v>3</v>
          </cell>
          <cell r="S528" t="str">
            <v>polygon</v>
          </cell>
          <cell r="T528">
            <v>1</v>
          </cell>
          <cell r="U528" t="str">
            <v>NULL</v>
          </cell>
          <cell r="V528" t="str">
            <v>NULL</v>
          </cell>
          <cell r="W528" t="str">
            <v/>
          </cell>
          <cell r="X528">
            <v>0</v>
          </cell>
          <cell r="Y528">
            <v>0</v>
          </cell>
          <cell r="Z528">
            <v>0</v>
          </cell>
          <cell r="AA528">
            <v>0</v>
          </cell>
          <cell r="AB528" t="str">
            <v>anytime</v>
          </cell>
          <cell r="AC528">
            <v>17</v>
          </cell>
          <cell r="AD528">
            <v>6</v>
          </cell>
          <cell r="AE528" t="str">
            <v>everyone</v>
          </cell>
        </row>
        <row r="529">
          <cell r="A529" t="str">
            <v>30003_1</v>
          </cell>
          <cell r="B529">
            <v>3</v>
          </cell>
          <cell r="C529">
            <v>30003</v>
          </cell>
          <cell r="D529" t="str">
            <v>打ち下ろされる砕棒</v>
          </cell>
          <cell r="E529" t="str">
            <v>ドロップイベント1-3（マルチ専用）</v>
          </cell>
          <cell r="F529">
            <v>1</v>
          </cell>
          <cell r="G529" t="str">
            <v>ja</v>
          </cell>
          <cell r="H529" t="str">
            <v xml:space="preserve">【中級】打ち下ろされる砕棒 </v>
          </cell>
          <cell r="I529" t="str">
            <v>中級</v>
          </cell>
          <cell r="J529">
            <v>274</v>
          </cell>
          <cell r="K529">
            <v>15</v>
          </cell>
          <cell r="L529">
            <v>1200</v>
          </cell>
          <cell r="M529">
            <v>1</v>
          </cell>
          <cell r="N529">
            <v>1</v>
          </cell>
          <cell r="O529">
            <v>1</v>
          </cell>
          <cell r="P529">
            <v>1</v>
          </cell>
          <cell r="Q529">
            <v>1</v>
          </cell>
          <cell r="R529">
            <v>3</v>
          </cell>
          <cell r="S529" t="str">
            <v>none</v>
          </cell>
          <cell r="T529">
            <v>0</v>
          </cell>
          <cell r="U529" t="str">
            <v>NULL</v>
          </cell>
          <cell r="V529" t="str">
            <v>NULL</v>
          </cell>
          <cell r="W529" t="str">
            <v/>
          </cell>
          <cell r="X529">
            <v>0</v>
          </cell>
          <cell r="Y529">
            <v>0</v>
          </cell>
          <cell r="Z529">
            <v>0</v>
          </cell>
          <cell r="AA529">
            <v>0</v>
          </cell>
          <cell r="AB529" t="str">
            <v>anytime</v>
          </cell>
          <cell r="AC529">
            <v>20</v>
          </cell>
          <cell r="AD529">
            <v>6</v>
          </cell>
          <cell r="AE529" t="str">
            <v>everyone</v>
          </cell>
        </row>
        <row r="530">
          <cell r="A530" t="str">
            <v>30003_2</v>
          </cell>
          <cell r="B530">
            <v>3</v>
          </cell>
          <cell r="C530">
            <v>30003</v>
          </cell>
          <cell r="D530" t="str">
            <v>打ち下ろされる砕棒</v>
          </cell>
          <cell r="E530" t="str">
            <v>ドロップイベント1-3（マルチ専用）</v>
          </cell>
          <cell r="F530">
            <v>2</v>
          </cell>
          <cell r="G530" t="str">
            <v>ja</v>
          </cell>
          <cell r="H530" t="str">
            <v>【上級】打ち下ろされる砕棒</v>
          </cell>
          <cell r="I530" t="str">
            <v>上級</v>
          </cell>
          <cell r="J530">
            <v>274</v>
          </cell>
          <cell r="K530">
            <v>20</v>
          </cell>
          <cell r="L530">
            <v>2000</v>
          </cell>
          <cell r="M530">
            <v>1</v>
          </cell>
          <cell r="N530">
            <v>1</v>
          </cell>
          <cell r="O530">
            <v>1</v>
          </cell>
          <cell r="P530">
            <v>1</v>
          </cell>
          <cell r="Q530">
            <v>1</v>
          </cell>
          <cell r="R530">
            <v>3</v>
          </cell>
          <cell r="S530" t="str">
            <v>none</v>
          </cell>
          <cell r="T530">
            <v>0</v>
          </cell>
          <cell r="U530" t="str">
            <v>NULL</v>
          </cell>
          <cell r="V530" t="str">
            <v>NULL</v>
          </cell>
          <cell r="W530" t="str">
            <v/>
          </cell>
          <cell r="X530">
            <v>0</v>
          </cell>
          <cell r="Y530">
            <v>0</v>
          </cell>
          <cell r="Z530">
            <v>0</v>
          </cell>
          <cell r="AA530">
            <v>0</v>
          </cell>
          <cell r="AB530" t="str">
            <v>anytime</v>
          </cell>
          <cell r="AC530">
            <v>20</v>
          </cell>
          <cell r="AD530">
            <v>6</v>
          </cell>
          <cell r="AE530" t="str">
            <v>everyone</v>
          </cell>
        </row>
        <row r="531">
          <cell r="A531" t="str">
            <v>30003_3</v>
          </cell>
          <cell r="B531">
            <v>3</v>
          </cell>
          <cell r="C531">
            <v>30003</v>
          </cell>
          <cell r="D531" t="str">
            <v>打ち下ろされる砕棒</v>
          </cell>
          <cell r="E531" t="str">
            <v>ドロップイベント1-3（マルチ専用）</v>
          </cell>
          <cell r="F531">
            <v>3</v>
          </cell>
          <cell r="G531" t="str">
            <v>ja</v>
          </cell>
          <cell r="H531" t="str">
            <v xml:space="preserve">【超級】打ち下ろされる砕棒 </v>
          </cell>
          <cell r="I531" t="str">
            <v>超級</v>
          </cell>
          <cell r="J531">
            <v>275</v>
          </cell>
          <cell r="K531">
            <v>30</v>
          </cell>
          <cell r="L531">
            <v>3300</v>
          </cell>
          <cell r="M531">
            <v>1</v>
          </cell>
          <cell r="N531">
            <v>1</v>
          </cell>
          <cell r="O531">
            <v>1</v>
          </cell>
          <cell r="P531">
            <v>1</v>
          </cell>
          <cell r="Q531">
            <v>1</v>
          </cell>
          <cell r="R531">
            <v>3</v>
          </cell>
          <cell r="S531" t="str">
            <v>polygon</v>
          </cell>
          <cell r="T531">
            <v>1</v>
          </cell>
          <cell r="U531" t="str">
            <v>NULL</v>
          </cell>
          <cell r="V531" t="str">
            <v>NULL</v>
          </cell>
          <cell r="W531" t="str">
            <v/>
          </cell>
          <cell r="X531">
            <v>0</v>
          </cell>
          <cell r="Y531">
            <v>0</v>
          </cell>
          <cell r="Z531">
            <v>0</v>
          </cell>
          <cell r="AA531">
            <v>0</v>
          </cell>
          <cell r="AB531" t="str">
            <v>anytime</v>
          </cell>
          <cell r="AC531">
            <v>20</v>
          </cell>
          <cell r="AD531">
            <v>6</v>
          </cell>
          <cell r="AE531" t="str">
            <v>everyone</v>
          </cell>
        </row>
        <row r="532">
          <cell r="A532" t="str">
            <v>30004_1</v>
          </cell>
          <cell r="B532">
            <v>3</v>
          </cell>
          <cell r="C532">
            <v>30004</v>
          </cell>
          <cell r="D532" t="str">
            <v>危険な仲裁者</v>
          </cell>
          <cell r="E532" t="str">
            <v>ドロップイベント1-4（マルチ専用）</v>
          </cell>
          <cell r="F532">
            <v>1</v>
          </cell>
          <cell r="G532" t="str">
            <v>ja</v>
          </cell>
          <cell r="H532" t="str">
            <v xml:space="preserve">【中級】危険な仲裁者 </v>
          </cell>
          <cell r="I532" t="str">
            <v>中級</v>
          </cell>
          <cell r="J532">
            <v>276</v>
          </cell>
          <cell r="K532">
            <v>15</v>
          </cell>
          <cell r="L532">
            <v>1200</v>
          </cell>
          <cell r="M532">
            <v>1</v>
          </cell>
          <cell r="N532">
            <v>1</v>
          </cell>
          <cell r="O532">
            <v>1</v>
          </cell>
          <cell r="P532">
            <v>1</v>
          </cell>
          <cell r="Q532">
            <v>1</v>
          </cell>
          <cell r="R532">
            <v>3</v>
          </cell>
          <cell r="S532" t="str">
            <v>none</v>
          </cell>
          <cell r="T532">
            <v>0</v>
          </cell>
          <cell r="U532" t="str">
            <v>NULL</v>
          </cell>
          <cell r="V532" t="str">
            <v>NULL</v>
          </cell>
          <cell r="W532" t="str">
            <v/>
          </cell>
          <cell r="X532">
            <v>0</v>
          </cell>
          <cell r="Y532">
            <v>0</v>
          </cell>
          <cell r="Z532">
            <v>0</v>
          </cell>
          <cell r="AA532">
            <v>0</v>
          </cell>
          <cell r="AB532" t="str">
            <v>anytime</v>
          </cell>
          <cell r="AC532">
            <v>14</v>
          </cell>
          <cell r="AD532">
            <v>6</v>
          </cell>
          <cell r="AE532" t="str">
            <v>everyone</v>
          </cell>
        </row>
        <row r="533">
          <cell r="A533" t="str">
            <v>30004_2</v>
          </cell>
          <cell r="B533">
            <v>3</v>
          </cell>
          <cell r="C533">
            <v>30004</v>
          </cell>
          <cell r="D533" t="str">
            <v>危険な仲裁者</v>
          </cell>
          <cell r="E533" t="str">
            <v>ドロップイベント1-4（マルチ専用）</v>
          </cell>
          <cell r="F533">
            <v>2</v>
          </cell>
          <cell r="G533" t="str">
            <v>ja</v>
          </cell>
          <cell r="H533" t="str">
            <v xml:space="preserve">【上級】危険な仲裁者 </v>
          </cell>
          <cell r="I533" t="str">
            <v>上級</v>
          </cell>
          <cell r="J533">
            <v>276</v>
          </cell>
          <cell r="K533">
            <v>20</v>
          </cell>
          <cell r="L533">
            <v>2000</v>
          </cell>
          <cell r="M533">
            <v>1</v>
          </cell>
          <cell r="N533">
            <v>1</v>
          </cell>
          <cell r="O533">
            <v>1</v>
          </cell>
          <cell r="P533">
            <v>1</v>
          </cell>
          <cell r="Q533">
            <v>1</v>
          </cell>
          <cell r="R533">
            <v>3</v>
          </cell>
          <cell r="S533" t="str">
            <v>none</v>
          </cell>
          <cell r="T533">
            <v>0</v>
          </cell>
          <cell r="U533" t="str">
            <v>NULL</v>
          </cell>
          <cell r="V533" t="str">
            <v>NULL</v>
          </cell>
          <cell r="W533" t="str">
            <v/>
          </cell>
          <cell r="X533">
            <v>0</v>
          </cell>
          <cell r="Y533">
            <v>0</v>
          </cell>
          <cell r="Z533">
            <v>0</v>
          </cell>
          <cell r="AA533">
            <v>0</v>
          </cell>
          <cell r="AB533" t="str">
            <v>anytime</v>
          </cell>
          <cell r="AC533">
            <v>14</v>
          </cell>
          <cell r="AD533">
            <v>6</v>
          </cell>
          <cell r="AE533" t="str">
            <v>everyone</v>
          </cell>
        </row>
        <row r="534">
          <cell r="A534" t="str">
            <v>30004_3</v>
          </cell>
          <cell r="B534">
            <v>3</v>
          </cell>
          <cell r="C534">
            <v>30004</v>
          </cell>
          <cell r="D534" t="str">
            <v>危険な仲裁者</v>
          </cell>
          <cell r="E534" t="str">
            <v>ドロップイベント1-4（マルチ専用）</v>
          </cell>
          <cell r="F534">
            <v>3</v>
          </cell>
          <cell r="G534" t="str">
            <v>ja</v>
          </cell>
          <cell r="H534" t="str">
            <v xml:space="preserve">【超級】危険な仲裁者 </v>
          </cell>
          <cell r="I534" t="str">
            <v>超級</v>
          </cell>
          <cell r="J534">
            <v>277</v>
          </cell>
          <cell r="K534">
            <v>30</v>
          </cell>
          <cell r="L534">
            <v>3300</v>
          </cell>
          <cell r="M534">
            <v>1</v>
          </cell>
          <cell r="N534">
            <v>1</v>
          </cell>
          <cell r="O534">
            <v>1</v>
          </cell>
          <cell r="P534">
            <v>1</v>
          </cell>
          <cell r="Q534">
            <v>1</v>
          </cell>
          <cell r="R534">
            <v>3</v>
          </cell>
          <cell r="S534" t="str">
            <v>polygon</v>
          </cell>
          <cell r="T534">
            <v>1</v>
          </cell>
          <cell r="U534" t="str">
            <v>NULL</v>
          </cell>
          <cell r="V534" t="str">
            <v>NULL</v>
          </cell>
          <cell r="W534" t="str">
            <v/>
          </cell>
          <cell r="X534">
            <v>0</v>
          </cell>
          <cell r="Y534">
            <v>0</v>
          </cell>
          <cell r="Z534">
            <v>0</v>
          </cell>
          <cell r="AA534">
            <v>0</v>
          </cell>
          <cell r="AB534" t="str">
            <v>anytime</v>
          </cell>
          <cell r="AC534">
            <v>14</v>
          </cell>
          <cell r="AD534">
            <v>6</v>
          </cell>
          <cell r="AE534" t="str">
            <v>everyone</v>
          </cell>
        </row>
        <row r="535">
          <cell r="A535" t="str">
            <v>30005_1</v>
          </cell>
          <cell r="B535">
            <v>3</v>
          </cell>
          <cell r="C535">
            <v>30005</v>
          </cell>
          <cell r="D535" t="str">
            <v>ニンゲンにしてあげる☆</v>
          </cell>
          <cell r="E535" t="str">
            <v>ドロップイベント2-1（マルチ専用）</v>
          </cell>
          <cell r="F535">
            <v>1</v>
          </cell>
          <cell r="G535" t="str">
            <v>ja</v>
          </cell>
          <cell r="H535" t="str">
            <v xml:space="preserve">【中級】ニンゲンにしてあげる </v>
          </cell>
          <cell r="I535" t="str">
            <v>中級</v>
          </cell>
          <cell r="J535">
            <v>290</v>
          </cell>
          <cell r="K535">
            <v>15</v>
          </cell>
          <cell r="L535">
            <v>1200</v>
          </cell>
          <cell r="M535">
            <v>1</v>
          </cell>
          <cell r="N535">
            <v>1</v>
          </cell>
          <cell r="O535">
            <v>1</v>
          </cell>
          <cell r="P535">
            <v>1</v>
          </cell>
          <cell r="Q535">
            <v>1</v>
          </cell>
          <cell r="R535">
            <v>3</v>
          </cell>
          <cell r="S535" t="str">
            <v>none</v>
          </cell>
          <cell r="T535">
            <v>0</v>
          </cell>
          <cell r="U535" t="str">
            <v>NULL</v>
          </cell>
          <cell r="V535" t="str">
            <v>NULL</v>
          </cell>
          <cell r="W535" t="str">
            <v/>
          </cell>
          <cell r="X535">
            <v>0</v>
          </cell>
          <cell r="Y535">
            <v>0</v>
          </cell>
          <cell r="Z535">
            <v>0</v>
          </cell>
          <cell r="AA535">
            <v>0</v>
          </cell>
          <cell r="AB535" t="str">
            <v>anytime</v>
          </cell>
          <cell r="AC535">
            <v>11</v>
          </cell>
          <cell r="AD535">
            <v>6</v>
          </cell>
          <cell r="AE535" t="str">
            <v>everyone</v>
          </cell>
        </row>
        <row r="536">
          <cell r="A536" t="str">
            <v>30005_2</v>
          </cell>
          <cell r="B536">
            <v>3</v>
          </cell>
          <cell r="C536">
            <v>30005</v>
          </cell>
          <cell r="D536" t="str">
            <v>ニンゲンにしてあげる☆</v>
          </cell>
          <cell r="E536" t="str">
            <v>ドロップイベント2-1（マルチ専用）</v>
          </cell>
          <cell r="F536">
            <v>2</v>
          </cell>
          <cell r="G536" t="str">
            <v>ja</v>
          </cell>
          <cell r="H536" t="str">
            <v xml:space="preserve">【上級】ニンゲンにしてあげる </v>
          </cell>
          <cell r="I536" t="str">
            <v>上級</v>
          </cell>
          <cell r="J536">
            <v>290</v>
          </cell>
          <cell r="K536">
            <v>20</v>
          </cell>
          <cell r="L536">
            <v>2000</v>
          </cell>
          <cell r="M536">
            <v>1</v>
          </cell>
          <cell r="N536">
            <v>1</v>
          </cell>
          <cell r="O536">
            <v>1</v>
          </cell>
          <cell r="P536">
            <v>1</v>
          </cell>
          <cell r="Q536">
            <v>1</v>
          </cell>
          <cell r="R536">
            <v>3</v>
          </cell>
          <cell r="S536" t="str">
            <v>none</v>
          </cell>
          <cell r="T536">
            <v>0</v>
          </cell>
          <cell r="U536" t="str">
            <v>NULL</v>
          </cell>
          <cell r="V536" t="str">
            <v>NULL</v>
          </cell>
          <cell r="W536" t="str">
            <v/>
          </cell>
          <cell r="X536">
            <v>0</v>
          </cell>
          <cell r="Y536">
            <v>0</v>
          </cell>
          <cell r="Z536">
            <v>0</v>
          </cell>
          <cell r="AA536">
            <v>0</v>
          </cell>
          <cell r="AB536" t="str">
            <v>anytime</v>
          </cell>
          <cell r="AC536">
            <v>11</v>
          </cell>
          <cell r="AD536">
            <v>6</v>
          </cell>
          <cell r="AE536" t="str">
            <v>everyone</v>
          </cell>
        </row>
        <row r="537">
          <cell r="A537" t="str">
            <v>30005_3</v>
          </cell>
          <cell r="B537">
            <v>3</v>
          </cell>
          <cell r="C537">
            <v>30005</v>
          </cell>
          <cell r="D537" t="str">
            <v>ニンゲンにしてあげる☆</v>
          </cell>
          <cell r="E537" t="str">
            <v>ドロップイベント2-1（マルチ専用）</v>
          </cell>
          <cell r="F537">
            <v>3</v>
          </cell>
          <cell r="G537" t="str">
            <v>ja</v>
          </cell>
          <cell r="H537" t="str">
            <v>【超級】ニンゲンにしてあげる</v>
          </cell>
          <cell r="I537" t="str">
            <v>超級</v>
          </cell>
          <cell r="J537">
            <v>291</v>
          </cell>
          <cell r="K537">
            <v>30</v>
          </cell>
          <cell r="L537">
            <v>3300</v>
          </cell>
          <cell r="M537">
            <v>1</v>
          </cell>
          <cell r="N537">
            <v>1</v>
          </cell>
          <cell r="O537">
            <v>1</v>
          </cell>
          <cell r="P537">
            <v>1</v>
          </cell>
          <cell r="Q537">
            <v>1</v>
          </cell>
          <cell r="R537">
            <v>3</v>
          </cell>
          <cell r="S537" t="str">
            <v>polygon</v>
          </cell>
          <cell r="T537">
            <v>1</v>
          </cell>
          <cell r="U537" t="str">
            <v>NULL</v>
          </cell>
          <cell r="V537" t="str">
            <v>NULL</v>
          </cell>
          <cell r="W537" t="str">
            <v/>
          </cell>
          <cell r="X537">
            <v>0</v>
          </cell>
          <cell r="Y537">
            <v>0</v>
          </cell>
          <cell r="Z537">
            <v>0</v>
          </cell>
          <cell r="AA537">
            <v>0</v>
          </cell>
          <cell r="AB537" t="str">
            <v>anytime</v>
          </cell>
          <cell r="AC537">
            <v>11</v>
          </cell>
          <cell r="AD537">
            <v>6</v>
          </cell>
          <cell r="AE537" t="str">
            <v>everyone</v>
          </cell>
        </row>
        <row r="538">
          <cell r="A538" t="str">
            <v>30006_1</v>
          </cell>
          <cell r="B538">
            <v>3</v>
          </cell>
          <cell r="C538">
            <v>30006</v>
          </cell>
          <cell r="D538" t="str">
            <v>それはお前を食べるためさ</v>
          </cell>
          <cell r="E538" t="str">
            <v>ドロップイベント2-3（マルチ専用）</v>
          </cell>
          <cell r="F538">
            <v>1</v>
          </cell>
          <cell r="G538" t="str">
            <v>ja</v>
          </cell>
          <cell r="H538" t="str">
            <v>【中級】それはお前を食べるためさ</v>
          </cell>
          <cell r="I538" t="str">
            <v>中級</v>
          </cell>
          <cell r="J538">
            <v>294</v>
          </cell>
          <cell r="K538">
            <v>15</v>
          </cell>
          <cell r="L538">
            <v>1200</v>
          </cell>
          <cell r="M538">
            <v>1</v>
          </cell>
          <cell r="N538">
            <v>1</v>
          </cell>
          <cell r="O538">
            <v>1</v>
          </cell>
          <cell r="P538">
            <v>1</v>
          </cell>
          <cell r="Q538">
            <v>1</v>
          </cell>
          <cell r="R538">
            <v>3</v>
          </cell>
          <cell r="S538" t="str">
            <v>none</v>
          </cell>
          <cell r="T538">
            <v>0</v>
          </cell>
          <cell r="U538" t="str">
            <v>NULL</v>
          </cell>
          <cell r="V538" t="str">
            <v>NULL</v>
          </cell>
          <cell r="W538" t="str">
            <v/>
          </cell>
          <cell r="X538">
            <v>0</v>
          </cell>
          <cell r="Y538">
            <v>0</v>
          </cell>
          <cell r="Z538">
            <v>0</v>
          </cell>
          <cell r="AA538">
            <v>0</v>
          </cell>
          <cell r="AB538" t="str">
            <v>anytime</v>
          </cell>
          <cell r="AC538">
            <v>7</v>
          </cell>
          <cell r="AD538">
            <v>6</v>
          </cell>
          <cell r="AE538" t="str">
            <v>everyone</v>
          </cell>
        </row>
        <row r="539">
          <cell r="A539" t="str">
            <v>30006_2</v>
          </cell>
          <cell r="B539">
            <v>3</v>
          </cell>
          <cell r="C539">
            <v>30006</v>
          </cell>
          <cell r="D539" t="str">
            <v>それはお前を食べるためさ</v>
          </cell>
          <cell r="E539" t="str">
            <v>ドロップイベント2-3（マルチ専用）</v>
          </cell>
          <cell r="F539">
            <v>2</v>
          </cell>
          <cell r="G539" t="str">
            <v>ja</v>
          </cell>
          <cell r="H539" t="str">
            <v>【上級】それはお前を食べるためさ</v>
          </cell>
          <cell r="I539" t="str">
            <v>上級</v>
          </cell>
          <cell r="J539">
            <v>294</v>
          </cell>
          <cell r="K539">
            <v>20</v>
          </cell>
          <cell r="L539">
            <v>2000</v>
          </cell>
          <cell r="M539">
            <v>1</v>
          </cell>
          <cell r="N539">
            <v>1</v>
          </cell>
          <cell r="O539">
            <v>1</v>
          </cell>
          <cell r="P539">
            <v>1</v>
          </cell>
          <cell r="Q539">
            <v>1</v>
          </cell>
          <cell r="R539">
            <v>3</v>
          </cell>
          <cell r="S539" t="str">
            <v>none</v>
          </cell>
          <cell r="T539">
            <v>0</v>
          </cell>
          <cell r="U539" t="str">
            <v>NULL</v>
          </cell>
          <cell r="V539" t="str">
            <v>NULL</v>
          </cell>
          <cell r="W539" t="str">
            <v/>
          </cell>
          <cell r="X539">
            <v>0</v>
          </cell>
          <cell r="Y539">
            <v>0</v>
          </cell>
          <cell r="Z539">
            <v>0</v>
          </cell>
          <cell r="AA539">
            <v>0</v>
          </cell>
          <cell r="AB539" t="str">
            <v>anytime</v>
          </cell>
          <cell r="AC539">
            <v>7</v>
          </cell>
          <cell r="AD539">
            <v>6</v>
          </cell>
          <cell r="AE539" t="str">
            <v>everyone</v>
          </cell>
        </row>
        <row r="540">
          <cell r="A540" t="str">
            <v>30006_3</v>
          </cell>
          <cell r="B540">
            <v>3</v>
          </cell>
          <cell r="C540">
            <v>30006</v>
          </cell>
          <cell r="D540" t="str">
            <v>それはお前を食べるためさ</v>
          </cell>
          <cell r="E540" t="str">
            <v>ドロップイベント2-3（マルチ専用）</v>
          </cell>
          <cell r="F540">
            <v>3</v>
          </cell>
          <cell r="G540" t="str">
            <v>ja</v>
          </cell>
          <cell r="H540" t="str">
            <v>【超級】それはお前を食べるためさ</v>
          </cell>
          <cell r="I540" t="str">
            <v>超級</v>
          </cell>
          <cell r="J540">
            <v>295</v>
          </cell>
          <cell r="K540">
            <v>30</v>
          </cell>
          <cell r="L540">
            <v>3300</v>
          </cell>
          <cell r="M540">
            <v>1</v>
          </cell>
          <cell r="N540">
            <v>1</v>
          </cell>
          <cell r="O540">
            <v>1</v>
          </cell>
          <cell r="P540">
            <v>1</v>
          </cell>
          <cell r="Q540">
            <v>1</v>
          </cell>
          <cell r="R540">
            <v>3</v>
          </cell>
          <cell r="S540" t="str">
            <v>polygon</v>
          </cell>
          <cell r="T540">
            <v>1</v>
          </cell>
          <cell r="U540" t="str">
            <v>NULL</v>
          </cell>
          <cell r="V540" t="str">
            <v>NULL</v>
          </cell>
          <cell r="W540" t="str">
            <v/>
          </cell>
          <cell r="X540">
            <v>0</v>
          </cell>
          <cell r="Y540">
            <v>0</v>
          </cell>
          <cell r="Z540">
            <v>0</v>
          </cell>
          <cell r="AA540">
            <v>0</v>
          </cell>
          <cell r="AB540" t="str">
            <v>anytime</v>
          </cell>
          <cell r="AC540">
            <v>7</v>
          </cell>
          <cell r="AD540">
            <v>6</v>
          </cell>
          <cell r="AE540" t="str">
            <v>everyone</v>
          </cell>
        </row>
        <row r="541">
          <cell r="A541" t="str">
            <v>30007_1</v>
          </cell>
          <cell r="B541">
            <v>3</v>
          </cell>
          <cell r="C541">
            <v>30007</v>
          </cell>
          <cell r="D541" t="str">
            <v>ガラスの靴は私のもの</v>
          </cell>
          <cell r="E541" t="str">
            <v>ドロップイベント2-2（マルチ専用）</v>
          </cell>
          <cell r="F541">
            <v>1</v>
          </cell>
          <cell r="G541" t="str">
            <v>ja</v>
          </cell>
          <cell r="H541" t="str">
            <v xml:space="preserve">【中級】ガラスの靴は私のもの </v>
          </cell>
          <cell r="I541" t="str">
            <v>中級</v>
          </cell>
          <cell r="J541">
            <v>292</v>
          </cell>
          <cell r="K541">
            <v>15</v>
          </cell>
          <cell r="L541">
            <v>1200</v>
          </cell>
          <cell r="M541">
            <v>1</v>
          </cell>
          <cell r="N541">
            <v>1</v>
          </cell>
          <cell r="O541">
            <v>1</v>
          </cell>
          <cell r="P541">
            <v>1</v>
          </cell>
          <cell r="Q541">
            <v>1</v>
          </cell>
          <cell r="R541">
            <v>3</v>
          </cell>
          <cell r="S541" t="str">
            <v>none</v>
          </cell>
          <cell r="T541">
            <v>0</v>
          </cell>
          <cell r="U541" t="str">
            <v>NULL</v>
          </cell>
          <cell r="V541" t="str">
            <v>NULL</v>
          </cell>
          <cell r="W541" t="str">
            <v/>
          </cell>
          <cell r="X541">
            <v>0</v>
          </cell>
          <cell r="Y541">
            <v>0</v>
          </cell>
          <cell r="Z541">
            <v>0</v>
          </cell>
          <cell r="AA541">
            <v>0</v>
          </cell>
          <cell r="AB541" t="str">
            <v>anytime</v>
          </cell>
          <cell r="AC541">
            <v>9</v>
          </cell>
          <cell r="AD541">
            <v>6</v>
          </cell>
          <cell r="AE541" t="str">
            <v>everyone</v>
          </cell>
        </row>
        <row r="542">
          <cell r="A542" t="str">
            <v>30007_2</v>
          </cell>
          <cell r="B542">
            <v>3</v>
          </cell>
          <cell r="C542">
            <v>30007</v>
          </cell>
          <cell r="D542" t="str">
            <v>ガラスの靴は私のもの</v>
          </cell>
          <cell r="E542" t="str">
            <v>ドロップイベント2-2（マルチ専用）</v>
          </cell>
          <cell r="F542">
            <v>2</v>
          </cell>
          <cell r="G542" t="str">
            <v>ja</v>
          </cell>
          <cell r="H542" t="str">
            <v>【上級】ガラスの靴は私のもの</v>
          </cell>
          <cell r="I542" t="str">
            <v>上級</v>
          </cell>
          <cell r="J542">
            <v>292</v>
          </cell>
          <cell r="K542">
            <v>20</v>
          </cell>
          <cell r="L542">
            <v>2000</v>
          </cell>
          <cell r="M542">
            <v>1</v>
          </cell>
          <cell r="N542">
            <v>1</v>
          </cell>
          <cell r="O542">
            <v>1</v>
          </cell>
          <cell r="P542">
            <v>1</v>
          </cell>
          <cell r="Q542">
            <v>1</v>
          </cell>
          <cell r="R542">
            <v>3</v>
          </cell>
          <cell r="S542" t="str">
            <v>none</v>
          </cell>
          <cell r="T542">
            <v>0</v>
          </cell>
          <cell r="U542" t="str">
            <v>NULL</v>
          </cell>
          <cell r="V542" t="str">
            <v>NULL</v>
          </cell>
          <cell r="W542" t="str">
            <v/>
          </cell>
          <cell r="X542">
            <v>0</v>
          </cell>
          <cell r="Y542">
            <v>0</v>
          </cell>
          <cell r="Z542">
            <v>0</v>
          </cell>
          <cell r="AA542">
            <v>0</v>
          </cell>
          <cell r="AB542" t="str">
            <v>anytime</v>
          </cell>
          <cell r="AC542">
            <v>9</v>
          </cell>
          <cell r="AD542">
            <v>6</v>
          </cell>
          <cell r="AE542" t="str">
            <v>everyone</v>
          </cell>
        </row>
        <row r="543">
          <cell r="A543" t="str">
            <v>30007_3</v>
          </cell>
          <cell r="B543">
            <v>3</v>
          </cell>
          <cell r="C543">
            <v>30007</v>
          </cell>
          <cell r="D543" t="str">
            <v>ガラスの靴は私のもの</v>
          </cell>
          <cell r="E543" t="str">
            <v>ドロップイベント2-2（マルチ専用）</v>
          </cell>
          <cell r="F543">
            <v>3</v>
          </cell>
          <cell r="G543" t="str">
            <v>ja</v>
          </cell>
          <cell r="H543" t="str">
            <v xml:space="preserve">【超級】ガラスの靴は私のもの </v>
          </cell>
          <cell r="I543" t="str">
            <v>超級</v>
          </cell>
          <cell r="J543">
            <v>293</v>
          </cell>
          <cell r="K543">
            <v>30</v>
          </cell>
          <cell r="L543">
            <v>3300</v>
          </cell>
          <cell r="M543">
            <v>1</v>
          </cell>
          <cell r="N543">
            <v>1</v>
          </cell>
          <cell r="O543">
            <v>1</v>
          </cell>
          <cell r="P543">
            <v>1</v>
          </cell>
          <cell r="Q543">
            <v>1</v>
          </cell>
          <cell r="R543">
            <v>3</v>
          </cell>
          <cell r="S543" t="str">
            <v>polygon</v>
          </cell>
          <cell r="T543">
            <v>1</v>
          </cell>
          <cell r="U543" t="str">
            <v>NULL</v>
          </cell>
          <cell r="V543" t="str">
            <v>NULL</v>
          </cell>
          <cell r="W543" t="str">
            <v/>
          </cell>
          <cell r="X543">
            <v>0</v>
          </cell>
          <cell r="Y543">
            <v>0</v>
          </cell>
          <cell r="Z543">
            <v>0</v>
          </cell>
          <cell r="AA543">
            <v>0</v>
          </cell>
          <cell r="AB543" t="str">
            <v>anytime</v>
          </cell>
          <cell r="AC543">
            <v>9</v>
          </cell>
          <cell r="AD543">
            <v>6</v>
          </cell>
          <cell r="AE543" t="str">
            <v>everyone</v>
          </cell>
        </row>
        <row r="544">
          <cell r="A544" t="str">
            <v>30008_1</v>
          </cell>
          <cell r="B544">
            <v>3</v>
          </cell>
          <cell r="C544">
            <v>30008</v>
          </cell>
          <cell r="D544" t="str">
            <v>わたしの嫁を返してもらおう</v>
          </cell>
          <cell r="E544" t="str">
            <v>ドロップイベント2-4（マルチ専用）</v>
          </cell>
          <cell r="F544">
            <v>1</v>
          </cell>
          <cell r="G544" t="str">
            <v>ja</v>
          </cell>
          <cell r="H544" t="str">
            <v>【中級】わたしの嫁を返してもらおう</v>
          </cell>
          <cell r="I544" t="str">
            <v>中級</v>
          </cell>
          <cell r="J544">
            <v>288</v>
          </cell>
          <cell r="K544">
            <v>15</v>
          </cell>
          <cell r="L544">
            <v>1200</v>
          </cell>
          <cell r="M544">
            <v>1</v>
          </cell>
          <cell r="N544">
            <v>1</v>
          </cell>
          <cell r="O544">
            <v>1</v>
          </cell>
          <cell r="P544">
            <v>1</v>
          </cell>
          <cell r="Q544">
            <v>1</v>
          </cell>
          <cell r="R544">
            <v>3</v>
          </cell>
          <cell r="S544" t="str">
            <v>none</v>
          </cell>
          <cell r="T544">
            <v>0</v>
          </cell>
          <cell r="U544" t="str">
            <v>NULL</v>
          </cell>
          <cell r="V544" t="str">
            <v>NULL</v>
          </cell>
          <cell r="W544" t="str">
            <v/>
          </cell>
          <cell r="X544">
            <v>0</v>
          </cell>
          <cell r="Y544">
            <v>0</v>
          </cell>
          <cell r="Z544">
            <v>0</v>
          </cell>
          <cell r="AA544">
            <v>0</v>
          </cell>
          <cell r="AB544" t="str">
            <v>anytime</v>
          </cell>
          <cell r="AC544">
            <v>22</v>
          </cell>
          <cell r="AD544">
            <v>6</v>
          </cell>
          <cell r="AE544" t="str">
            <v>everyone</v>
          </cell>
        </row>
        <row r="545">
          <cell r="A545" t="str">
            <v>30008_2</v>
          </cell>
          <cell r="B545">
            <v>3</v>
          </cell>
          <cell r="C545">
            <v>30008</v>
          </cell>
          <cell r="D545" t="str">
            <v>わたしの嫁を返してもらおう</v>
          </cell>
          <cell r="E545" t="str">
            <v>ドロップイベント2-4（マルチ専用）</v>
          </cell>
          <cell r="F545">
            <v>2</v>
          </cell>
          <cell r="G545" t="str">
            <v>ja</v>
          </cell>
          <cell r="H545" t="str">
            <v>【上級】わたしの嫁を返してもらおう</v>
          </cell>
          <cell r="I545" t="str">
            <v>上級</v>
          </cell>
          <cell r="J545">
            <v>288</v>
          </cell>
          <cell r="K545">
            <v>20</v>
          </cell>
          <cell r="L545">
            <v>2000</v>
          </cell>
          <cell r="M545">
            <v>1</v>
          </cell>
          <cell r="N545">
            <v>1</v>
          </cell>
          <cell r="O545">
            <v>1</v>
          </cell>
          <cell r="P545">
            <v>1</v>
          </cell>
          <cell r="Q545">
            <v>1</v>
          </cell>
          <cell r="R545">
            <v>3</v>
          </cell>
          <cell r="S545" t="str">
            <v>none</v>
          </cell>
          <cell r="T545">
            <v>0</v>
          </cell>
          <cell r="U545" t="str">
            <v>NULL</v>
          </cell>
          <cell r="V545" t="str">
            <v>NULL</v>
          </cell>
          <cell r="W545" t="str">
            <v/>
          </cell>
          <cell r="X545">
            <v>0</v>
          </cell>
          <cell r="Y545">
            <v>0</v>
          </cell>
          <cell r="Z545">
            <v>0</v>
          </cell>
          <cell r="AA545">
            <v>0</v>
          </cell>
          <cell r="AB545" t="str">
            <v>anytime</v>
          </cell>
          <cell r="AC545">
            <v>22</v>
          </cell>
          <cell r="AD545">
            <v>6</v>
          </cell>
          <cell r="AE545" t="str">
            <v>everyone</v>
          </cell>
        </row>
        <row r="546">
          <cell r="A546" t="str">
            <v>30008_3</v>
          </cell>
          <cell r="B546">
            <v>3</v>
          </cell>
          <cell r="C546">
            <v>30008</v>
          </cell>
          <cell r="D546" t="str">
            <v>わたしの嫁を返してもらおう</v>
          </cell>
          <cell r="E546" t="str">
            <v>ドロップイベント2-4（マルチ専用）</v>
          </cell>
          <cell r="F546">
            <v>3</v>
          </cell>
          <cell r="G546" t="str">
            <v>ja</v>
          </cell>
          <cell r="H546" t="str">
            <v>【超級】わたしの嫁を返してもらおう</v>
          </cell>
          <cell r="I546" t="str">
            <v>超級</v>
          </cell>
          <cell r="J546">
            <v>289</v>
          </cell>
          <cell r="K546">
            <v>30</v>
          </cell>
          <cell r="L546">
            <v>3300</v>
          </cell>
          <cell r="M546">
            <v>1</v>
          </cell>
          <cell r="N546">
            <v>1</v>
          </cell>
          <cell r="O546">
            <v>1</v>
          </cell>
          <cell r="P546">
            <v>1</v>
          </cell>
          <cell r="Q546">
            <v>1</v>
          </cell>
          <cell r="R546">
            <v>3</v>
          </cell>
          <cell r="S546" t="str">
            <v>polygon</v>
          </cell>
          <cell r="T546">
            <v>1</v>
          </cell>
          <cell r="U546" t="str">
            <v>NULL</v>
          </cell>
          <cell r="V546" t="str">
            <v>NULL</v>
          </cell>
          <cell r="W546" t="str">
            <v/>
          </cell>
          <cell r="X546">
            <v>0</v>
          </cell>
          <cell r="Y546">
            <v>0</v>
          </cell>
          <cell r="Z546">
            <v>0</v>
          </cell>
          <cell r="AA546">
            <v>0</v>
          </cell>
          <cell r="AB546" t="str">
            <v>anytime</v>
          </cell>
          <cell r="AC546">
            <v>22</v>
          </cell>
          <cell r="AD546">
            <v>6</v>
          </cell>
          <cell r="AE546" t="str">
            <v>everyone</v>
          </cell>
        </row>
        <row r="547">
          <cell r="A547" t="str">
            <v>30009_3</v>
          </cell>
          <cell r="B547">
            <v>0</v>
          </cell>
          <cell r="C547">
            <v>30009</v>
          </cell>
          <cell r="D547" t="str">
            <v>復活の捕食者</v>
          </cell>
          <cell r="E547" t="str">
            <v>ドロップイベント3（マルチ専用）</v>
          </cell>
          <cell r="F547">
            <v>3</v>
          </cell>
          <cell r="G547" t="str">
            <v>ja</v>
          </cell>
          <cell r="H547" t="str">
            <v>【上級】復活の捕食者</v>
          </cell>
          <cell r="I547" t="str">
            <v>上級</v>
          </cell>
          <cell r="J547">
            <v>312</v>
          </cell>
          <cell r="K547">
            <v>20</v>
          </cell>
          <cell r="L547">
            <v>2000</v>
          </cell>
          <cell r="M547">
            <v>1</v>
          </cell>
          <cell r="N547">
            <v>1</v>
          </cell>
          <cell r="O547">
            <v>1</v>
          </cell>
          <cell r="P547">
            <v>1</v>
          </cell>
          <cell r="Q547">
            <v>1</v>
          </cell>
          <cell r="R547">
            <v>2</v>
          </cell>
          <cell r="S547" t="str">
            <v>none</v>
          </cell>
          <cell r="T547">
            <v>0</v>
          </cell>
          <cell r="U547" t="str">
            <v>NULL</v>
          </cell>
          <cell r="V547" t="str">
            <v>NULL</v>
          </cell>
          <cell r="W547" t="str">
            <v/>
          </cell>
          <cell r="X547">
            <v>0</v>
          </cell>
          <cell r="Y547">
            <v>0</v>
          </cell>
          <cell r="Z547">
            <v>0</v>
          </cell>
          <cell r="AA547">
            <v>0</v>
          </cell>
          <cell r="AB547" t="str">
            <v>anytime</v>
          </cell>
          <cell r="AC547">
            <v>8</v>
          </cell>
          <cell r="AD547">
            <v>6</v>
          </cell>
          <cell r="AE547" t="str">
            <v>everyone</v>
          </cell>
        </row>
        <row r="548">
          <cell r="A548" t="str">
            <v>30009_1</v>
          </cell>
          <cell r="B548">
            <v>3</v>
          </cell>
          <cell r="C548">
            <v>30009</v>
          </cell>
          <cell r="D548" t="str">
            <v>復活の捕食者</v>
          </cell>
          <cell r="E548" t="str">
            <v>ドロップイベント3（マルチ専用）</v>
          </cell>
          <cell r="F548">
            <v>1</v>
          </cell>
          <cell r="G548" t="str">
            <v>ja</v>
          </cell>
          <cell r="H548" t="str">
            <v>【超級】復活の捕食者</v>
          </cell>
          <cell r="I548" t="str">
            <v>超級</v>
          </cell>
          <cell r="J548">
            <v>312</v>
          </cell>
          <cell r="K548">
            <v>30</v>
          </cell>
          <cell r="L548">
            <v>3300</v>
          </cell>
          <cell r="M548">
            <v>1</v>
          </cell>
          <cell r="N548">
            <v>1</v>
          </cell>
          <cell r="O548">
            <v>1</v>
          </cell>
          <cell r="P548">
            <v>1</v>
          </cell>
          <cell r="Q548">
            <v>1</v>
          </cell>
          <cell r="R548">
            <v>2</v>
          </cell>
          <cell r="S548" t="str">
            <v>none</v>
          </cell>
          <cell r="T548">
            <v>0</v>
          </cell>
          <cell r="U548" t="str">
            <v>NULL</v>
          </cell>
          <cell r="V548" t="str">
            <v>NULL</v>
          </cell>
          <cell r="W548" t="str">
            <v/>
          </cell>
          <cell r="X548">
            <v>0</v>
          </cell>
          <cell r="Y548">
            <v>0</v>
          </cell>
          <cell r="Z548">
            <v>0</v>
          </cell>
          <cell r="AA548">
            <v>0</v>
          </cell>
          <cell r="AB548" t="str">
            <v>anytime</v>
          </cell>
          <cell r="AC548">
            <v>8</v>
          </cell>
          <cell r="AD548">
            <v>6</v>
          </cell>
          <cell r="AE548" t="str">
            <v>everyone</v>
          </cell>
        </row>
        <row r="549">
          <cell r="A549" t="str">
            <v>30009_2</v>
          </cell>
          <cell r="B549">
            <v>3</v>
          </cell>
          <cell r="C549">
            <v>30009</v>
          </cell>
          <cell r="D549" t="str">
            <v>復活の捕食者</v>
          </cell>
          <cell r="E549" t="str">
            <v>ドロップイベント3（マルチ専用）</v>
          </cell>
          <cell r="F549">
            <v>2</v>
          </cell>
          <cell r="G549" t="str">
            <v>ja</v>
          </cell>
          <cell r="H549" t="str">
            <v>【超絶級】復活の捕食者</v>
          </cell>
          <cell r="I549" t="str">
            <v>超絶級</v>
          </cell>
          <cell r="J549">
            <v>312</v>
          </cell>
          <cell r="K549">
            <v>35</v>
          </cell>
          <cell r="L549">
            <v>4200</v>
          </cell>
          <cell r="M549">
            <v>1</v>
          </cell>
          <cell r="N549">
            <v>1</v>
          </cell>
          <cell r="O549">
            <v>1</v>
          </cell>
          <cell r="P549">
            <v>1</v>
          </cell>
          <cell r="Q549">
            <v>1</v>
          </cell>
          <cell r="R549">
            <v>2</v>
          </cell>
          <cell r="S549" t="str">
            <v>polygon</v>
          </cell>
          <cell r="T549">
            <v>1</v>
          </cell>
          <cell r="U549" t="str">
            <v>NULL</v>
          </cell>
          <cell r="V549" t="str">
            <v>NULL</v>
          </cell>
          <cell r="W549" t="str">
            <v/>
          </cell>
          <cell r="X549">
            <v>0</v>
          </cell>
          <cell r="Y549">
            <v>0</v>
          </cell>
          <cell r="Z549">
            <v>0</v>
          </cell>
          <cell r="AA549">
            <v>0</v>
          </cell>
          <cell r="AB549" t="str">
            <v>anytime</v>
          </cell>
          <cell r="AC549">
            <v>8</v>
          </cell>
          <cell r="AD549">
            <v>6</v>
          </cell>
          <cell r="AE549" t="str">
            <v>everyone</v>
          </cell>
        </row>
        <row r="550">
          <cell r="A550" t="str">
            <v>30010_1</v>
          </cell>
          <cell r="B550">
            <v>3</v>
          </cell>
          <cell r="C550">
            <v>30010</v>
          </cell>
          <cell r="D550" t="str">
            <v>最大最凶</v>
          </cell>
          <cell r="E550" t="str">
            <v>ドロップイベント3（マルチ専用）</v>
          </cell>
          <cell r="F550">
            <v>1</v>
          </cell>
          <cell r="G550" t="str">
            <v>ja</v>
          </cell>
          <cell r="H550" t="str">
            <v>【上級】最大最凶</v>
          </cell>
          <cell r="I550" t="str">
            <v>上級</v>
          </cell>
          <cell r="J550">
            <v>306</v>
          </cell>
          <cell r="K550">
            <v>20</v>
          </cell>
          <cell r="L550">
            <v>2000</v>
          </cell>
          <cell r="M550">
            <v>1</v>
          </cell>
          <cell r="N550">
            <v>1</v>
          </cell>
          <cell r="O550">
            <v>1</v>
          </cell>
          <cell r="P550">
            <v>1</v>
          </cell>
          <cell r="Q550">
            <v>1</v>
          </cell>
          <cell r="R550">
            <v>3</v>
          </cell>
          <cell r="S550" t="str">
            <v>none</v>
          </cell>
          <cell r="T550">
            <v>0</v>
          </cell>
          <cell r="U550" t="str">
            <v>NULL</v>
          </cell>
          <cell r="V550" t="str">
            <v>NULL</v>
          </cell>
          <cell r="W550" t="str">
            <v/>
          </cell>
          <cell r="X550">
            <v>0</v>
          </cell>
          <cell r="Y550">
            <v>0</v>
          </cell>
          <cell r="Z550">
            <v>0</v>
          </cell>
          <cell r="AA550">
            <v>0</v>
          </cell>
          <cell r="AB550" t="str">
            <v>anytime</v>
          </cell>
          <cell r="AC550">
            <v>2</v>
          </cell>
          <cell r="AD550">
            <v>7</v>
          </cell>
          <cell r="AE550" t="str">
            <v>everyone</v>
          </cell>
        </row>
        <row r="551">
          <cell r="A551" t="str">
            <v>30010_2</v>
          </cell>
          <cell r="B551">
            <v>3</v>
          </cell>
          <cell r="C551">
            <v>30010</v>
          </cell>
          <cell r="D551" t="str">
            <v>最大最凶</v>
          </cell>
          <cell r="E551" t="str">
            <v>ドロップイベント3（マルチ専用）</v>
          </cell>
          <cell r="F551">
            <v>2</v>
          </cell>
          <cell r="G551" t="str">
            <v>ja</v>
          </cell>
          <cell r="H551" t="str">
            <v>【超級】最大最凶</v>
          </cell>
          <cell r="I551" t="str">
            <v>超級</v>
          </cell>
          <cell r="J551">
            <v>306</v>
          </cell>
          <cell r="K551">
            <v>30</v>
          </cell>
          <cell r="L551">
            <v>3300</v>
          </cell>
          <cell r="M551">
            <v>1</v>
          </cell>
          <cell r="N551">
            <v>1</v>
          </cell>
          <cell r="O551">
            <v>1</v>
          </cell>
          <cell r="P551">
            <v>1</v>
          </cell>
          <cell r="Q551">
            <v>1</v>
          </cell>
          <cell r="R551">
            <v>3</v>
          </cell>
          <cell r="S551" t="str">
            <v>none</v>
          </cell>
          <cell r="T551">
            <v>0</v>
          </cell>
          <cell r="U551" t="str">
            <v>NULL</v>
          </cell>
          <cell r="V551" t="str">
            <v>NULL</v>
          </cell>
          <cell r="W551" t="str">
            <v/>
          </cell>
          <cell r="X551">
            <v>0</v>
          </cell>
          <cell r="Y551">
            <v>0</v>
          </cell>
          <cell r="Z551">
            <v>0</v>
          </cell>
          <cell r="AA551">
            <v>0</v>
          </cell>
          <cell r="AB551" t="str">
            <v>anytime</v>
          </cell>
          <cell r="AC551">
            <v>2</v>
          </cell>
          <cell r="AD551">
            <v>7</v>
          </cell>
          <cell r="AE551" t="str">
            <v>everyone</v>
          </cell>
        </row>
        <row r="552">
          <cell r="A552" t="str">
            <v>30010_3</v>
          </cell>
          <cell r="B552">
            <v>3</v>
          </cell>
          <cell r="C552">
            <v>30010</v>
          </cell>
          <cell r="D552" t="str">
            <v>最大最凶</v>
          </cell>
          <cell r="E552" t="str">
            <v>ドロップイベント3（マルチ専用）</v>
          </cell>
          <cell r="F552">
            <v>3</v>
          </cell>
          <cell r="G552" t="str">
            <v>ja</v>
          </cell>
          <cell r="H552" t="str">
            <v>【超絶級】最大最凶</v>
          </cell>
          <cell r="I552" t="str">
            <v>超絶級</v>
          </cell>
          <cell r="J552">
            <v>306</v>
          </cell>
          <cell r="K552">
            <v>35</v>
          </cell>
          <cell r="L552">
            <v>4200</v>
          </cell>
          <cell r="M552">
            <v>1</v>
          </cell>
          <cell r="N552">
            <v>1</v>
          </cell>
          <cell r="O552">
            <v>1</v>
          </cell>
          <cell r="P552">
            <v>1</v>
          </cell>
          <cell r="Q552">
            <v>1</v>
          </cell>
          <cell r="R552">
            <v>3</v>
          </cell>
          <cell r="S552" t="str">
            <v>polygon</v>
          </cell>
          <cell r="T552">
            <v>1</v>
          </cell>
          <cell r="U552" t="str">
            <v>NULL</v>
          </cell>
          <cell r="V552" t="str">
            <v>NULL</v>
          </cell>
          <cell r="W552" t="str">
            <v/>
          </cell>
          <cell r="X552">
            <v>0</v>
          </cell>
          <cell r="Y552">
            <v>0</v>
          </cell>
          <cell r="Z552">
            <v>0</v>
          </cell>
          <cell r="AA552">
            <v>0</v>
          </cell>
          <cell r="AB552" t="str">
            <v>anytime</v>
          </cell>
          <cell r="AC552">
            <v>2</v>
          </cell>
          <cell r="AD552">
            <v>7</v>
          </cell>
          <cell r="AE552" t="str">
            <v>everyone</v>
          </cell>
        </row>
        <row r="553">
          <cell r="A553" t="str">
            <v>30011_1</v>
          </cell>
          <cell r="B553">
            <v>3</v>
          </cell>
          <cell r="C553">
            <v>30011</v>
          </cell>
          <cell r="D553" t="str">
            <v>気怠い巨読者</v>
          </cell>
          <cell r="E553" t="str">
            <v>ドロップイベント3（マルチ専用）</v>
          </cell>
          <cell r="F553">
            <v>1</v>
          </cell>
          <cell r="G553" t="str">
            <v>ja</v>
          </cell>
          <cell r="H553" t="str">
            <v>【上級】気怠い巨読者</v>
          </cell>
          <cell r="I553" t="str">
            <v>上級</v>
          </cell>
          <cell r="J553">
            <v>308</v>
          </cell>
          <cell r="K553">
            <v>20</v>
          </cell>
          <cell r="L553">
            <v>2000</v>
          </cell>
          <cell r="M553">
            <v>1</v>
          </cell>
          <cell r="N553">
            <v>1</v>
          </cell>
          <cell r="O553">
            <v>1</v>
          </cell>
          <cell r="P553">
            <v>1</v>
          </cell>
          <cell r="Q553">
            <v>1</v>
          </cell>
          <cell r="R553">
            <v>2</v>
          </cell>
          <cell r="S553" t="str">
            <v>none</v>
          </cell>
          <cell r="T553">
            <v>0</v>
          </cell>
          <cell r="U553" t="str">
            <v>NULL</v>
          </cell>
          <cell r="V553" t="str">
            <v>NULL</v>
          </cell>
          <cell r="W553" t="str">
            <v/>
          </cell>
          <cell r="X553">
            <v>0</v>
          </cell>
          <cell r="Y553">
            <v>0</v>
          </cell>
          <cell r="Z553">
            <v>0</v>
          </cell>
          <cell r="AA553">
            <v>0</v>
          </cell>
          <cell r="AB553" t="str">
            <v>anytime</v>
          </cell>
          <cell r="AC553">
            <v>19</v>
          </cell>
          <cell r="AD553">
            <v>6</v>
          </cell>
          <cell r="AE553" t="str">
            <v>everyone</v>
          </cell>
        </row>
        <row r="554">
          <cell r="A554" t="str">
            <v>30011_2</v>
          </cell>
          <cell r="B554">
            <v>3</v>
          </cell>
          <cell r="C554">
            <v>30011</v>
          </cell>
          <cell r="D554" t="str">
            <v>気怠い巨読者</v>
          </cell>
          <cell r="E554" t="str">
            <v>ドロップイベント3（マルチ専用）</v>
          </cell>
          <cell r="F554">
            <v>2</v>
          </cell>
          <cell r="G554" t="str">
            <v>ja</v>
          </cell>
          <cell r="H554" t="str">
            <v>【超級】気怠い巨読者</v>
          </cell>
          <cell r="I554" t="str">
            <v>超級</v>
          </cell>
          <cell r="J554">
            <v>308</v>
          </cell>
          <cell r="K554">
            <v>30</v>
          </cell>
          <cell r="L554">
            <v>3300</v>
          </cell>
          <cell r="M554">
            <v>1</v>
          </cell>
          <cell r="N554">
            <v>1</v>
          </cell>
          <cell r="O554">
            <v>1</v>
          </cell>
          <cell r="P554">
            <v>1</v>
          </cell>
          <cell r="Q554">
            <v>1</v>
          </cell>
          <cell r="R554">
            <v>2</v>
          </cell>
          <cell r="S554" t="str">
            <v>none</v>
          </cell>
          <cell r="T554">
            <v>0</v>
          </cell>
          <cell r="U554" t="str">
            <v>NULL</v>
          </cell>
          <cell r="V554" t="str">
            <v>NULL</v>
          </cell>
          <cell r="W554" t="str">
            <v/>
          </cell>
          <cell r="X554">
            <v>0</v>
          </cell>
          <cell r="Y554">
            <v>0</v>
          </cell>
          <cell r="Z554">
            <v>0</v>
          </cell>
          <cell r="AA554">
            <v>0</v>
          </cell>
          <cell r="AB554" t="str">
            <v>anytime</v>
          </cell>
          <cell r="AC554">
            <v>19</v>
          </cell>
          <cell r="AD554">
            <v>6</v>
          </cell>
          <cell r="AE554" t="str">
            <v>everyone</v>
          </cell>
        </row>
        <row r="555">
          <cell r="A555" t="str">
            <v>30011_3</v>
          </cell>
          <cell r="B555">
            <v>3</v>
          </cell>
          <cell r="C555">
            <v>30011</v>
          </cell>
          <cell r="D555" t="str">
            <v>気怠い巨読者</v>
          </cell>
          <cell r="E555" t="str">
            <v>ドロップイベント3（マルチ専用）</v>
          </cell>
          <cell r="F555">
            <v>3</v>
          </cell>
          <cell r="G555" t="str">
            <v>ja</v>
          </cell>
          <cell r="H555" t="str">
            <v>【超絶級】気怠い巨読者</v>
          </cell>
          <cell r="I555" t="str">
            <v>超絶級</v>
          </cell>
          <cell r="J555">
            <v>309</v>
          </cell>
          <cell r="K555">
            <v>35</v>
          </cell>
          <cell r="L555">
            <v>4200</v>
          </cell>
          <cell r="M555">
            <v>1</v>
          </cell>
          <cell r="N555">
            <v>1</v>
          </cell>
          <cell r="O555">
            <v>1</v>
          </cell>
          <cell r="P555">
            <v>1</v>
          </cell>
          <cell r="Q555">
            <v>1</v>
          </cell>
          <cell r="R555">
            <v>2</v>
          </cell>
          <cell r="S555" t="str">
            <v>polygon</v>
          </cell>
          <cell r="T555">
            <v>1</v>
          </cell>
          <cell r="U555" t="str">
            <v>NULL</v>
          </cell>
          <cell r="V555" t="str">
            <v>NULL</v>
          </cell>
          <cell r="W555" t="str">
            <v/>
          </cell>
          <cell r="X555">
            <v>0</v>
          </cell>
          <cell r="Y555">
            <v>0</v>
          </cell>
          <cell r="Z555">
            <v>0</v>
          </cell>
          <cell r="AA555">
            <v>0</v>
          </cell>
          <cell r="AB555" t="str">
            <v>anytime</v>
          </cell>
          <cell r="AC555">
            <v>19</v>
          </cell>
          <cell r="AD555">
            <v>6</v>
          </cell>
          <cell r="AE555" t="str">
            <v>everyone</v>
          </cell>
        </row>
        <row r="556">
          <cell r="A556" t="str">
            <v>30012_1</v>
          </cell>
          <cell r="B556">
            <v>3</v>
          </cell>
          <cell r="C556">
            <v>30012</v>
          </cell>
          <cell r="D556" t="str">
            <v>底なしの胃袋</v>
          </cell>
          <cell r="E556" t="str">
            <v>ドロップイベント3（マルチ専用）</v>
          </cell>
          <cell r="F556">
            <v>1</v>
          </cell>
          <cell r="G556" t="str">
            <v>ja</v>
          </cell>
          <cell r="H556" t="str">
            <v>【上級】底なしの胃袋</v>
          </cell>
          <cell r="I556" t="str">
            <v>上級</v>
          </cell>
          <cell r="J556">
            <v>310</v>
          </cell>
          <cell r="K556">
            <v>20</v>
          </cell>
          <cell r="L556">
            <v>2000</v>
          </cell>
          <cell r="M556">
            <v>1</v>
          </cell>
          <cell r="N556">
            <v>1</v>
          </cell>
          <cell r="O556">
            <v>1</v>
          </cell>
          <cell r="P556">
            <v>1</v>
          </cell>
          <cell r="Q556">
            <v>0</v>
          </cell>
          <cell r="R556">
            <v>3</v>
          </cell>
          <cell r="S556" t="str">
            <v>none</v>
          </cell>
          <cell r="T556">
            <v>0</v>
          </cell>
          <cell r="U556" t="str">
            <v>NULL</v>
          </cell>
          <cell r="V556" t="str">
            <v>NULL</v>
          </cell>
          <cell r="W556" t="str">
            <v/>
          </cell>
          <cell r="X556">
            <v>0</v>
          </cell>
          <cell r="Y556">
            <v>0</v>
          </cell>
          <cell r="Z556">
            <v>0</v>
          </cell>
          <cell r="AA556">
            <v>0</v>
          </cell>
          <cell r="AB556" t="str">
            <v>anytime</v>
          </cell>
          <cell r="AC556">
            <v>5</v>
          </cell>
          <cell r="AD556">
            <v>6</v>
          </cell>
          <cell r="AE556" t="str">
            <v>everyone</v>
          </cell>
        </row>
        <row r="557">
          <cell r="A557" t="str">
            <v>30012_2</v>
          </cell>
          <cell r="B557">
            <v>3</v>
          </cell>
          <cell r="C557">
            <v>30012</v>
          </cell>
          <cell r="D557" t="str">
            <v>底なしの胃袋</v>
          </cell>
          <cell r="E557" t="str">
            <v>ドロップイベント3（マルチ専用）</v>
          </cell>
          <cell r="F557">
            <v>2</v>
          </cell>
          <cell r="G557" t="str">
            <v>ja</v>
          </cell>
          <cell r="H557" t="str">
            <v>【超級】底なしの胃袋</v>
          </cell>
          <cell r="I557" t="str">
            <v>超級</v>
          </cell>
          <cell r="J557">
            <v>310</v>
          </cell>
          <cell r="K557">
            <v>30</v>
          </cell>
          <cell r="L557">
            <v>3300</v>
          </cell>
          <cell r="M557">
            <v>1</v>
          </cell>
          <cell r="N557">
            <v>1</v>
          </cell>
          <cell r="O557">
            <v>1</v>
          </cell>
          <cell r="P557">
            <v>1</v>
          </cell>
          <cell r="Q557">
            <v>0</v>
          </cell>
          <cell r="R557">
            <v>3</v>
          </cell>
          <cell r="S557" t="str">
            <v>none</v>
          </cell>
          <cell r="T557">
            <v>0</v>
          </cell>
          <cell r="U557" t="str">
            <v>NULL</v>
          </cell>
          <cell r="V557" t="str">
            <v>NULL</v>
          </cell>
          <cell r="W557" t="str">
            <v/>
          </cell>
          <cell r="X557">
            <v>0</v>
          </cell>
          <cell r="Y557">
            <v>0</v>
          </cell>
          <cell r="Z557">
            <v>0</v>
          </cell>
          <cell r="AA557">
            <v>0</v>
          </cell>
          <cell r="AB557" t="str">
            <v>anytime</v>
          </cell>
          <cell r="AC557">
            <v>5</v>
          </cell>
          <cell r="AD557">
            <v>6</v>
          </cell>
          <cell r="AE557" t="str">
            <v>everyone</v>
          </cell>
        </row>
        <row r="558">
          <cell r="A558" t="str">
            <v>30012_3</v>
          </cell>
          <cell r="B558">
            <v>3</v>
          </cell>
          <cell r="C558">
            <v>30012</v>
          </cell>
          <cell r="D558" t="str">
            <v>底なしの胃袋</v>
          </cell>
          <cell r="E558" t="str">
            <v>ドロップイベント3（マルチ専用）</v>
          </cell>
          <cell r="F558">
            <v>3</v>
          </cell>
          <cell r="G558" t="str">
            <v>ja</v>
          </cell>
          <cell r="H558" t="str">
            <v>【超絶級】底なしの胃袋</v>
          </cell>
          <cell r="I558" t="str">
            <v>超絶級</v>
          </cell>
          <cell r="J558">
            <v>310</v>
          </cell>
          <cell r="K558">
            <v>35</v>
          </cell>
          <cell r="L558">
            <v>4200</v>
          </cell>
          <cell r="M558">
            <v>1</v>
          </cell>
          <cell r="N558">
            <v>1</v>
          </cell>
          <cell r="O558">
            <v>1</v>
          </cell>
          <cell r="P558">
            <v>1</v>
          </cell>
          <cell r="Q558">
            <v>0</v>
          </cell>
          <cell r="R558">
            <v>3</v>
          </cell>
          <cell r="S558" t="str">
            <v>polygon</v>
          </cell>
          <cell r="T558">
            <v>1</v>
          </cell>
          <cell r="U558" t="str">
            <v>NULL</v>
          </cell>
          <cell r="V558" t="str">
            <v>NULL</v>
          </cell>
          <cell r="W558" t="str">
            <v/>
          </cell>
          <cell r="X558">
            <v>0</v>
          </cell>
          <cell r="Y558">
            <v>0</v>
          </cell>
          <cell r="Z558">
            <v>0</v>
          </cell>
          <cell r="AA558">
            <v>0</v>
          </cell>
          <cell r="AB558" t="str">
            <v>anytime</v>
          </cell>
          <cell r="AC558">
            <v>5</v>
          </cell>
          <cell r="AD558">
            <v>6</v>
          </cell>
          <cell r="AE558" t="str">
            <v>everyone</v>
          </cell>
        </row>
        <row r="559">
          <cell r="A559" t="str">
            <v>30013_1</v>
          </cell>
          <cell r="B559">
            <v>3</v>
          </cell>
          <cell r="C559">
            <v>30013</v>
          </cell>
          <cell r="D559" t="str">
            <v>決戦・竜宮城</v>
          </cell>
          <cell r="E559" t="str">
            <v>ドロップイベント4（マルチ専用）</v>
          </cell>
          <cell r="F559">
            <v>1</v>
          </cell>
          <cell r="G559" t="str">
            <v>ja</v>
          </cell>
          <cell r="H559" t="str">
            <v>【超級】決戦・竜宮城</v>
          </cell>
          <cell r="I559" t="str">
            <v>超級</v>
          </cell>
          <cell r="J559">
            <v>418</v>
          </cell>
          <cell r="K559">
            <v>30</v>
          </cell>
          <cell r="L559">
            <v>3300</v>
          </cell>
          <cell r="M559">
            <v>1</v>
          </cell>
          <cell r="N559">
            <v>1</v>
          </cell>
          <cell r="O559">
            <v>1</v>
          </cell>
          <cell r="P559">
            <v>1</v>
          </cell>
          <cell r="Q559">
            <v>1</v>
          </cell>
          <cell r="R559">
            <v>3</v>
          </cell>
          <cell r="S559" t="str">
            <v>none</v>
          </cell>
          <cell r="T559">
            <v>0</v>
          </cell>
          <cell r="U559" t="str">
            <v>NULL</v>
          </cell>
          <cell r="V559" t="str">
            <v>NULL</v>
          </cell>
          <cell r="W559" t="str">
            <v/>
          </cell>
          <cell r="X559">
            <v>0</v>
          </cell>
          <cell r="Y559">
            <v>0</v>
          </cell>
          <cell r="Z559">
            <v>0</v>
          </cell>
          <cell r="AA559">
            <v>0</v>
          </cell>
          <cell r="AB559" t="str">
            <v>anytime</v>
          </cell>
          <cell r="AC559">
            <v>17</v>
          </cell>
          <cell r="AD559">
            <v>6</v>
          </cell>
          <cell r="AE559" t="str">
            <v>everyone</v>
          </cell>
        </row>
        <row r="560">
          <cell r="A560" t="str">
            <v>30013_2</v>
          </cell>
          <cell r="B560">
            <v>3</v>
          </cell>
          <cell r="C560">
            <v>30013</v>
          </cell>
          <cell r="D560" t="str">
            <v>決戦・竜宮城</v>
          </cell>
          <cell r="E560" t="str">
            <v>ドロップイベント4（マルチ専用）</v>
          </cell>
          <cell r="F560">
            <v>2</v>
          </cell>
          <cell r="G560" t="str">
            <v>ja</v>
          </cell>
          <cell r="H560" t="str">
            <v>【超絶級】決戦・竜宮城</v>
          </cell>
          <cell r="I560" t="str">
            <v>超絶級</v>
          </cell>
          <cell r="J560">
            <v>419</v>
          </cell>
          <cell r="K560">
            <v>35</v>
          </cell>
          <cell r="L560">
            <v>4200</v>
          </cell>
          <cell r="M560">
            <v>1</v>
          </cell>
          <cell r="N560">
            <v>1</v>
          </cell>
          <cell r="O560">
            <v>1</v>
          </cell>
          <cell r="P560">
            <v>1</v>
          </cell>
          <cell r="Q560">
            <v>1</v>
          </cell>
          <cell r="R560">
            <v>3</v>
          </cell>
          <cell r="S560" t="str">
            <v>polygon</v>
          </cell>
          <cell r="T560">
            <v>1</v>
          </cell>
          <cell r="U560" t="str">
            <v>NULL</v>
          </cell>
          <cell r="V560" t="str">
            <v>NULL</v>
          </cell>
          <cell r="W560" t="str">
            <v/>
          </cell>
          <cell r="X560">
            <v>0</v>
          </cell>
          <cell r="Y560">
            <v>0</v>
          </cell>
          <cell r="Z560">
            <v>0</v>
          </cell>
          <cell r="AA560">
            <v>0</v>
          </cell>
          <cell r="AB560" t="str">
            <v>anytime</v>
          </cell>
          <cell r="AC560">
            <v>17</v>
          </cell>
          <cell r="AD560">
            <v>6</v>
          </cell>
          <cell r="AE560" t="str">
            <v>everyone</v>
          </cell>
        </row>
        <row r="561">
          <cell r="A561" t="str">
            <v>30014_1</v>
          </cell>
          <cell r="B561">
            <v>3</v>
          </cell>
          <cell r="C561">
            <v>30014</v>
          </cell>
          <cell r="D561" t="str">
            <v>親指を突き立てろ！</v>
          </cell>
          <cell r="E561" t="str">
            <v>ドロップイベント4（マルチ専用）</v>
          </cell>
          <cell r="F561">
            <v>1</v>
          </cell>
          <cell r="G561" t="str">
            <v>ja</v>
          </cell>
          <cell r="H561" t="str">
            <v>【超級】親指を突き立てろ！</v>
          </cell>
          <cell r="I561" t="str">
            <v>超級</v>
          </cell>
          <cell r="J561">
            <v>420</v>
          </cell>
          <cell r="K561">
            <v>30</v>
          </cell>
          <cell r="L561">
            <v>3300</v>
          </cell>
          <cell r="M561">
            <v>1</v>
          </cell>
          <cell r="N561">
            <v>1</v>
          </cell>
          <cell r="O561">
            <v>1</v>
          </cell>
          <cell r="P561">
            <v>1</v>
          </cell>
          <cell r="Q561">
            <v>1</v>
          </cell>
          <cell r="R561">
            <v>3</v>
          </cell>
          <cell r="S561" t="str">
            <v>none</v>
          </cell>
          <cell r="T561">
            <v>0</v>
          </cell>
          <cell r="U561" t="str">
            <v>NULL</v>
          </cell>
          <cell r="V561" t="str">
            <v>NULL</v>
          </cell>
          <cell r="W561" t="str">
            <v/>
          </cell>
          <cell r="X561">
            <v>0</v>
          </cell>
          <cell r="Y561">
            <v>0</v>
          </cell>
          <cell r="Z561">
            <v>0</v>
          </cell>
          <cell r="AA561">
            <v>0</v>
          </cell>
          <cell r="AB561" t="str">
            <v>anytime</v>
          </cell>
          <cell r="AC561">
            <v>23</v>
          </cell>
          <cell r="AD561">
            <v>5</v>
          </cell>
          <cell r="AE561" t="str">
            <v>everyone</v>
          </cell>
        </row>
        <row r="562">
          <cell r="A562" t="str">
            <v>30014_2</v>
          </cell>
          <cell r="B562">
            <v>3</v>
          </cell>
          <cell r="C562">
            <v>30014</v>
          </cell>
          <cell r="D562" t="str">
            <v>親指を突き立てろ！</v>
          </cell>
          <cell r="E562" t="str">
            <v>ドロップイベント4（マルチ専用）</v>
          </cell>
          <cell r="F562">
            <v>2</v>
          </cell>
          <cell r="G562" t="str">
            <v>ja</v>
          </cell>
          <cell r="H562" t="str">
            <v>【超絶級】親指を突き立てろ！</v>
          </cell>
          <cell r="I562" t="str">
            <v>超絶級</v>
          </cell>
          <cell r="J562">
            <v>421</v>
          </cell>
          <cell r="K562">
            <v>35</v>
          </cell>
          <cell r="L562">
            <v>4200</v>
          </cell>
          <cell r="M562">
            <v>1</v>
          </cell>
          <cell r="N562">
            <v>1</v>
          </cell>
          <cell r="O562">
            <v>1</v>
          </cell>
          <cell r="P562">
            <v>1</v>
          </cell>
          <cell r="Q562">
            <v>1</v>
          </cell>
          <cell r="R562">
            <v>3</v>
          </cell>
          <cell r="S562" t="str">
            <v>polygon</v>
          </cell>
          <cell r="T562">
            <v>1</v>
          </cell>
          <cell r="U562" t="str">
            <v>NULL</v>
          </cell>
          <cell r="V562" t="str">
            <v>NULL</v>
          </cell>
          <cell r="W562" t="str">
            <v/>
          </cell>
          <cell r="X562">
            <v>0</v>
          </cell>
          <cell r="Y562">
            <v>0</v>
          </cell>
          <cell r="Z562">
            <v>0</v>
          </cell>
          <cell r="AA562">
            <v>0</v>
          </cell>
          <cell r="AB562" t="str">
            <v>anytime</v>
          </cell>
          <cell r="AC562">
            <v>23</v>
          </cell>
          <cell r="AD562">
            <v>5</v>
          </cell>
          <cell r="AE562" t="str">
            <v>everyone</v>
          </cell>
        </row>
        <row r="563">
          <cell r="A563" t="str">
            <v>30015_1</v>
          </cell>
          <cell r="B563">
            <v>3</v>
          </cell>
          <cell r="C563">
            <v>30015</v>
          </cell>
          <cell r="D563" t="str">
            <v>兄妹の大冒険</v>
          </cell>
          <cell r="E563" t="str">
            <v>ドロップイベント4（マルチ専用）</v>
          </cell>
          <cell r="F563">
            <v>1</v>
          </cell>
          <cell r="G563" t="str">
            <v>ja</v>
          </cell>
          <cell r="H563" t="str">
            <v>【超級】兄妹の大冒険</v>
          </cell>
          <cell r="I563" t="str">
            <v>超級</v>
          </cell>
          <cell r="J563">
            <v>422</v>
          </cell>
          <cell r="K563">
            <v>30</v>
          </cell>
          <cell r="L563">
            <v>3300</v>
          </cell>
          <cell r="M563">
            <v>1</v>
          </cell>
          <cell r="N563">
            <v>1</v>
          </cell>
          <cell r="O563">
            <v>1</v>
          </cell>
          <cell r="P563">
            <v>1</v>
          </cell>
          <cell r="Q563">
            <v>1</v>
          </cell>
          <cell r="R563">
            <v>3</v>
          </cell>
          <cell r="S563" t="str">
            <v>none</v>
          </cell>
          <cell r="T563">
            <v>0</v>
          </cell>
          <cell r="U563" t="str">
            <v>NULL</v>
          </cell>
          <cell r="V563" t="str">
            <v>NULL</v>
          </cell>
          <cell r="W563" t="str">
            <v/>
          </cell>
          <cell r="X563">
            <v>0</v>
          </cell>
          <cell r="Y563">
            <v>0</v>
          </cell>
          <cell r="Z563">
            <v>0</v>
          </cell>
          <cell r="AA563">
            <v>0</v>
          </cell>
          <cell r="AB563" t="str">
            <v>anytime</v>
          </cell>
          <cell r="AC563">
            <v>16</v>
          </cell>
          <cell r="AD563">
            <v>6</v>
          </cell>
          <cell r="AE563" t="str">
            <v>everyone</v>
          </cell>
        </row>
        <row r="564">
          <cell r="A564" t="str">
            <v>30015_2</v>
          </cell>
          <cell r="B564">
            <v>3</v>
          </cell>
          <cell r="C564">
            <v>30015</v>
          </cell>
          <cell r="D564" t="str">
            <v>兄妹の大冒険</v>
          </cell>
          <cell r="E564" t="str">
            <v>ドロップイベント4（マルチ専用）</v>
          </cell>
          <cell r="F564">
            <v>2</v>
          </cell>
          <cell r="G564" t="str">
            <v>ja</v>
          </cell>
          <cell r="H564" t="str">
            <v>【超絶級】兄妹の大冒険</v>
          </cell>
          <cell r="I564" t="str">
            <v>超絶級</v>
          </cell>
          <cell r="J564">
            <v>423</v>
          </cell>
          <cell r="K564">
            <v>35</v>
          </cell>
          <cell r="L564">
            <v>4200</v>
          </cell>
          <cell r="M564">
            <v>1</v>
          </cell>
          <cell r="N564">
            <v>1</v>
          </cell>
          <cell r="O564">
            <v>1</v>
          </cell>
          <cell r="P564">
            <v>1</v>
          </cell>
          <cell r="Q564">
            <v>1</v>
          </cell>
          <cell r="R564">
            <v>3</v>
          </cell>
          <cell r="S564" t="str">
            <v>polygon</v>
          </cell>
          <cell r="T564">
            <v>1</v>
          </cell>
          <cell r="U564" t="str">
            <v>NULL</v>
          </cell>
          <cell r="V564" t="str">
            <v>NULL</v>
          </cell>
          <cell r="W564" t="str">
            <v/>
          </cell>
          <cell r="X564">
            <v>0</v>
          </cell>
          <cell r="Y564">
            <v>0</v>
          </cell>
          <cell r="Z564">
            <v>0</v>
          </cell>
          <cell r="AA564">
            <v>0</v>
          </cell>
          <cell r="AB564" t="str">
            <v>anytime</v>
          </cell>
          <cell r="AC564">
            <v>16</v>
          </cell>
          <cell r="AD564">
            <v>6</v>
          </cell>
          <cell r="AE564" t="str">
            <v>everyone</v>
          </cell>
        </row>
        <row r="565">
          <cell r="A565" t="str">
            <v>30016_1</v>
          </cell>
          <cell r="B565">
            <v>3</v>
          </cell>
          <cell r="C565">
            <v>30016</v>
          </cell>
          <cell r="D565" t="str">
            <v>私がワニの天敵よ？</v>
          </cell>
          <cell r="E565" t="str">
            <v>ドロップイベント4（マルチ専用）</v>
          </cell>
          <cell r="F565">
            <v>1</v>
          </cell>
          <cell r="G565" t="str">
            <v>ja</v>
          </cell>
          <cell r="H565" t="str">
            <v>【超級】私がワニの天敵よ？</v>
          </cell>
          <cell r="I565" t="str">
            <v>超級</v>
          </cell>
          <cell r="J565">
            <v>424</v>
          </cell>
          <cell r="K565">
            <v>30</v>
          </cell>
          <cell r="L565">
            <v>3300</v>
          </cell>
          <cell r="M565">
            <v>1</v>
          </cell>
          <cell r="N565">
            <v>1</v>
          </cell>
          <cell r="O565">
            <v>1</v>
          </cell>
          <cell r="P565">
            <v>1</v>
          </cell>
          <cell r="Q565">
            <v>1</v>
          </cell>
          <cell r="R565">
            <v>3</v>
          </cell>
          <cell r="S565" t="str">
            <v>none</v>
          </cell>
          <cell r="T565">
            <v>0</v>
          </cell>
          <cell r="U565" t="str">
            <v>NULL</v>
          </cell>
          <cell r="V565" t="str">
            <v>NULL</v>
          </cell>
          <cell r="W565" t="str">
            <v/>
          </cell>
          <cell r="X565">
            <v>0</v>
          </cell>
          <cell r="Y565">
            <v>0</v>
          </cell>
          <cell r="Z565">
            <v>0</v>
          </cell>
          <cell r="AA565">
            <v>0</v>
          </cell>
          <cell r="AB565" t="str">
            <v>anytime</v>
          </cell>
          <cell r="AC565">
            <v>4</v>
          </cell>
          <cell r="AD565">
            <v>6</v>
          </cell>
          <cell r="AE565" t="str">
            <v>everyone</v>
          </cell>
        </row>
        <row r="566">
          <cell r="A566" t="str">
            <v>30016_2</v>
          </cell>
          <cell r="B566">
            <v>3</v>
          </cell>
          <cell r="C566">
            <v>30016</v>
          </cell>
          <cell r="D566" t="str">
            <v>私がワニの天敵よ？</v>
          </cell>
          <cell r="E566" t="str">
            <v>ドロップイベント4（マルチ専用）</v>
          </cell>
          <cell r="F566">
            <v>2</v>
          </cell>
          <cell r="G566" t="str">
            <v>ja</v>
          </cell>
          <cell r="H566" t="str">
            <v>【超絶級】私がワニの天敵よ？</v>
          </cell>
          <cell r="I566" t="str">
            <v>超絶級</v>
          </cell>
          <cell r="J566">
            <v>425</v>
          </cell>
          <cell r="K566">
            <v>35</v>
          </cell>
          <cell r="L566">
            <v>4200</v>
          </cell>
          <cell r="M566">
            <v>1</v>
          </cell>
          <cell r="N566">
            <v>1</v>
          </cell>
          <cell r="O566">
            <v>1</v>
          </cell>
          <cell r="P566">
            <v>1</v>
          </cell>
          <cell r="Q566">
            <v>1</v>
          </cell>
          <cell r="R566">
            <v>3</v>
          </cell>
          <cell r="S566" t="str">
            <v>polygon</v>
          </cell>
          <cell r="T566">
            <v>1</v>
          </cell>
          <cell r="U566" t="str">
            <v>NULL</v>
          </cell>
          <cell r="V566" t="str">
            <v>NULL</v>
          </cell>
          <cell r="W566" t="str">
            <v/>
          </cell>
          <cell r="X566">
            <v>0</v>
          </cell>
          <cell r="Y566">
            <v>0</v>
          </cell>
          <cell r="Z566">
            <v>0</v>
          </cell>
          <cell r="AA566">
            <v>0</v>
          </cell>
          <cell r="AB566" t="str">
            <v>anytime</v>
          </cell>
          <cell r="AC566">
            <v>4</v>
          </cell>
          <cell r="AD566">
            <v>6</v>
          </cell>
          <cell r="AE566" t="str">
            <v>everyone</v>
          </cell>
        </row>
        <row r="567">
          <cell r="A567" t="str">
            <v>30017_1</v>
          </cell>
          <cell r="B567">
            <v>3</v>
          </cell>
          <cell r="C567">
            <v>30017</v>
          </cell>
          <cell r="D567" t="str">
            <v>狩人の挽歌</v>
          </cell>
          <cell r="E567" t="str">
            <v>ドロップイベント5（マルチ専用）</v>
          </cell>
          <cell r="F567">
            <v>1</v>
          </cell>
          <cell r="G567" t="str">
            <v>ja</v>
          </cell>
          <cell r="H567" t="str">
            <v>【超級】狩人の挽歌</v>
          </cell>
          <cell r="I567" t="str">
            <v>超級</v>
          </cell>
          <cell r="J567">
            <v>452</v>
          </cell>
          <cell r="K567">
            <v>30</v>
          </cell>
          <cell r="L567">
            <v>3300</v>
          </cell>
          <cell r="M567">
            <v>1</v>
          </cell>
          <cell r="N567">
            <v>1</v>
          </cell>
          <cell r="O567">
            <v>1</v>
          </cell>
          <cell r="P567">
            <v>1</v>
          </cell>
          <cell r="Q567">
            <v>1</v>
          </cell>
          <cell r="R567">
            <v>3</v>
          </cell>
          <cell r="S567" t="str">
            <v>none</v>
          </cell>
          <cell r="T567">
            <v>0</v>
          </cell>
          <cell r="U567" t="str">
            <v>NULL</v>
          </cell>
          <cell r="V567" t="str">
            <v>NULL</v>
          </cell>
          <cell r="W567" t="str">
            <v/>
          </cell>
          <cell r="X567">
            <v>0</v>
          </cell>
          <cell r="Y567">
            <v>0</v>
          </cell>
          <cell r="Z567">
            <v>0</v>
          </cell>
          <cell r="AA567">
            <v>0</v>
          </cell>
          <cell r="AB567" t="str">
            <v>anytime</v>
          </cell>
          <cell r="AC567">
            <v>20</v>
          </cell>
          <cell r="AD567">
            <v>6</v>
          </cell>
          <cell r="AE567" t="str">
            <v>multionly</v>
          </cell>
        </row>
        <row r="568">
          <cell r="A568" t="str">
            <v>30017_2</v>
          </cell>
          <cell r="B568">
            <v>3</v>
          </cell>
          <cell r="C568">
            <v>30017</v>
          </cell>
          <cell r="D568" t="str">
            <v>狩人の挽歌</v>
          </cell>
          <cell r="E568" t="str">
            <v>ドロップイベント5（マルチ専用）</v>
          </cell>
          <cell r="F568">
            <v>2</v>
          </cell>
          <cell r="G568" t="str">
            <v>ja</v>
          </cell>
          <cell r="H568" t="str">
            <v>【超絶級】狩人の挽歌</v>
          </cell>
          <cell r="I568" t="str">
            <v>超絶級</v>
          </cell>
          <cell r="J568">
            <v>453</v>
          </cell>
          <cell r="K568">
            <v>35</v>
          </cell>
          <cell r="L568">
            <v>4200</v>
          </cell>
          <cell r="M568">
            <v>1</v>
          </cell>
          <cell r="N568">
            <v>1</v>
          </cell>
          <cell r="O568">
            <v>1</v>
          </cell>
          <cell r="P568">
            <v>1</v>
          </cell>
          <cell r="Q568">
            <v>1</v>
          </cell>
          <cell r="R568">
            <v>3</v>
          </cell>
          <cell r="S568" t="str">
            <v>polygon</v>
          </cell>
          <cell r="T568">
            <v>1</v>
          </cell>
          <cell r="U568" t="str">
            <v>NULL</v>
          </cell>
          <cell r="V568" t="str">
            <v>NULL</v>
          </cell>
          <cell r="W568" t="str">
            <v/>
          </cell>
          <cell r="X568">
            <v>0</v>
          </cell>
          <cell r="Y568">
            <v>0</v>
          </cell>
          <cell r="Z568">
            <v>0</v>
          </cell>
          <cell r="AA568">
            <v>0</v>
          </cell>
          <cell r="AB568" t="str">
            <v>anytime</v>
          </cell>
          <cell r="AC568">
            <v>20</v>
          </cell>
          <cell r="AD568">
            <v>6</v>
          </cell>
          <cell r="AE568" t="str">
            <v>multionly</v>
          </cell>
        </row>
        <row r="569">
          <cell r="A569" t="str">
            <v>30018_1</v>
          </cell>
          <cell r="B569">
            <v>3</v>
          </cell>
          <cell r="C569">
            <v>30018</v>
          </cell>
          <cell r="D569" t="str">
            <v>バックストリートファイト</v>
          </cell>
          <cell r="E569" t="str">
            <v>ドロップイベント5（マルチ専用）</v>
          </cell>
          <cell r="F569">
            <v>1</v>
          </cell>
          <cell r="G569" t="str">
            <v>ja</v>
          </cell>
          <cell r="H569" t="str">
            <v>【超級】バックストリートファイト</v>
          </cell>
          <cell r="I569" t="str">
            <v>超級</v>
          </cell>
          <cell r="J569">
            <v>454</v>
          </cell>
          <cell r="K569">
            <v>30</v>
          </cell>
          <cell r="L569">
            <v>3300</v>
          </cell>
          <cell r="M569">
            <v>1</v>
          </cell>
          <cell r="N569">
            <v>1</v>
          </cell>
          <cell r="O569">
            <v>1</v>
          </cell>
          <cell r="P569">
            <v>1</v>
          </cell>
          <cell r="Q569">
            <v>0</v>
          </cell>
          <cell r="R569">
            <v>3</v>
          </cell>
          <cell r="S569" t="str">
            <v>none</v>
          </cell>
          <cell r="T569">
            <v>0</v>
          </cell>
          <cell r="U569" t="str">
            <v>NULL</v>
          </cell>
          <cell r="V569" t="str">
            <v>NULL</v>
          </cell>
          <cell r="W569" t="str">
            <v/>
          </cell>
          <cell r="X569">
            <v>0</v>
          </cell>
          <cell r="Y569">
            <v>0</v>
          </cell>
          <cell r="Z569">
            <v>0</v>
          </cell>
          <cell r="AA569">
            <v>0</v>
          </cell>
          <cell r="AB569" t="str">
            <v>anytime</v>
          </cell>
          <cell r="AC569">
            <v>14</v>
          </cell>
          <cell r="AD569">
            <v>6</v>
          </cell>
          <cell r="AE569" t="str">
            <v>everyone</v>
          </cell>
        </row>
        <row r="570">
          <cell r="A570" t="str">
            <v>30018_2</v>
          </cell>
          <cell r="B570">
            <v>3</v>
          </cell>
          <cell r="C570">
            <v>30018</v>
          </cell>
          <cell r="D570" t="str">
            <v>バックストリートファイト</v>
          </cell>
          <cell r="E570" t="str">
            <v>ドロップイベント5（マルチ専用）</v>
          </cell>
          <cell r="F570">
            <v>2</v>
          </cell>
          <cell r="G570" t="str">
            <v>ja</v>
          </cell>
          <cell r="H570" t="str">
            <v>【超絶級】バックストリートファイト</v>
          </cell>
          <cell r="I570" t="str">
            <v>超絶級</v>
          </cell>
          <cell r="J570">
            <v>455</v>
          </cell>
          <cell r="K570">
            <v>35</v>
          </cell>
          <cell r="L570">
            <v>4200</v>
          </cell>
          <cell r="M570">
            <v>1</v>
          </cell>
          <cell r="N570">
            <v>1</v>
          </cell>
          <cell r="O570">
            <v>1</v>
          </cell>
          <cell r="P570">
            <v>1</v>
          </cell>
          <cell r="Q570">
            <v>0</v>
          </cell>
          <cell r="R570">
            <v>3</v>
          </cell>
          <cell r="S570" t="str">
            <v>polygon</v>
          </cell>
          <cell r="T570">
            <v>1</v>
          </cell>
          <cell r="U570" t="str">
            <v>NULL</v>
          </cell>
          <cell r="V570" t="str">
            <v>NULL</v>
          </cell>
          <cell r="W570" t="str">
            <v/>
          </cell>
          <cell r="X570">
            <v>0</v>
          </cell>
          <cell r="Y570">
            <v>0</v>
          </cell>
          <cell r="Z570">
            <v>0</v>
          </cell>
          <cell r="AA570">
            <v>0</v>
          </cell>
          <cell r="AB570" t="str">
            <v>anytime</v>
          </cell>
          <cell r="AC570">
            <v>14</v>
          </cell>
          <cell r="AD570">
            <v>6</v>
          </cell>
          <cell r="AE570" t="str">
            <v>everyone</v>
          </cell>
        </row>
        <row r="571">
          <cell r="A571" t="str">
            <v>30019_1</v>
          </cell>
          <cell r="B571">
            <v>3</v>
          </cell>
          <cell r="C571">
            <v>30019</v>
          </cell>
          <cell r="D571" t="str">
            <v>狙撃は終わらない</v>
          </cell>
          <cell r="E571" t="str">
            <v>ドロップイベント5（マルチ専用）</v>
          </cell>
          <cell r="F571">
            <v>1</v>
          </cell>
          <cell r="G571" t="str">
            <v>ja</v>
          </cell>
          <cell r="H571" t="str">
            <v>【超級】狙撃は終わらない</v>
          </cell>
          <cell r="I571" t="str">
            <v>超級</v>
          </cell>
          <cell r="J571">
            <v>456</v>
          </cell>
          <cell r="K571">
            <v>30</v>
          </cell>
          <cell r="L571">
            <v>3300</v>
          </cell>
          <cell r="M571">
            <v>1</v>
          </cell>
          <cell r="N571">
            <v>1</v>
          </cell>
          <cell r="O571">
            <v>1</v>
          </cell>
          <cell r="P571">
            <v>1</v>
          </cell>
          <cell r="Q571">
            <v>1</v>
          </cell>
          <cell r="R571">
            <v>3</v>
          </cell>
          <cell r="S571" t="str">
            <v>none</v>
          </cell>
          <cell r="T571">
            <v>0</v>
          </cell>
          <cell r="U571" t="str">
            <v>NULL</v>
          </cell>
          <cell r="V571" t="str">
            <v>NULL</v>
          </cell>
          <cell r="W571" t="str">
            <v/>
          </cell>
          <cell r="X571">
            <v>0</v>
          </cell>
          <cell r="Y571">
            <v>0</v>
          </cell>
          <cell r="Z571">
            <v>0</v>
          </cell>
          <cell r="AA571">
            <v>0</v>
          </cell>
          <cell r="AB571" t="str">
            <v>anytime</v>
          </cell>
          <cell r="AC571">
            <v>24</v>
          </cell>
          <cell r="AD571">
            <v>6</v>
          </cell>
          <cell r="AE571" t="str">
            <v>multionly</v>
          </cell>
        </row>
        <row r="572">
          <cell r="A572" t="str">
            <v>30019_2</v>
          </cell>
          <cell r="B572">
            <v>3</v>
          </cell>
          <cell r="C572">
            <v>30019</v>
          </cell>
          <cell r="D572" t="str">
            <v>狙撃は終わらない</v>
          </cell>
          <cell r="E572" t="str">
            <v>ドロップイベント5（マルチ専用）</v>
          </cell>
          <cell r="F572">
            <v>2</v>
          </cell>
          <cell r="G572" t="str">
            <v>ja</v>
          </cell>
          <cell r="H572" t="str">
            <v>【超絶級】狙撃は終わらない</v>
          </cell>
          <cell r="I572" t="str">
            <v>超絶級</v>
          </cell>
          <cell r="J572">
            <v>457</v>
          </cell>
          <cell r="K572">
            <v>35</v>
          </cell>
          <cell r="L572">
            <v>4200</v>
          </cell>
          <cell r="M572">
            <v>1</v>
          </cell>
          <cell r="N572">
            <v>1</v>
          </cell>
          <cell r="O572">
            <v>1</v>
          </cell>
          <cell r="P572">
            <v>1</v>
          </cell>
          <cell r="Q572">
            <v>1</v>
          </cell>
          <cell r="R572">
            <v>3</v>
          </cell>
          <cell r="S572" t="str">
            <v>polygon</v>
          </cell>
          <cell r="T572">
            <v>1</v>
          </cell>
          <cell r="U572" t="str">
            <v>NULL</v>
          </cell>
          <cell r="V572" t="str">
            <v>NULL</v>
          </cell>
          <cell r="W572" t="str">
            <v/>
          </cell>
          <cell r="X572">
            <v>0</v>
          </cell>
          <cell r="Y572">
            <v>0</v>
          </cell>
          <cell r="Z572">
            <v>0</v>
          </cell>
          <cell r="AA572">
            <v>0</v>
          </cell>
          <cell r="AB572" t="str">
            <v>anytime</v>
          </cell>
          <cell r="AC572">
            <v>24</v>
          </cell>
          <cell r="AD572">
            <v>6</v>
          </cell>
          <cell r="AE572" t="str">
            <v>multionly</v>
          </cell>
        </row>
        <row r="573">
          <cell r="A573" t="str">
            <v>30020_1</v>
          </cell>
          <cell r="B573">
            <v>3</v>
          </cell>
          <cell r="C573">
            <v>30020</v>
          </cell>
          <cell r="D573" t="str">
            <v>若造よ、身の程を知れ</v>
          </cell>
          <cell r="E573" t="str">
            <v>ドロップイベント5（マルチ専用）</v>
          </cell>
          <cell r="F573">
            <v>1</v>
          </cell>
          <cell r="G573" t="str">
            <v>ja</v>
          </cell>
          <cell r="H573" t="str">
            <v>【超級】若造よ、身の程を知れ</v>
          </cell>
          <cell r="I573" t="str">
            <v>超級</v>
          </cell>
          <cell r="J573">
            <v>458</v>
          </cell>
          <cell r="K573">
            <v>30</v>
          </cell>
          <cell r="L573">
            <v>3300</v>
          </cell>
          <cell r="M573">
            <v>1</v>
          </cell>
          <cell r="N573">
            <v>1</v>
          </cell>
          <cell r="O573">
            <v>1</v>
          </cell>
          <cell r="P573">
            <v>1</v>
          </cell>
          <cell r="Q573">
            <v>1</v>
          </cell>
          <cell r="R573">
            <v>3</v>
          </cell>
          <cell r="S573" t="str">
            <v>none</v>
          </cell>
          <cell r="T573">
            <v>0</v>
          </cell>
          <cell r="U573" t="str">
            <v>NULL</v>
          </cell>
          <cell r="V573" t="str">
            <v>NULL</v>
          </cell>
          <cell r="W573" t="str">
            <v/>
          </cell>
          <cell r="X573">
            <v>0</v>
          </cell>
          <cell r="Y573">
            <v>0</v>
          </cell>
          <cell r="Z573">
            <v>0</v>
          </cell>
          <cell r="AA573">
            <v>0</v>
          </cell>
          <cell r="AB573" t="str">
            <v>anytime</v>
          </cell>
          <cell r="AC573">
            <v>13</v>
          </cell>
          <cell r="AD573">
            <v>6</v>
          </cell>
          <cell r="AE573" t="str">
            <v>everyone</v>
          </cell>
        </row>
        <row r="574">
          <cell r="A574" t="str">
            <v>30020_2</v>
          </cell>
          <cell r="B574">
            <v>3</v>
          </cell>
          <cell r="C574">
            <v>30020</v>
          </cell>
          <cell r="D574" t="str">
            <v>若造よ、身の程を知れ</v>
          </cell>
          <cell r="E574" t="str">
            <v>ドロップイベント5（マルチ専用）</v>
          </cell>
          <cell r="F574">
            <v>2</v>
          </cell>
          <cell r="G574" t="str">
            <v>ja</v>
          </cell>
          <cell r="H574" t="str">
            <v>【超絶級】若造よ、身の程を知れ</v>
          </cell>
          <cell r="I574" t="str">
            <v>超絶級</v>
          </cell>
          <cell r="J574">
            <v>459</v>
          </cell>
          <cell r="K574">
            <v>35</v>
          </cell>
          <cell r="L574">
            <v>4200</v>
          </cell>
          <cell r="M574">
            <v>1</v>
          </cell>
          <cell r="N574">
            <v>1</v>
          </cell>
          <cell r="O574">
            <v>1</v>
          </cell>
          <cell r="P574">
            <v>1</v>
          </cell>
          <cell r="Q574">
            <v>1</v>
          </cell>
          <cell r="R574">
            <v>3</v>
          </cell>
          <cell r="S574" t="str">
            <v>polygon</v>
          </cell>
          <cell r="T574">
            <v>1</v>
          </cell>
          <cell r="U574" t="str">
            <v>NULL</v>
          </cell>
          <cell r="V574" t="str">
            <v>NULL</v>
          </cell>
          <cell r="W574" t="str">
            <v/>
          </cell>
          <cell r="X574">
            <v>0</v>
          </cell>
          <cell r="Y574">
            <v>0</v>
          </cell>
          <cell r="Z574">
            <v>0</v>
          </cell>
          <cell r="AA574">
            <v>0</v>
          </cell>
          <cell r="AB574" t="str">
            <v>anytime</v>
          </cell>
          <cell r="AC574">
            <v>13</v>
          </cell>
          <cell r="AD574">
            <v>6</v>
          </cell>
          <cell r="AE574" t="str">
            <v>everyone</v>
          </cell>
        </row>
        <row r="575">
          <cell r="A575" t="str">
            <v>30021_1</v>
          </cell>
          <cell r="B575">
            <v>3</v>
          </cell>
          <cell r="C575">
            <v>30021</v>
          </cell>
          <cell r="D575" t="str">
            <v>野獣死すべしっ！</v>
          </cell>
          <cell r="E575" t="str">
            <v>ドロップイベント6（マルチ専用）</v>
          </cell>
          <cell r="F575">
            <v>1</v>
          </cell>
          <cell r="G575" t="str">
            <v>ja</v>
          </cell>
          <cell r="H575" t="str">
            <v>【中級】野獣死すべしっ！</v>
          </cell>
          <cell r="I575" t="str">
            <v>中級</v>
          </cell>
          <cell r="J575">
            <v>502</v>
          </cell>
          <cell r="K575">
            <v>15</v>
          </cell>
          <cell r="L575">
            <v>1200</v>
          </cell>
          <cell r="M575">
            <v>1</v>
          </cell>
          <cell r="N575">
            <v>1</v>
          </cell>
          <cell r="O575">
            <v>0</v>
          </cell>
          <cell r="P575">
            <v>1</v>
          </cell>
          <cell r="Q575">
            <v>1</v>
          </cell>
          <cell r="R575">
            <v>3</v>
          </cell>
          <cell r="S575" t="str">
            <v>none</v>
          </cell>
          <cell r="T575">
            <v>0</v>
          </cell>
          <cell r="U575" t="str">
            <v>NULL</v>
          </cell>
          <cell r="V575" t="str">
            <v>NULL</v>
          </cell>
          <cell r="W575" t="str">
            <v/>
          </cell>
          <cell r="X575">
            <v>0</v>
          </cell>
          <cell r="Y575">
            <v>0</v>
          </cell>
          <cell r="Z575">
            <v>0</v>
          </cell>
          <cell r="AA575">
            <v>0</v>
          </cell>
          <cell r="AB575" t="str">
            <v>anytime</v>
          </cell>
          <cell r="AC575">
            <v>14</v>
          </cell>
          <cell r="AD575">
            <v>6</v>
          </cell>
          <cell r="AE575" t="str">
            <v>everyone</v>
          </cell>
        </row>
        <row r="576">
          <cell r="A576" t="str">
            <v>30021_2</v>
          </cell>
          <cell r="B576">
            <v>3</v>
          </cell>
          <cell r="C576">
            <v>30021</v>
          </cell>
          <cell r="D576" t="str">
            <v>野獣死すべしっ！</v>
          </cell>
          <cell r="E576" t="str">
            <v>ドロップイベント6（マルチ専用）</v>
          </cell>
          <cell r="F576">
            <v>2</v>
          </cell>
          <cell r="G576" t="str">
            <v>ja</v>
          </cell>
          <cell r="H576" t="str">
            <v>【上級】野獣死すべしっ！</v>
          </cell>
          <cell r="I576" t="str">
            <v>上級</v>
          </cell>
          <cell r="J576">
            <v>502</v>
          </cell>
          <cell r="K576">
            <v>20</v>
          </cell>
          <cell r="L576">
            <v>2000</v>
          </cell>
          <cell r="M576">
            <v>1</v>
          </cell>
          <cell r="N576">
            <v>1</v>
          </cell>
          <cell r="O576">
            <v>0</v>
          </cell>
          <cell r="P576">
            <v>1</v>
          </cell>
          <cell r="Q576">
            <v>1</v>
          </cell>
          <cell r="R576">
            <v>3</v>
          </cell>
          <cell r="S576" t="str">
            <v>none</v>
          </cell>
          <cell r="T576">
            <v>0</v>
          </cell>
          <cell r="U576" t="str">
            <v>NULL</v>
          </cell>
          <cell r="V576" t="str">
            <v>NULL</v>
          </cell>
          <cell r="W576" t="str">
            <v/>
          </cell>
          <cell r="X576">
            <v>0</v>
          </cell>
          <cell r="Y576">
            <v>0</v>
          </cell>
          <cell r="Z576">
            <v>0</v>
          </cell>
          <cell r="AA576">
            <v>0</v>
          </cell>
          <cell r="AB576" t="str">
            <v>anytime</v>
          </cell>
          <cell r="AC576">
            <v>14</v>
          </cell>
          <cell r="AD576">
            <v>6</v>
          </cell>
          <cell r="AE576" t="str">
            <v>everyone</v>
          </cell>
        </row>
        <row r="577">
          <cell r="A577" t="str">
            <v>30021_3</v>
          </cell>
          <cell r="B577">
            <v>3</v>
          </cell>
          <cell r="C577">
            <v>30021</v>
          </cell>
          <cell r="D577" t="str">
            <v>野獣死すべしっ！</v>
          </cell>
          <cell r="E577" t="str">
            <v>ドロップイベント6（マルチ専用）</v>
          </cell>
          <cell r="F577">
            <v>3</v>
          </cell>
          <cell r="G577" t="str">
            <v>ja</v>
          </cell>
          <cell r="H577" t="str">
            <v>【超級】野獣死すべしっ！</v>
          </cell>
          <cell r="I577" t="str">
            <v>超級</v>
          </cell>
          <cell r="J577">
            <v>503</v>
          </cell>
          <cell r="K577">
            <v>30</v>
          </cell>
          <cell r="L577">
            <v>3300</v>
          </cell>
          <cell r="M577">
            <v>1</v>
          </cell>
          <cell r="N577">
            <v>1</v>
          </cell>
          <cell r="O577">
            <v>0</v>
          </cell>
          <cell r="P577">
            <v>1</v>
          </cell>
          <cell r="Q577">
            <v>1</v>
          </cell>
          <cell r="R577">
            <v>3</v>
          </cell>
          <cell r="S577" t="str">
            <v>polygon</v>
          </cell>
          <cell r="T577">
            <v>1</v>
          </cell>
          <cell r="U577" t="str">
            <v>NULL</v>
          </cell>
          <cell r="V577" t="str">
            <v>NULL</v>
          </cell>
          <cell r="W577" t="str">
            <v/>
          </cell>
          <cell r="X577">
            <v>0</v>
          </cell>
          <cell r="Y577">
            <v>0</v>
          </cell>
          <cell r="Z577">
            <v>0</v>
          </cell>
          <cell r="AA577">
            <v>0</v>
          </cell>
          <cell r="AB577" t="str">
            <v>anytime</v>
          </cell>
          <cell r="AC577">
            <v>14</v>
          </cell>
          <cell r="AD577">
            <v>6</v>
          </cell>
          <cell r="AE577" t="str">
            <v>everyone</v>
          </cell>
        </row>
        <row r="578">
          <cell r="A578" t="str">
            <v>30022_1</v>
          </cell>
          <cell r="B578">
            <v>3</v>
          </cell>
          <cell r="C578">
            <v>30022</v>
          </cell>
          <cell r="D578" t="str">
            <v>凶鼠ネコを咬む</v>
          </cell>
          <cell r="E578" t="str">
            <v>ドロップイベント6（マルチ専用）</v>
          </cell>
          <cell r="F578">
            <v>1</v>
          </cell>
          <cell r="G578" t="str">
            <v>ja</v>
          </cell>
          <cell r="H578" t="str">
            <v>【超級】凶鼠ネコを咬む</v>
          </cell>
          <cell r="I578" t="str">
            <v>超級</v>
          </cell>
          <cell r="J578">
            <v>504</v>
          </cell>
          <cell r="K578">
            <v>30</v>
          </cell>
          <cell r="L578">
            <v>3300</v>
          </cell>
          <cell r="M578">
            <v>1</v>
          </cell>
          <cell r="N578">
            <v>1</v>
          </cell>
          <cell r="O578">
            <v>1</v>
          </cell>
          <cell r="P578">
            <v>1</v>
          </cell>
          <cell r="Q578">
            <v>1</v>
          </cell>
          <cell r="R578">
            <v>3</v>
          </cell>
          <cell r="S578" t="str">
            <v>none</v>
          </cell>
          <cell r="T578">
            <v>0</v>
          </cell>
          <cell r="U578" t="str">
            <v>NULL</v>
          </cell>
          <cell r="V578" t="str">
            <v>NULL</v>
          </cell>
          <cell r="W578" t="str">
            <v/>
          </cell>
          <cell r="X578">
            <v>0</v>
          </cell>
          <cell r="Y578">
            <v>0</v>
          </cell>
          <cell r="Z578">
            <v>0</v>
          </cell>
          <cell r="AA578">
            <v>0</v>
          </cell>
          <cell r="AB578" t="str">
            <v>anytime</v>
          </cell>
          <cell r="AC578">
            <v>6</v>
          </cell>
          <cell r="AD578">
            <v>6</v>
          </cell>
          <cell r="AE578" t="str">
            <v>everyone</v>
          </cell>
        </row>
        <row r="579">
          <cell r="A579" t="str">
            <v>30022_2</v>
          </cell>
          <cell r="B579">
            <v>3</v>
          </cell>
          <cell r="C579">
            <v>30022</v>
          </cell>
          <cell r="D579" t="str">
            <v>凶鼠ネコを咬む</v>
          </cell>
          <cell r="E579" t="str">
            <v>ドロップイベント6（マルチ専用）</v>
          </cell>
          <cell r="F579">
            <v>2</v>
          </cell>
          <cell r="G579" t="str">
            <v>ja</v>
          </cell>
          <cell r="H579" t="str">
            <v>【超絶級】凶鼠ネコを咬む</v>
          </cell>
          <cell r="I579" t="str">
            <v>超絶級</v>
          </cell>
          <cell r="J579">
            <v>505</v>
          </cell>
          <cell r="K579">
            <v>35</v>
          </cell>
          <cell r="L579">
            <v>4200</v>
          </cell>
          <cell r="M579">
            <v>1</v>
          </cell>
          <cell r="N579">
            <v>1</v>
          </cell>
          <cell r="O579">
            <v>1</v>
          </cell>
          <cell r="P579">
            <v>1</v>
          </cell>
          <cell r="Q579">
            <v>1</v>
          </cell>
          <cell r="R579">
            <v>3</v>
          </cell>
          <cell r="S579" t="str">
            <v>polygon</v>
          </cell>
          <cell r="T579">
            <v>1</v>
          </cell>
          <cell r="U579" t="str">
            <v>NULL</v>
          </cell>
          <cell r="V579" t="str">
            <v>NULL</v>
          </cell>
          <cell r="W579" t="str">
            <v/>
          </cell>
          <cell r="X579">
            <v>0</v>
          </cell>
          <cell r="Y579">
            <v>0</v>
          </cell>
          <cell r="Z579">
            <v>0</v>
          </cell>
          <cell r="AA579">
            <v>0</v>
          </cell>
          <cell r="AB579" t="str">
            <v>anytime</v>
          </cell>
          <cell r="AC579">
            <v>6</v>
          </cell>
          <cell r="AD579">
            <v>6</v>
          </cell>
          <cell r="AE579" t="str">
            <v>everyone</v>
          </cell>
        </row>
        <row r="580">
          <cell r="A580" t="str">
            <v>30023_1</v>
          </cell>
          <cell r="B580">
            <v>3</v>
          </cell>
          <cell r="C580">
            <v>30023</v>
          </cell>
          <cell r="D580" t="str">
            <v>隔離からのエスケイプ</v>
          </cell>
          <cell r="E580" t="str">
            <v>ドロップイベント6（マルチ専用）</v>
          </cell>
          <cell r="F580">
            <v>1</v>
          </cell>
          <cell r="G580" t="str">
            <v>ja</v>
          </cell>
          <cell r="H580" t="str">
            <v>【中級】隔離からのエスケイプ</v>
          </cell>
          <cell r="I580" t="str">
            <v>中級</v>
          </cell>
          <cell r="J580">
            <v>506</v>
          </cell>
          <cell r="K580">
            <v>15</v>
          </cell>
          <cell r="L580">
            <v>1200</v>
          </cell>
          <cell r="M580">
            <v>1</v>
          </cell>
          <cell r="N580">
            <v>1</v>
          </cell>
          <cell r="O580">
            <v>1</v>
          </cell>
          <cell r="P580">
            <v>1</v>
          </cell>
          <cell r="Q580">
            <v>1</v>
          </cell>
          <cell r="R580">
            <v>3</v>
          </cell>
          <cell r="S580" t="str">
            <v>none</v>
          </cell>
          <cell r="T580">
            <v>0</v>
          </cell>
          <cell r="U580" t="str">
            <v>NULL</v>
          </cell>
          <cell r="V580" t="str">
            <v>NULL</v>
          </cell>
          <cell r="W580" t="str">
            <v/>
          </cell>
          <cell r="X580">
            <v>0</v>
          </cell>
          <cell r="Y580">
            <v>0</v>
          </cell>
          <cell r="Z580">
            <v>0</v>
          </cell>
          <cell r="AA580">
            <v>0</v>
          </cell>
          <cell r="AB580" t="str">
            <v>anytime</v>
          </cell>
          <cell r="AC580">
            <v>25</v>
          </cell>
          <cell r="AD580">
            <v>6</v>
          </cell>
          <cell r="AE580" t="str">
            <v>everyone</v>
          </cell>
        </row>
        <row r="581">
          <cell r="A581" t="str">
            <v>30023_2</v>
          </cell>
          <cell r="B581">
            <v>3</v>
          </cell>
          <cell r="C581">
            <v>30023</v>
          </cell>
          <cell r="D581" t="str">
            <v>隔離からのエスケイプ</v>
          </cell>
          <cell r="E581" t="str">
            <v>ドロップイベント6（マルチ専用）</v>
          </cell>
          <cell r="F581">
            <v>2</v>
          </cell>
          <cell r="G581" t="str">
            <v>ja</v>
          </cell>
          <cell r="H581" t="str">
            <v>【上級】隔離からのエスケイプ</v>
          </cell>
          <cell r="I581" t="str">
            <v>上級</v>
          </cell>
          <cell r="J581">
            <v>506</v>
          </cell>
          <cell r="K581">
            <v>20</v>
          </cell>
          <cell r="L581">
            <v>2000</v>
          </cell>
          <cell r="M581">
            <v>1</v>
          </cell>
          <cell r="N581">
            <v>1</v>
          </cell>
          <cell r="O581">
            <v>1</v>
          </cell>
          <cell r="P581">
            <v>1</v>
          </cell>
          <cell r="Q581">
            <v>1</v>
          </cell>
          <cell r="R581">
            <v>3</v>
          </cell>
          <cell r="S581" t="str">
            <v>none</v>
          </cell>
          <cell r="T581">
            <v>0</v>
          </cell>
          <cell r="U581" t="str">
            <v>NULL</v>
          </cell>
          <cell r="V581" t="str">
            <v>NULL</v>
          </cell>
          <cell r="W581" t="str">
            <v/>
          </cell>
          <cell r="X581">
            <v>0</v>
          </cell>
          <cell r="Y581">
            <v>0</v>
          </cell>
          <cell r="Z581">
            <v>0</v>
          </cell>
          <cell r="AA581">
            <v>0</v>
          </cell>
          <cell r="AB581" t="str">
            <v>anytime</v>
          </cell>
          <cell r="AC581">
            <v>25</v>
          </cell>
          <cell r="AD581">
            <v>6</v>
          </cell>
          <cell r="AE581" t="str">
            <v>everyone</v>
          </cell>
        </row>
        <row r="582">
          <cell r="A582" t="str">
            <v>30023_3</v>
          </cell>
          <cell r="B582">
            <v>3</v>
          </cell>
          <cell r="C582">
            <v>30023</v>
          </cell>
          <cell r="D582" t="str">
            <v>隔離からのエスケイプ</v>
          </cell>
          <cell r="E582" t="str">
            <v>ドロップイベント6（マルチ専用）</v>
          </cell>
          <cell r="F582">
            <v>3</v>
          </cell>
          <cell r="G582" t="str">
            <v>ja</v>
          </cell>
          <cell r="H582" t="str">
            <v>【超級】隔離からのエスケイプ</v>
          </cell>
          <cell r="I582" t="str">
            <v>超級</v>
          </cell>
          <cell r="J582">
            <v>507</v>
          </cell>
          <cell r="K582">
            <v>30</v>
          </cell>
          <cell r="L582">
            <v>3300</v>
          </cell>
          <cell r="M582">
            <v>1</v>
          </cell>
          <cell r="N582">
            <v>1</v>
          </cell>
          <cell r="O582">
            <v>1</v>
          </cell>
          <cell r="P582">
            <v>1</v>
          </cell>
          <cell r="Q582">
            <v>1</v>
          </cell>
          <cell r="R582">
            <v>3</v>
          </cell>
          <cell r="S582" t="str">
            <v>polygon</v>
          </cell>
          <cell r="T582">
            <v>1</v>
          </cell>
          <cell r="U582" t="str">
            <v>NULL</v>
          </cell>
          <cell r="V582" t="str">
            <v>NULL</v>
          </cell>
          <cell r="W582" t="str">
            <v/>
          </cell>
          <cell r="X582">
            <v>0</v>
          </cell>
          <cell r="Y582">
            <v>0</v>
          </cell>
          <cell r="Z582">
            <v>0</v>
          </cell>
          <cell r="AA582">
            <v>0</v>
          </cell>
          <cell r="AB582" t="str">
            <v>anytime</v>
          </cell>
          <cell r="AC582">
            <v>25</v>
          </cell>
          <cell r="AD582">
            <v>6</v>
          </cell>
          <cell r="AE582" t="str">
            <v>everyone</v>
          </cell>
        </row>
        <row r="583">
          <cell r="A583" t="str">
            <v>30024_1</v>
          </cell>
          <cell r="B583">
            <v>3</v>
          </cell>
          <cell r="C583">
            <v>30024</v>
          </cell>
          <cell r="D583" t="str">
            <v>雷鎚の選定</v>
          </cell>
          <cell r="E583" t="str">
            <v>ドロップイベント7（マルチ専用）</v>
          </cell>
          <cell r="F583">
            <v>1</v>
          </cell>
          <cell r="G583" t="str">
            <v>ja</v>
          </cell>
          <cell r="H583" t="str">
            <v>【中級】雷鎚の選定</v>
          </cell>
          <cell r="I583" t="str">
            <v>中級</v>
          </cell>
          <cell r="J583">
            <v>583</v>
          </cell>
          <cell r="K583">
            <v>15</v>
          </cell>
          <cell r="L583">
            <v>1200</v>
          </cell>
          <cell r="M583">
            <v>1</v>
          </cell>
          <cell r="N583">
            <v>1</v>
          </cell>
          <cell r="O583">
            <v>1</v>
          </cell>
          <cell r="P583">
            <v>1</v>
          </cell>
          <cell r="Q583">
            <v>1</v>
          </cell>
          <cell r="R583">
            <v>3</v>
          </cell>
          <cell r="S583" t="str">
            <v>none</v>
          </cell>
          <cell r="T583">
            <v>0</v>
          </cell>
          <cell r="U583" t="str">
            <v>NULL</v>
          </cell>
          <cell r="V583" t="str">
            <v>NULL</v>
          </cell>
          <cell r="W583" t="str">
            <v/>
          </cell>
          <cell r="X583">
            <v>0</v>
          </cell>
          <cell r="Y583">
            <v>0</v>
          </cell>
          <cell r="Z583">
            <v>0</v>
          </cell>
          <cell r="AA583">
            <v>0</v>
          </cell>
          <cell r="AB583" t="str">
            <v>anytime</v>
          </cell>
          <cell r="AC583">
            <v>20</v>
          </cell>
          <cell r="AD583">
            <v>6</v>
          </cell>
          <cell r="AE583" t="str">
            <v>multionly</v>
          </cell>
        </row>
        <row r="584">
          <cell r="A584" t="str">
            <v>30024_2</v>
          </cell>
          <cell r="B584">
            <v>3</v>
          </cell>
          <cell r="C584">
            <v>30024</v>
          </cell>
          <cell r="D584" t="str">
            <v>雷鎚の選定</v>
          </cell>
          <cell r="E584" t="str">
            <v>ドロップイベント7（マルチ専用）</v>
          </cell>
          <cell r="F584">
            <v>2</v>
          </cell>
          <cell r="G584" t="str">
            <v>ja</v>
          </cell>
          <cell r="H584" t="str">
            <v>【上級】雷鎚の選定</v>
          </cell>
          <cell r="I584" t="str">
            <v>上級</v>
          </cell>
          <cell r="J584">
            <v>583</v>
          </cell>
          <cell r="K584">
            <v>20</v>
          </cell>
          <cell r="L584">
            <v>2000</v>
          </cell>
          <cell r="M584">
            <v>1</v>
          </cell>
          <cell r="N584">
            <v>1</v>
          </cell>
          <cell r="O584">
            <v>1</v>
          </cell>
          <cell r="P584">
            <v>1</v>
          </cell>
          <cell r="Q584">
            <v>1</v>
          </cell>
          <cell r="R584">
            <v>3</v>
          </cell>
          <cell r="S584" t="str">
            <v>none</v>
          </cell>
          <cell r="T584">
            <v>0</v>
          </cell>
          <cell r="U584" t="str">
            <v>NULL</v>
          </cell>
          <cell r="V584" t="str">
            <v>NULL</v>
          </cell>
          <cell r="W584" t="str">
            <v/>
          </cell>
          <cell r="X584">
            <v>0</v>
          </cell>
          <cell r="Y584">
            <v>0</v>
          </cell>
          <cell r="Z584">
            <v>0</v>
          </cell>
          <cell r="AA584">
            <v>0</v>
          </cell>
          <cell r="AB584" t="str">
            <v>anytime</v>
          </cell>
          <cell r="AC584">
            <v>20</v>
          </cell>
          <cell r="AD584">
            <v>6</v>
          </cell>
          <cell r="AE584" t="str">
            <v>multionly</v>
          </cell>
        </row>
        <row r="585">
          <cell r="A585" t="str">
            <v>30024_3</v>
          </cell>
          <cell r="B585">
            <v>3</v>
          </cell>
          <cell r="C585">
            <v>30024</v>
          </cell>
          <cell r="D585" t="str">
            <v>雷鎚の選定</v>
          </cell>
          <cell r="E585" t="str">
            <v>ドロップイベント7（マルチ専用）</v>
          </cell>
          <cell r="F585">
            <v>3</v>
          </cell>
          <cell r="G585" t="str">
            <v>ja</v>
          </cell>
          <cell r="H585" t="str">
            <v>【超級】雷鎚の選定</v>
          </cell>
          <cell r="I585" t="str">
            <v>超級</v>
          </cell>
          <cell r="J585">
            <v>584</v>
          </cell>
          <cell r="K585">
            <v>30</v>
          </cell>
          <cell r="L585">
            <v>3300</v>
          </cell>
          <cell r="M585">
            <v>1</v>
          </cell>
          <cell r="N585">
            <v>1</v>
          </cell>
          <cell r="O585">
            <v>1</v>
          </cell>
          <cell r="P585">
            <v>1</v>
          </cell>
          <cell r="Q585">
            <v>1</v>
          </cell>
          <cell r="R585">
            <v>3</v>
          </cell>
          <cell r="S585" t="str">
            <v>polygon</v>
          </cell>
          <cell r="T585">
            <v>1</v>
          </cell>
          <cell r="U585" t="str">
            <v>NULL</v>
          </cell>
          <cell r="V585" t="str">
            <v>NULL</v>
          </cell>
          <cell r="W585" t="str">
            <v/>
          </cell>
          <cell r="X585">
            <v>0</v>
          </cell>
          <cell r="Y585">
            <v>0</v>
          </cell>
          <cell r="Z585">
            <v>0</v>
          </cell>
          <cell r="AA585">
            <v>0</v>
          </cell>
          <cell r="AB585" t="str">
            <v>anytime</v>
          </cell>
          <cell r="AC585">
            <v>20</v>
          </cell>
          <cell r="AD585">
            <v>6</v>
          </cell>
          <cell r="AE585" t="str">
            <v>multionly</v>
          </cell>
        </row>
        <row r="586">
          <cell r="A586" t="str">
            <v>30025_1</v>
          </cell>
          <cell r="B586">
            <v>3</v>
          </cell>
          <cell r="C586">
            <v>30025</v>
          </cell>
          <cell r="D586" t="str">
            <v>真実の探求者</v>
          </cell>
          <cell r="E586" t="str">
            <v>ドロップイベント7（マルチ専用）</v>
          </cell>
          <cell r="F586">
            <v>1</v>
          </cell>
          <cell r="G586" t="str">
            <v>ja</v>
          </cell>
          <cell r="H586" t="str">
            <v>【中級】真実の探求者</v>
          </cell>
          <cell r="I586" t="str">
            <v>中級</v>
          </cell>
          <cell r="J586">
            <v>579</v>
          </cell>
          <cell r="K586">
            <v>15</v>
          </cell>
          <cell r="L586">
            <v>1200</v>
          </cell>
          <cell r="M586">
            <v>1</v>
          </cell>
          <cell r="N586">
            <v>1</v>
          </cell>
          <cell r="O586">
            <v>1</v>
          </cell>
          <cell r="P586">
            <v>1</v>
          </cell>
          <cell r="Q586">
            <v>1</v>
          </cell>
          <cell r="R586">
            <v>3</v>
          </cell>
          <cell r="S586" t="str">
            <v>none</v>
          </cell>
          <cell r="T586">
            <v>0</v>
          </cell>
          <cell r="U586" t="str">
            <v>NULL</v>
          </cell>
          <cell r="V586" t="str">
            <v>NULL</v>
          </cell>
          <cell r="W586" t="str">
            <v/>
          </cell>
          <cell r="X586">
            <v>0</v>
          </cell>
          <cell r="Y586">
            <v>0</v>
          </cell>
          <cell r="Z586">
            <v>0</v>
          </cell>
          <cell r="AA586">
            <v>0</v>
          </cell>
          <cell r="AB586" t="str">
            <v>anytime</v>
          </cell>
          <cell r="AC586">
            <v>7</v>
          </cell>
          <cell r="AD586">
            <v>6</v>
          </cell>
          <cell r="AE586" t="str">
            <v>everyone</v>
          </cell>
        </row>
        <row r="587">
          <cell r="A587" t="str">
            <v>30025_2</v>
          </cell>
          <cell r="B587">
            <v>3</v>
          </cell>
          <cell r="C587">
            <v>30025</v>
          </cell>
          <cell r="D587" t="str">
            <v>真実の探求者</v>
          </cell>
          <cell r="E587" t="str">
            <v>ドロップイベント7（マルチ専用）</v>
          </cell>
          <cell r="F587">
            <v>2</v>
          </cell>
          <cell r="G587" t="str">
            <v>ja</v>
          </cell>
          <cell r="H587" t="str">
            <v>【上級】真実の探求者</v>
          </cell>
          <cell r="I587" t="str">
            <v>上級</v>
          </cell>
          <cell r="J587">
            <v>579</v>
          </cell>
          <cell r="K587">
            <v>20</v>
          </cell>
          <cell r="L587">
            <v>2000</v>
          </cell>
          <cell r="M587">
            <v>1</v>
          </cell>
          <cell r="N587">
            <v>1</v>
          </cell>
          <cell r="O587">
            <v>1</v>
          </cell>
          <cell r="P587">
            <v>1</v>
          </cell>
          <cell r="Q587">
            <v>1</v>
          </cell>
          <cell r="R587">
            <v>3</v>
          </cell>
          <cell r="S587" t="str">
            <v>none</v>
          </cell>
          <cell r="T587">
            <v>0</v>
          </cell>
          <cell r="U587" t="str">
            <v>NULL</v>
          </cell>
          <cell r="V587" t="str">
            <v>NULL</v>
          </cell>
          <cell r="W587" t="str">
            <v/>
          </cell>
          <cell r="X587">
            <v>0</v>
          </cell>
          <cell r="Y587">
            <v>0</v>
          </cell>
          <cell r="Z587">
            <v>0</v>
          </cell>
          <cell r="AA587">
            <v>0</v>
          </cell>
          <cell r="AB587" t="str">
            <v>anytime</v>
          </cell>
          <cell r="AC587">
            <v>7</v>
          </cell>
          <cell r="AD587">
            <v>6</v>
          </cell>
          <cell r="AE587" t="str">
            <v>everyone</v>
          </cell>
        </row>
        <row r="588">
          <cell r="A588" t="str">
            <v>30025_3</v>
          </cell>
          <cell r="B588">
            <v>3</v>
          </cell>
          <cell r="C588">
            <v>30025</v>
          </cell>
          <cell r="D588" t="str">
            <v>真実の探求者</v>
          </cell>
          <cell r="E588" t="str">
            <v>ドロップイベント7（マルチ専用）</v>
          </cell>
          <cell r="F588">
            <v>3</v>
          </cell>
          <cell r="G588" t="str">
            <v>ja</v>
          </cell>
          <cell r="H588" t="str">
            <v>【超級】真実の探求者</v>
          </cell>
          <cell r="I588" t="str">
            <v>超級</v>
          </cell>
          <cell r="J588">
            <v>580</v>
          </cell>
          <cell r="K588">
            <v>30</v>
          </cell>
          <cell r="L588">
            <v>3300</v>
          </cell>
          <cell r="M588">
            <v>1</v>
          </cell>
          <cell r="N588">
            <v>1</v>
          </cell>
          <cell r="O588">
            <v>1</v>
          </cell>
          <cell r="P588">
            <v>1</v>
          </cell>
          <cell r="Q588">
            <v>1</v>
          </cell>
          <cell r="R588">
            <v>3</v>
          </cell>
          <cell r="S588" t="str">
            <v>polygon</v>
          </cell>
          <cell r="T588">
            <v>1</v>
          </cell>
          <cell r="U588" t="str">
            <v>NULL</v>
          </cell>
          <cell r="V588" t="str">
            <v>NULL</v>
          </cell>
          <cell r="W588" t="str">
            <v/>
          </cell>
          <cell r="X588">
            <v>0</v>
          </cell>
          <cell r="Y588">
            <v>0</v>
          </cell>
          <cell r="Z588">
            <v>0</v>
          </cell>
          <cell r="AA588">
            <v>0</v>
          </cell>
          <cell r="AB588" t="str">
            <v>anytime</v>
          </cell>
          <cell r="AC588">
            <v>7</v>
          </cell>
          <cell r="AD588">
            <v>6</v>
          </cell>
          <cell r="AE588" t="str">
            <v>everyone</v>
          </cell>
        </row>
        <row r="589">
          <cell r="A589" t="str">
            <v>30026_1</v>
          </cell>
          <cell r="B589">
            <v>3</v>
          </cell>
          <cell r="C589">
            <v>30026</v>
          </cell>
          <cell r="D589" t="str">
            <v>道を阻む妖精夫婦</v>
          </cell>
          <cell r="E589" t="str">
            <v>ドロップイベント7（マルチ専用）</v>
          </cell>
          <cell r="F589">
            <v>1</v>
          </cell>
          <cell r="G589" t="str">
            <v>ja</v>
          </cell>
          <cell r="H589" t="str">
            <v>【中級】道を阻む妖精夫婦</v>
          </cell>
          <cell r="I589" t="str">
            <v>中級</v>
          </cell>
          <cell r="J589">
            <v>577</v>
          </cell>
          <cell r="K589">
            <v>15</v>
          </cell>
          <cell r="L589">
            <v>1200</v>
          </cell>
          <cell r="M589">
            <v>1</v>
          </cell>
          <cell r="N589">
            <v>1</v>
          </cell>
          <cell r="O589">
            <v>1</v>
          </cell>
          <cell r="P589">
            <v>1</v>
          </cell>
          <cell r="Q589">
            <v>1</v>
          </cell>
          <cell r="R589">
            <v>3</v>
          </cell>
          <cell r="S589" t="str">
            <v>none</v>
          </cell>
          <cell r="T589">
            <v>0</v>
          </cell>
          <cell r="U589" t="str">
            <v>NULL</v>
          </cell>
          <cell r="V589" t="str">
            <v>NULL</v>
          </cell>
          <cell r="W589" t="str">
            <v/>
          </cell>
          <cell r="X589">
            <v>0</v>
          </cell>
          <cell r="Y589">
            <v>0</v>
          </cell>
          <cell r="Z589">
            <v>0</v>
          </cell>
          <cell r="AA589">
            <v>0</v>
          </cell>
          <cell r="AB589" t="str">
            <v>anytime</v>
          </cell>
          <cell r="AC589">
            <v>21</v>
          </cell>
          <cell r="AD589">
            <v>6</v>
          </cell>
          <cell r="AE589" t="str">
            <v>everyone</v>
          </cell>
        </row>
        <row r="590">
          <cell r="A590" t="str">
            <v>30026_2</v>
          </cell>
          <cell r="B590">
            <v>3</v>
          </cell>
          <cell r="C590">
            <v>30026</v>
          </cell>
          <cell r="D590" t="str">
            <v>道を阻む妖精夫婦</v>
          </cell>
          <cell r="E590" t="str">
            <v>ドロップイベント7（マルチ専用）</v>
          </cell>
          <cell r="F590">
            <v>2</v>
          </cell>
          <cell r="G590" t="str">
            <v>ja</v>
          </cell>
          <cell r="H590" t="str">
            <v>【上級】道を阻む妖精夫婦</v>
          </cell>
          <cell r="I590" t="str">
            <v>上級</v>
          </cell>
          <cell r="J590">
            <v>577</v>
          </cell>
          <cell r="K590">
            <v>20</v>
          </cell>
          <cell r="L590">
            <v>2000</v>
          </cell>
          <cell r="M590">
            <v>1</v>
          </cell>
          <cell r="N590">
            <v>1</v>
          </cell>
          <cell r="O590">
            <v>1</v>
          </cell>
          <cell r="P590">
            <v>1</v>
          </cell>
          <cell r="Q590">
            <v>1</v>
          </cell>
          <cell r="R590">
            <v>3</v>
          </cell>
          <cell r="S590" t="str">
            <v>none</v>
          </cell>
          <cell r="T590">
            <v>0</v>
          </cell>
          <cell r="U590" t="str">
            <v>NULL</v>
          </cell>
          <cell r="V590" t="str">
            <v>NULL</v>
          </cell>
          <cell r="W590" t="str">
            <v/>
          </cell>
          <cell r="X590">
            <v>0</v>
          </cell>
          <cell r="Y590">
            <v>0</v>
          </cell>
          <cell r="Z590">
            <v>0</v>
          </cell>
          <cell r="AA590">
            <v>0</v>
          </cell>
          <cell r="AB590" t="str">
            <v>anytime</v>
          </cell>
          <cell r="AC590">
            <v>21</v>
          </cell>
          <cell r="AD590">
            <v>6</v>
          </cell>
          <cell r="AE590" t="str">
            <v>everyone</v>
          </cell>
        </row>
        <row r="591">
          <cell r="A591" t="str">
            <v>30026_3</v>
          </cell>
          <cell r="B591">
            <v>3</v>
          </cell>
          <cell r="C591">
            <v>30026</v>
          </cell>
          <cell r="D591" t="str">
            <v>道を阻む妖精夫婦</v>
          </cell>
          <cell r="E591" t="str">
            <v>ドロップイベント7（マルチ専用）</v>
          </cell>
          <cell r="F591">
            <v>3</v>
          </cell>
          <cell r="G591" t="str">
            <v>ja</v>
          </cell>
          <cell r="H591" t="str">
            <v>【超級】道を阻む妖精夫婦</v>
          </cell>
          <cell r="I591" t="str">
            <v>超級</v>
          </cell>
          <cell r="J591">
            <v>578</v>
          </cell>
          <cell r="K591">
            <v>30</v>
          </cell>
          <cell r="L591">
            <v>3300</v>
          </cell>
          <cell r="M591">
            <v>1</v>
          </cell>
          <cell r="N591">
            <v>1</v>
          </cell>
          <cell r="O591">
            <v>1</v>
          </cell>
          <cell r="P591">
            <v>1</v>
          </cell>
          <cell r="Q591">
            <v>1</v>
          </cell>
          <cell r="R591">
            <v>3</v>
          </cell>
          <cell r="S591" t="str">
            <v>polygon</v>
          </cell>
          <cell r="T591">
            <v>1</v>
          </cell>
          <cell r="U591" t="str">
            <v>NULL</v>
          </cell>
          <cell r="V591" t="str">
            <v>NULL</v>
          </cell>
          <cell r="W591" t="str">
            <v/>
          </cell>
          <cell r="X591">
            <v>0</v>
          </cell>
          <cell r="Y591">
            <v>0</v>
          </cell>
          <cell r="Z591">
            <v>0</v>
          </cell>
          <cell r="AA591">
            <v>0</v>
          </cell>
          <cell r="AB591" t="str">
            <v>anytime</v>
          </cell>
          <cell r="AC591">
            <v>21</v>
          </cell>
          <cell r="AD591">
            <v>6</v>
          </cell>
          <cell r="AE591" t="str">
            <v>everyone</v>
          </cell>
        </row>
        <row r="592">
          <cell r="A592" t="str">
            <v>30027_1</v>
          </cell>
          <cell r="B592">
            <v>3</v>
          </cell>
          <cell r="C592">
            <v>30027</v>
          </cell>
          <cell r="D592" t="str">
            <v>凍りつくまで愛してあげる</v>
          </cell>
          <cell r="E592" t="str">
            <v>ドロップイベント7（マルチ専用）</v>
          </cell>
          <cell r="F592">
            <v>1</v>
          </cell>
          <cell r="G592" t="str">
            <v>ja</v>
          </cell>
          <cell r="H592" t="str">
            <v>【中級】凍りつくまで愛してあげる</v>
          </cell>
          <cell r="I592" t="str">
            <v>中級</v>
          </cell>
          <cell r="J592">
            <v>646</v>
          </cell>
          <cell r="K592">
            <v>15</v>
          </cell>
          <cell r="L592">
            <v>1200</v>
          </cell>
          <cell r="M592">
            <v>0</v>
          </cell>
          <cell r="N592">
            <v>1</v>
          </cell>
          <cell r="O592">
            <v>1</v>
          </cell>
          <cell r="P592">
            <v>1</v>
          </cell>
          <cell r="Q592">
            <v>1</v>
          </cell>
          <cell r="R592">
            <v>3</v>
          </cell>
          <cell r="S592" t="str">
            <v>none</v>
          </cell>
          <cell r="T592">
            <v>0</v>
          </cell>
          <cell r="U592" t="str">
            <v>NULL</v>
          </cell>
          <cell r="V592" t="str">
            <v>NULL</v>
          </cell>
          <cell r="W592" t="str">
            <v/>
          </cell>
          <cell r="X592">
            <v>0</v>
          </cell>
          <cell r="Y592">
            <v>0</v>
          </cell>
          <cell r="Z592">
            <v>0</v>
          </cell>
          <cell r="AA592">
            <v>0</v>
          </cell>
          <cell r="AB592" t="str">
            <v>anytime</v>
          </cell>
          <cell r="AC592">
            <v>9</v>
          </cell>
          <cell r="AD592">
            <v>6</v>
          </cell>
          <cell r="AE592" t="str">
            <v>everyone</v>
          </cell>
        </row>
        <row r="593">
          <cell r="A593" t="str">
            <v>30027_2</v>
          </cell>
          <cell r="B593">
            <v>3</v>
          </cell>
          <cell r="C593">
            <v>30027</v>
          </cell>
          <cell r="D593" t="str">
            <v>凍りつくまで愛してあげる</v>
          </cell>
          <cell r="E593" t="str">
            <v>ドロップイベント7（マルチ専用）</v>
          </cell>
          <cell r="F593">
            <v>2</v>
          </cell>
          <cell r="G593" t="str">
            <v>ja</v>
          </cell>
          <cell r="H593" t="str">
            <v>【上級】凍りつくまで愛してあげる</v>
          </cell>
          <cell r="I593" t="str">
            <v>上級</v>
          </cell>
          <cell r="J593">
            <v>646</v>
          </cell>
          <cell r="K593">
            <v>20</v>
          </cell>
          <cell r="L593">
            <v>2000</v>
          </cell>
          <cell r="M593">
            <v>0</v>
          </cell>
          <cell r="N593">
            <v>1</v>
          </cell>
          <cell r="O593">
            <v>1</v>
          </cell>
          <cell r="P593">
            <v>1</v>
          </cell>
          <cell r="Q593">
            <v>1</v>
          </cell>
          <cell r="R593">
            <v>3</v>
          </cell>
          <cell r="S593" t="str">
            <v>none</v>
          </cell>
          <cell r="T593">
            <v>0</v>
          </cell>
          <cell r="U593" t="str">
            <v>NULL</v>
          </cell>
          <cell r="V593" t="str">
            <v>NULL</v>
          </cell>
          <cell r="W593" t="str">
            <v/>
          </cell>
          <cell r="X593">
            <v>0</v>
          </cell>
          <cell r="Y593">
            <v>0</v>
          </cell>
          <cell r="Z593">
            <v>0</v>
          </cell>
          <cell r="AA593">
            <v>0</v>
          </cell>
          <cell r="AB593" t="str">
            <v>anytime</v>
          </cell>
          <cell r="AC593">
            <v>9</v>
          </cell>
          <cell r="AD593">
            <v>6</v>
          </cell>
          <cell r="AE593" t="str">
            <v>everyone</v>
          </cell>
        </row>
        <row r="594">
          <cell r="A594" t="str">
            <v>30027_3</v>
          </cell>
          <cell r="B594">
            <v>3</v>
          </cell>
          <cell r="C594">
            <v>30027</v>
          </cell>
          <cell r="D594" t="str">
            <v>凍りつくまで愛してあげる</v>
          </cell>
          <cell r="E594" t="str">
            <v>ドロップイベント7（マルチ専用）</v>
          </cell>
          <cell r="F594">
            <v>3</v>
          </cell>
          <cell r="G594" t="str">
            <v>ja</v>
          </cell>
          <cell r="H594" t="str">
            <v>【超級】凍りつくまで愛してあげる</v>
          </cell>
          <cell r="I594" t="str">
            <v>超級</v>
          </cell>
          <cell r="J594">
            <v>647</v>
          </cell>
          <cell r="K594">
            <v>30</v>
          </cell>
          <cell r="L594">
            <v>3300</v>
          </cell>
          <cell r="M594">
            <v>0</v>
          </cell>
          <cell r="N594">
            <v>1</v>
          </cell>
          <cell r="O594">
            <v>1</v>
          </cell>
          <cell r="P594">
            <v>1</v>
          </cell>
          <cell r="Q594">
            <v>1</v>
          </cell>
          <cell r="R594">
            <v>3</v>
          </cell>
          <cell r="S594" t="str">
            <v>polygon</v>
          </cell>
          <cell r="T594">
            <v>1</v>
          </cell>
          <cell r="U594" t="str">
            <v>NULL</v>
          </cell>
          <cell r="V594" t="str">
            <v>NULL</v>
          </cell>
          <cell r="W594" t="str">
            <v/>
          </cell>
          <cell r="X594">
            <v>0</v>
          </cell>
          <cell r="Y594">
            <v>0</v>
          </cell>
          <cell r="Z594">
            <v>0</v>
          </cell>
          <cell r="AA594">
            <v>0</v>
          </cell>
          <cell r="AB594" t="str">
            <v>anytime</v>
          </cell>
          <cell r="AC594">
            <v>9</v>
          </cell>
          <cell r="AD594">
            <v>6</v>
          </cell>
          <cell r="AE594" t="str">
            <v>everyone</v>
          </cell>
        </row>
        <row r="595">
          <cell r="A595" t="str">
            <v>30028_1</v>
          </cell>
          <cell r="B595">
            <v>3</v>
          </cell>
          <cell r="C595">
            <v>30028</v>
          </cell>
          <cell r="D595" t="str">
            <v>最悪の刺客</v>
          </cell>
          <cell r="E595" t="str">
            <v>ドロップイベント8（マルチ専用）</v>
          </cell>
          <cell r="F595">
            <v>1</v>
          </cell>
          <cell r="G595" t="str">
            <v>ja</v>
          </cell>
          <cell r="H595" t="str">
            <v>【中級】最悪の刺客</v>
          </cell>
          <cell r="I595" t="str">
            <v>中級</v>
          </cell>
          <cell r="J595">
            <v>650</v>
          </cell>
          <cell r="K595">
            <v>15</v>
          </cell>
          <cell r="L595">
            <v>1200</v>
          </cell>
          <cell r="M595">
            <v>1</v>
          </cell>
          <cell r="N595">
            <v>1</v>
          </cell>
          <cell r="O595">
            <v>1</v>
          </cell>
          <cell r="P595">
            <v>1</v>
          </cell>
          <cell r="Q595">
            <v>1</v>
          </cell>
          <cell r="R595">
            <v>3</v>
          </cell>
          <cell r="S595" t="str">
            <v>none</v>
          </cell>
          <cell r="T595">
            <v>0</v>
          </cell>
          <cell r="U595" t="str">
            <v>NULL</v>
          </cell>
          <cell r="V595" t="str">
            <v>NULL</v>
          </cell>
          <cell r="W595" t="str">
            <v/>
          </cell>
          <cell r="X595">
            <v>0</v>
          </cell>
          <cell r="Y595">
            <v>0</v>
          </cell>
          <cell r="Z595">
            <v>0</v>
          </cell>
          <cell r="AA595">
            <v>0</v>
          </cell>
          <cell r="AB595" t="str">
            <v>anytime</v>
          </cell>
          <cell r="AC595">
            <v>2601</v>
          </cell>
          <cell r="AD595">
            <v>6</v>
          </cell>
          <cell r="AE595" t="str">
            <v>everyone</v>
          </cell>
        </row>
        <row r="596">
          <cell r="A596" t="str">
            <v>30028_2</v>
          </cell>
          <cell r="B596">
            <v>3</v>
          </cell>
          <cell r="C596">
            <v>30028</v>
          </cell>
          <cell r="D596" t="str">
            <v>最悪の刺客</v>
          </cell>
          <cell r="E596" t="str">
            <v>ドロップイベント8（マルチ専用）</v>
          </cell>
          <cell r="F596">
            <v>2</v>
          </cell>
          <cell r="G596" t="str">
            <v>ja</v>
          </cell>
          <cell r="H596" t="str">
            <v>【上級】最悪の刺客</v>
          </cell>
          <cell r="I596" t="str">
            <v>上級</v>
          </cell>
          <cell r="J596">
            <v>650</v>
          </cell>
          <cell r="K596">
            <v>20</v>
          </cell>
          <cell r="L596">
            <v>2000</v>
          </cell>
          <cell r="M596">
            <v>1</v>
          </cell>
          <cell r="N596">
            <v>1</v>
          </cell>
          <cell r="O596">
            <v>1</v>
          </cell>
          <cell r="P596">
            <v>1</v>
          </cell>
          <cell r="Q596">
            <v>1</v>
          </cell>
          <cell r="R596">
            <v>3</v>
          </cell>
          <cell r="S596" t="str">
            <v>none</v>
          </cell>
          <cell r="T596">
            <v>0</v>
          </cell>
          <cell r="U596" t="str">
            <v>NULL</v>
          </cell>
          <cell r="V596" t="str">
            <v>NULL</v>
          </cell>
          <cell r="W596" t="str">
            <v/>
          </cell>
          <cell r="X596">
            <v>0</v>
          </cell>
          <cell r="Y596">
            <v>0</v>
          </cell>
          <cell r="Z596">
            <v>0</v>
          </cell>
          <cell r="AA596">
            <v>0</v>
          </cell>
          <cell r="AB596" t="str">
            <v>anytime</v>
          </cell>
          <cell r="AC596">
            <v>2601</v>
          </cell>
          <cell r="AD596">
            <v>6</v>
          </cell>
          <cell r="AE596" t="str">
            <v>everyone</v>
          </cell>
        </row>
        <row r="597">
          <cell r="A597" t="str">
            <v>30028_3</v>
          </cell>
          <cell r="B597">
            <v>3</v>
          </cell>
          <cell r="C597">
            <v>30028</v>
          </cell>
          <cell r="D597" t="str">
            <v>最悪の刺客</v>
          </cell>
          <cell r="E597" t="str">
            <v>ドロップイベント8（マルチ専用）</v>
          </cell>
          <cell r="F597">
            <v>3</v>
          </cell>
          <cell r="G597" t="str">
            <v>ja</v>
          </cell>
          <cell r="H597" t="str">
            <v>【超級】最悪の刺客</v>
          </cell>
          <cell r="I597" t="str">
            <v>超級</v>
          </cell>
          <cell r="J597">
            <v>651</v>
          </cell>
          <cell r="K597">
            <v>30</v>
          </cell>
          <cell r="L597">
            <v>3300</v>
          </cell>
          <cell r="M597">
            <v>1</v>
          </cell>
          <cell r="N597">
            <v>1</v>
          </cell>
          <cell r="O597">
            <v>1</v>
          </cell>
          <cell r="P597">
            <v>1</v>
          </cell>
          <cell r="Q597">
            <v>1</v>
          </cell>
          <cell r="R597">
            <v>3</v>
          </cell>
          <cell r="S597" t="str">
            <v>polygon</v>
          </cell>
          <cell r="T597">
            <v>1</v>
          </cell>
          <cell r="U597" t="str">
            <v>NULL</v>
          </cell>
          <cell r="V597" t="str">
            <v>NULL</v>
          </cell>
          <cell r="W597" t="str">
            <v/>
          </cell>
          <cell r="X597">
            <v>0</v>
          </cell>
          <cell r="Y597">
            <v>0</v>
          </cell>
          <cell r="Z597">
            <v>0</v>
          </cell>
          <cell r="AA597">
            <v>0</v>
          </cell>
          <cell r="AB597" t="str">
            <v>anytime</v>
          </cell>
          <cell r="AC597">
            <v>2601</v>
          </cell>
          <cell r="AD597">
            <v>6</v>
          </cell>
          <cell r="AE597" t="str">
            <v>everyone</v>
          </cell>
        </row>
        <row r="598">
          <cell r="A598" t="str">
            <v>30029_1</v>
          </cell>
          <cell r="B598">
            <v>3</v>
          </cell>
          <cell r="C598">
            <v>30029</v>
          </cell>
          <cell r="D598" t="str">
            <v>全ては主のために</v>
          </cell>
          <cell r="E598" t="str">
            <v>ドロップイベント8（マルチ専用）</v>
          </cell>
          <cell r="F598">
            <v>1</v>
          </cell>
          <cell r="G598" t="str">
            <v>ja</v>
          </cell>
          <cell r="H598" t="str">
            <v>【中級】全ては主のために</v>
          </cell>
          <cell r="I598" t="str">
            <v>中級</v>
          </cell>
          <cell r="J598">
            <v>648</v>
          </cell>
          <cell r="K598">
            <v>15</v>
          </cell>
          <cell r="L598">
            <v>1200</v>
          </cell>
          <cell r="M598">
            <v>1</v>
          </cell>
          <cell r="N598">
            <v>1</v>
          </cell>
          <cell r="O598">
            <v>1</v>
          </cell>
          <cell r="P598">
            <v>1</v>
          </cell>
          <cell r="Q598">
            <v>1</v>
          </cell>
          <cell r="R598">
            <v>3</v>
          </cell>
          <cell r="S598" t="str">
            <v>none</v>
          </cell>
          <cell r="T598">
            <v>0</v>
          </cell>
          <cell r="U598" t="str">
            <v>NULL</v>
          </cell>
          <cell r="V598" t="str">
            <v>NULL</v>
          </cell>
          <cell r="W598" t="str">
            <v/>
          </cell>
          <cell r="X598">
            <v>0</v>
          </cell>
          <cell r="Y598">
            <v>0</v>
          </cell>
          <cell r="Z598">
            <v>0</v>
          </cell>
          <cell r="AA598">
            <v>0</v>
          </cell>
          <cell r="AB598" t="str">
            <v>anytime</v>
          </cell>
          <cell r="AC598">
            <v>5</v>
          </cell>
          <cell r="AD598">
            <v>6</v>
          </cell>
          <cell r="AE598" t="str">
            <v>everyone</v>
          </cell>
        </row>
        <row r="599">
          <cell r="A599" t="str">
            <v>30029_2</v>
          </cell>
          <cell r="B599">
            <v>3</v>
          </cell>
          <cell r="C599">
            <v>30029</v>
          </cell>
          <cell r="D599" t="str">
            <v>全ては主のために</v>
          </cell>
          <cell r="E599" t="str">
            <v>ドロップイベント8（マルチ専用）</v>
          </cell>
          <cell r="F599">
            <v>2</v>
          </cell>
          <cell r="G599" t="str">
            <v>ja</v>
          </cell>
          <cell r="H599" t="str">
            <v>【上級】全ては主のために</v>
          </cell>
          <cell r="I599" t="str">
            <v>上級</v>
          </cell>
          <cell r="J599">
            <v>648</v>
          </cell>
          <cell r="K599">
            <v>20</v>
          </cell>
          <cell r="L599">
            <v>2000</v>
          </cell>
          <cell r="M599">
            <v>1</v>
          </cell>
          <cell r="N599">
            <v>1</v>
          </cell>
          <cell r="O599">
            <v>1</v>
          </cell>
          <cell r="P599">
            <v>1</v>
          </cell>
          <cell r="Q599">
            <v>1</v>
          </cell>
          <cell r="R599">
            <v>3</v>
          </cell>
          <cell r="S599" t="str">
            <v>none</v>
          </cell>
          <cell r="T599">
            <v>0</v>
          </cell>
          <cell r="U599" t="str">
            <v>NULL</v>
          </cell>
          <cell r="V599" t="str">
            <v>NULL</v>
          </cell>
          <cell r="W599" t="str">
            <v/>
          </cell>
          <cell r="X599">
            <v>0</v>
          </cell>
          <cell r="Y599">
            <v>0</v>
          </cell>
          <cell r="Z599">
            <v>0</v>
          </cell>
          <cell r="AA599">
            <v>0</v>
          </cell>
          <cell r="AB599" t="str">
            <v>anytime</v>
          </cell>
          <cell r="AC599">
            <v>5</v>
          </cell>
          <cell r="AD599">
            <v>6</v>
          </cell>
          <cell r="AE599" t="str">
            <v>everyone</v>
          </cell>
        </row>
        <row r="600">
          <cell r="A600" t="str">
            <v>30029_3</v>
          </cell>
          <cell r="B600">
            <v>3</v>
          </cell>
          <cell r="C600">
            <v>30029</v>
          </cell>
          <cell r="D600" t="str">
            <v>全ては主のために</v>
          </cell>
          <cell r="E600" t="str">
            <v>ドロップイベント8（マルチ専用）</v>
          </cell>
          <cell r="F600">
            <v>3</v>
          </cell>
          <cell r="G600" t="str">
            <v>ja</v>
          </cell>
          <cell r="H600" t="str">
            <v>【超級】全ては主のために</v>
          </cell>
          <cell r="I600" t="str">
            <v>超級</v>
          </cell>
          <cell r="J600">
            <v>648</v>
          </cell>
          <cell r="K600">
            <v>30</v>
          </cell>
          <cell r="L600">
            <v>3300</v>
          </cell>
          <cell r="M600">
            <v>1</v>
          </cell>
          <cell r="N600">
            <v>1</v>
          </cell>
          <cell r="O600">
            <v>1</v>
          </cell>
          <cell r="P600">
            <v>1</v>
          </cell>
          <cell r="Q600">
            <v>1</v>
          </cell>
          <cell r="R600">
            <v>3</v>
          </cell>
          <cell r="S600" t="str">
            <v>polygon</v>
          </cell>
          <cell r="T600">
            <v>1</v>
          </cell>
          <cell r="U600" t="str">
            <v>NULL</v>
          </cell>
          <cell r="V600" t="str">
            <v>NULL</v>
          </cell>
          <cell r="W600" t="str">
            <v/>
          </cell>
          <cell r="X600">
            <v>0</v>
          </cell>
          <cell r="Y600">
            <v>0</v>
          </cell>
          <cell r="Z600">
            <v>0</v>
          </cell>
          <cell r="AA600">
            <v>0</v>
          </cell>
          <cell r="AB600" t="str">
            <v>anytime</v>
          </cell>
          <cell r="AC600">
            <v>5</v>
          </cell>
          <cell r="AD600">
            <v>6</v>
          </cell>
          <cell r="AE600" t="str">
            <v>everyone</v>
          </cell>
        </row>
        <row r="601">
          <cell r="A601" t="str">
            <v>30030_1</v>
          </cell>
          <cell r="B601">
            <v>3</v>
          </cell>
          <cell r="C601">
            <v>30030</v>
          </cell>
          <cell r="D601" t="str">
            <v>ここは誰の箱庭じゃ？</v>
          </cell>
          <cell r="E601" t="str">
            <v>ドロップイベント9（マルチ専用）</v>
          </cell>
          <cell r="F601">
            <v>1</v>
          </cell>
          <cell r="G601" t="str">
            <v>ja</v>
          </cell>
          <cell r="H601" t="str">
            <v>【中級】ここは誰の箱庭じゃ？</v>
          </cell>
          <cell r="I601" t="str">
            <v>中級</v>
          </cell>
          <cell r="J601">
            <v>652</v>
          </cell>
          <cell r="K601">
            <v>15</v>
          </cell>
          <cell r="L601">
            <v>1200</v>
          </cell>
          <cell r="M601">
            <v>1</v>
          </cell>
          <cell r="N601">
            <v>1</v>
          </cell>
          <cell r="O601">
            <v>1</v>
          </cell>
          <cell r="P601">
            <v>1</v>
          </cell>
          <cell r="Q601">
            <v>1</v>
          </cell>
          <cell r="R601">
            <v>3</v>
          </cell>
          <cell r="S601" t="str">
            <v>none</v>
          </cell>
          <cell r="T601">
            <v>0</v>
          </cell>
          <cell r="U601" t="str">
            <v>NULL</v>
          </cell>
          <cell r="V601" t="str">
            <v>NULL</v>
          </cell>
          <cell r="W601" t="str">
            <v/>
          </cell>
          <cell r="X601">
            <v>0</v>
          </cell>
          <cell r="Y601">
            <v>0</v>
          </cell>
          <cell r="Z601">
            <v>0</v>
          </cell>
          <cell r="AA601">
            <v>0</v>
          </cell>
          <cell r="AB601" t="str">
            <v>anytime</v>
          </cell>
          <cell r="AC601">
            <v>8</v>
          </cell>
          <cell r="AD601">
            <v>6</v>
          </cell>
          <cell r="AE601" t="str">
            <v>everyone</v>
          </cell>
        </row>
        <row r="602">
          <cell r="A602" t="str">
            <v>30030_2</v>
          </cell>
          <cell r="B602">
            <v>3</v>
          </cell>
          <cell r="C602">
            <v>30030</v>
          </cell>
          <cell r="D602" t="str">
            <v>ここは誰の箱庭じゃ？</v>
          </cell>
          <cell r="E602" t="str">
            <v>ドロップイベント9（マルチ専用）</v>
          </cell>
          <cell r="F602">
            <v>2</v>
          </cell>
          <cell r="G602" t="str">
            <v>ja</v>
          </cell>
          <cell r="H602" t="str">
            <v>【上級】ここは誰の箱庭じゃ？</v>
          </cell>
          <cell r="I602" t="str">
            <v>上級</v>
          </cell>
          <cell r="J602">
            <v>653</v>
          </cell>
          <cell r="K602">
            <v>20</v>
          </cell>
          <cell r="L602">
            <v>2000</v>
          </cell>
          <cell r="M602">
            <v>1</v>
          </cell>
          <cell r="N602">
            <v>1</v>
          </cell>
          <cell r="O602">
            <v>1</v>
          </cell>
          <cell r="P602">
            <v>1</v>
          </cell>
          <cell r="Q602">
            <v>1</v>
          </cell>
          <cell r="R602">
            <v>3</v>
          </cell>
          <cell r="S602" t="str">
            <v>none</v>
          </cell>
          <cell r="T602">
            <v>0</v>
          </cell>
          <cell r="U602" t="str">
            <v>NULL</v>
          </cell>
          <cell r="V602" t="str">
            <v>NULL</v>
          </cell>
          <cell r="W602" t="str">
            <v/>
          </cell>
          <cell r="X602">
            <v>0</v>
          </cell>
          <cell r="Y602">
            <v>0</v>
          </cell>
          <cell r="Z602">
            <v>0</v>
          </cell>
          <cell r="AA602">
            <v>0</v>
          </cell>
          <cell r="AB602" t="str">
            <v>anytime</v>
          </cell>
          <cell r="AC602">
            <v>8</v>
          </cell>
          <cell r="AD602">
            <v>6</v>
          </cell>
          <cell r="AE602" t="str">
            <v>everyone</v>
          </cell>
        </row>
        <row r="603">
          <cell r="A603" t="str">
            <v>30030_3</v>
          </cell>
          <cell r="B603">
            <v>3</v>
          </cell>
          <cell r="C603">
            <v>30030</v>
          </cell>
          <cell r="D603" t="str">
            <v>ここは誰の箱庭じゃ？</v>
          </cell>
          <cell r="E603" t="str">
            <v>ドロップイベント9（マルチ専用）</v>
          </cell>
          <cell r="F603">
            <v>3</v>
          </cell>
          <cell r="G603" t="str">
            <v>ja</v>
          </cell>
          <cell r="H603" t="str">
            <v>【超級】ここは誰の箱庭じゃ？</v>
          </cell>
          <cell r="I603" t="str">
            <v>超級</v>
          </cell>
          <cell r="J603">
            <v>653</v>
          </cell>
          <cell r="K603">
            <v>30</v>
          </cell>
          <cell r="L603">
            <v>3300</v>
          </cell>
          <cell r="M603">
            <v>1</v>
          </cell>
          <cell r="N603">
            <v>1</v>
          </cell>
          <cell r="O603">
            <v>1</v>
          </cell>
          <cell r="P603">
            <v>1</v>
          </cell>
          <cell r="Q603">
            <v>1</v>
          </cell>
          <cell r="R603">
            <v>3</v>
          </cell>
          <cell r="S603" t="str">
            <v>polygon</v>
          </cell>
          <cell r="T603">
            <v>1</v>
          </cell>
          <cell r="U603" t="str">
            <v>NULL</v>
          </cell>
          <cell r="V603" t="str">
            <v>NULL</v>
          </cell>
          <cell r="W603" t="str">
            <v/>
          </cell>
          <cell r="X603">
            <v>0</v>
          </cell>
          <cell r="Y603">
            <v>0</v>
          </cell>
          <cell r="Z603">
            <v>0</v>
          </cell>
          <cell r="AA603">
            <v>0</v>
          </cell>
          <cell r="AB603" t="str">
            <v>anytime</v>
          </cell>
          <cell r="AC603">
            <v>8</v>
          </cell>
          <cell r="AD603">
            <v>6</v>
          </cell>
          <cell r="AE603" t="str">
            <v>everyone</v>
          </cell>
        </row>
        <row r="604">
          <cell r="A604" t="str">
            <v>30031_1</v>
          </cell>
          <cell r="B604">
            <v>3</v>
          </cell>
          <cell r="C604">
            <v>30031</v>
          </cell>
          <cell r="D604" t="str">
            <v>力への羨望</v>
          </cell>
          <cell r="E604" t="str">
            <v>ドロップイベント10（マルチ専用）</v>
          </cell>
          <cell r="F604">
            <v>1</v>
          </cell>
          <cell r="G604" t="str">
            <v>ja</v>
          </cell>
          <cell r="H604" t="str">
            <v>【中級】力への羨望</v>
          </cell>
          <cell r="I604" t="str">
            <v>中級</v>
          </cell>
          <cell r="J604">
            <v>764</v>
          </cell>
          <cell r="K604">
            <v>15</v>
          </cell>
          <cell r="L604">
            <v>1200</v>
          </cell>
          <cell r="M604">
            <v>1</v>
          </cell>
          <cell r="N604">
            <v>1</v>
          </cell>
          <cell r="O604">
            <v>1</v>
          </cell>
          <cell r="P604">
            <v>1</v>
          </cell>
          <cell r="Q604">
            <v>1</v>
          </cell>
          <cell r="R604">
            <v>3</v>
          </cell>
          <cell r="S604" t="str">
            <v>none</v>
          </cell>
          <cell r="T604">
            <v>0</v>
          </cell>
          <cell r="U604" t="str">
            <v>NULL</v>
          </cell>
          <cell r="V604" t="str">
            <v>NULL</v>
          </cell>
          <cell r="W604" t="str">
            <v/>
          </cell>
          <cell r="X604">
            <v>0</v>
          </cell>
          <cell r="Y604">
            <v>0</v>
          </cell>
          <cell r="Z604">
            <v>0</v>
          </cell>
          <cell r="AA604">
            <v>0</v>
          </cell>
          <cell r="AB604" t="str">
            <v>anytime</v>
          </cell>
          <cell r="AC604">
            <v>20</v>
          </cell>
          <cell r="AD604">
            <v>6</v>
          </cell>
          <cell r="AE604" t="str">
            <v>everyone</v>
          </cell>
        </row>
        <row r="605">
          <cell r="A605" t="str">
            <v>30031_2</v>
          </cell>
          <cell r="B605">
            <v>3</v>
          </cell>
          <cell r="C605">
            <v>30031</v>
          </cell>
          <cell r="D605" t="str">
            <v>力への羨望</v>
          </cell>
          <cell r="E605" t="str">
            <v>ドロップイベント10（マルチ専用）</v>
          </cell>
          <cell r="F605">
            <v>2</v>
          </cell>
          <cell r="G605" t="str">
            <v>ja</v>
          </cell>
          <cell r="H605" t="str">
            <v>【上級】力への羨望</v>
          </cell>
          <cell r="I605" t="str">
            <v>上級</v>
          </cell>
          <cell r="J605">
            <v>764</v>
          </cell>
          <cell r="K605">
            <v>20</v>
          </cell>
          <cell r="L605">
            <v>2000</v>
          </cell>
          <cell r="M605">
            <v>1</v>
          </cell>
          <cell r="N605">
            <v>1</v>
          </cell>
          <cell r="O605">
            <v>1</v>
          </cell>
          <cell r="P605">
            <v>1</v>
          </cell>
          <cell r="Q605">
            <v>1</v>
          </cell>
          <cell r="R605">
            <v>3</v>
          </cell>
          <cell r="S605" t="str">
            <v>none</v>
          </cell>
          <cell r="T605">
            <v>0</v>
          </cell>
          <cell r="U605" t="str">
            <v>NULL</v>
          </cell>
          <cell r="V605" t="str">
            <v>NULL</v>
          </cell>
          <cell r="W605" t="str">
            <v/>
          </cell>
          <cell r="X605">
            <v>0</v>
          </cell>
          <cell r="Y605">
            <v>0</v>
          </cell>
          <cell r="Z605">
            <v>0</v>
          </cell>
          <cell r="AA605">
            <v>0</v>
          </cell>
          <cell r="AB605" t="str">
            <v>anytime</v>
          </cell>
          <cell r="AC605">
            <v>20</v>
          </cell>
          <cell r="AD605">
            <v>6</v>
          </cell>
          <cell r="AE605" t="str">
            <v>everyone</v>
          </cell>
        </row>
        <row r="606">
          <cell r="A606" t="str">
            <v>30031_3</v>
          </cell>
          <cell r="B606">
            <v>3</v>
          </cell>
          <cell r="C606">
            <v>30031</v>
          </cell>
          <cell r="D606" t="str">
            <v>力への羨望</v>
          </cell>
          <cell r="E606" t="str">
            <v>ドロップイベント10（マルチ専用）</v>
          </cell>
          <cell r="F606">
            <v>3</v>
          </cell>
          <cell r="G606" t="str">
            <v>ja</v>
          </cell>
          <cell r="H606" t="str">
            <v>【超級】力への羨望</v>
          </cell>
          <cell r="I606" t="str">
            <v>超級</v>
          </cell>
          <cell r="J606">
            <v>765</v>
          </cell>
          <cell r="K606">
            <v>30</v>
          </cell>
          <cell r="L606">
            <v>3300</v>
          </cell>
          <cell r="M606">
            <v>1</v>
          </cell>
          <cell r="N606">
            <v>1</v>
          </cell>
          <cell r="O606">
            <v>1</v>
          </cell>
          <cell r="P606">
            <v>1</v>
          </cell>
          <cell r="Q606">
            <v>1</v>
          </cell>
          <cell r="R606">
            <v>3</v>
          </cell>
          <cell r="S606" t="str">
            <v>polygon</v>
          </cell>
          <cell r="T606">
            <v>1</v>
          </cell>
          <cell r="U606" t="str">
            <v>NULL</v>
          </cell>
          <cell r="V606" t="str">
            <v>NULL</v>
          </cell>
          <cell r="W606" t="str">
            <v/>
          </cell>
          <cell r="X606">
            <v>0</v>
          </cell>
          <cell r="Y606">
            <v>0</v>
          </cell>
          <cell r="Z606">
            <v>0</v>
          </cell>
          <cell r="AA606">
            <v>0</v>
          </cell>
          <cell r="AB606" t="str">
            <v>anytime</v>
          </cell>
          <cell r="AC606">
            <v>20</v>
          </cell>
          <cell r="AD606">
            <v>6</v>
          </cell>
          <cell r="AE606" t="str">
            <v>everyone</v>
          </cell>
        </row>
        <row r="607">
          <cell r="A607" t="str">
            <v>30032_1</v>
          </cell>
          <cell r="B607">
            <v>3</v>
          </cell>
          <cell r="C607">
            <v>30032</v>
          </cell>
          <cell r="D607" t="str">
            <v>赤き竜の制裁</v>
          </cell>
          <cell r="E607" t="str">
            <v>円卓2（マルチ専用）</v>
          </cell>
          <cell r="F607">
            <v>1</v>
          </cell>
          <cell r="G607" t="str">
            <v>ja</v>
          </cell>
          <cell r="H607" t="str">
            <v>【中級】赤き竜の制裁</v>
          </cell>
          <cell r="I607" t="str">
            <v>中級</v>
          </cell>
          <cell r="J607">
            <v>767</v>
          </cell>
          <cell r="K607">
            <v>15</v>
          </cell>
          <cell r="L607">
            <v>1200</v>
          </cell>
          <cell r="M607">
            <v>1</v>
          </cell>
          <cell r="N607">
            <v>1</v>
          </cell>
          <cell r="O607">
            <v>1</v>
          </cell>
          <cell r="P607">
            <v>1</v>
          </cell>
          <cell r="Q607">
            <v>1</v>
          </cell>
          <cell r="R607">
            <v>3</v>
          </cell>
          <cell r="S607" t="str">
            <v>none</v>
          </cell>
          <cell r="T607">
            <v>0</v>
          </cell>
          <cell r="U607" t="str">
            <v>NULL</v>
          </cell>
          <cell r="V607" t="str">
            <v>NULL</v>
          </cell>
          <cell r="W607" t="str">
            <v/>
          </cell>
          <cell r="X607">
            <v>0</v>
          </cell>
          <cell r="Y607">
            <v>0</v>
          </cell>
          <cell r="Z607">
            <v>0</v>
          </cell>
          <cell r="AA607">
            <v>0</v>
          </cell>
          <cell r="AB607" t="str">
            <v>anytime</v>
          </cell>
          <cell r="AC607">
            <v>14</v>
          </cell>
          <cell r="AD607">
            <v>6</v>
          </cell>
          <cell r="AE607" t="str">
            <v>everyone</v>
          </cell>
        </row>
        <row r="608">
          <cell r="A608" t="str">
            <v>30032_2</v>
          </cell>
          <cell r="B608">
            <v>3</v>
          </cell>
          <cell r="C608">
            <v>30032</v>
          </cell>
          <cell r="D608" t="str">
            <v>赤き竜の制裁</v>
          </cell>
          <cell r="E608" t="str">
            <v>円卓2（マルチ専用）</v>
          </cell>
          <cell r="F608">
            <v>2</v>
          </cell>
          <cell r="G608" t="str">
            <v>ja</v>
          </cell>
          <cell r="H608" t="str">
            <v>【上級】赤き竜の制裁</v>
          </cell>
          <cell r="I608" t="str">
            <v>上級</v>
          </cell>
          <cell r="J608">
            <v>767</v>
          </cell>
          <cell r="K608">
            <v>20</v>
          </cell>
          <cell r="L608">
            <v>2000</v>
          </cell>
          <cell r="M608">
            <v>1</v>
          </cell>
          <cell r="N608">
            <v>1</v>
          </cell>
          <cell r="O608">
            <v>1</v>
          </cell>
          <cell r="P608">
            <v>1</v>
          </cell>
          <cell r="Q608">
            <v>1</v>
          </cell>
          <cell r="R608">
            <v>3</v>
          </cell>
          <cell r="S608" t="str">
            <v>none</v>
          </cell>
          <cell r="T608">
            <v>0</v>
          </cell>
          <cell r="U608" t="str">
            <v>NULL</v>
          </cell>
          <cell r="V608" t="str">
            <v>NULL</v>
          </cell>
          <cell r="W608" t="str">
            <v/>
          </cell>
          <cell r="X608">
            <v>0</v>
          </cell>
          <cell r="Y608">
            <v>0</v>
          </cell>
          <cell r="Z608">
            <v>0</v>
          </cell>
          <cell r="AA608">
            <v>0</v>
          </cell>
          <cell r="AB608" t="str">
            <v>anytime</v>
          </cell>
          <cell r="AC608">
            <v>14</v>
          </cell>
          <cell r="AD608">
            <v>6</v>
          </cell>
          <cell r="AE608" t="str">
            <v>everyone</v>
          </cell>
        </row>
        <row r="609">
          <cell r="A609" t="str">
            <v>30032_3</v>
          </cell>
          <cell r="B609">
            <v>3</v>
          </cell>
          <cell r="C609">
            <v>30032</v>
          </cell>
          <cell r="D609" t="str">
            <v>赤き竜の制裁</v>
          </cell>
          <cell r="E609" t="str">
            <v>円卓2（マルチ専用）</v>
          </cell>
          <cell r="F609">
            <v>3</v>
          </cell>
          <cell r="G609" t="str">
            <v>ja</v>
          </cell>
          <cell r="H609" t="str">
            <v>【超級】赤き竜の制裁</v>
          </cell>
          <cell r="I609" t="str">
            <v>超級</v>
          </cell>
          <cell r="J609">
            <v>767</v>
          </cell>
          <cell r="K609">
            <v>30</v>
          </cell>
          <cell r="L609">
            <v>3300</v>
          </cell>
          <cell r="M609">
            <v>1</v>
          </cell>
          <cell r="N609">
            <v>1</v>
          </cell>
          <cell r="O609">
            <v>1</v>
          </cell>
          <cell r="P609">
            <v>1</v>
          </cell>
          <cell r="Q609">
            <v>1</v>
          </cell>
          <cell r="R609">
            <v>3</v>
          </cell>
          <cell r="S609" t="str">
            <v>polygon</v>
          </cell>
          <cell r="T609">
            <v>1</v>
          </cell>
          <cell r="U609" t="str">
            <v>NULL</v>
          </cell>
          <cell r="V609" t="str">
            <v>NULL</v>
          </cell>
          <cell r="W609" t="str">
            <v/>
          </cell>
          <cell r="X609">
            <v>0</v>
          </cell>
          <cell r="Y609">
            <v>0</v>
          </cell>
          <cell r="Z609">
            <v>0</v>
          </cell>
          <cell r="AA609">
            <v>0</v>
          </cell>
          <cell r="AB609" t="str">
            <v>anytime</v>
          </cell>
          <cell r="AC609">
            <v>14</v>
          </cell>
          <cell r="AD609">
            <v>6</v>
          </cell>
          <cell r="AE609" t="str">
            <v>everyone</v>
          </cell>
        </row>
        <row r="610">
          <cell r="A610" t="str">
            <v>30033_1</v>
          </cell>
          <cell r="B610">
            <v>3</v>
          </cell>
          <cell r="C610">
            <v>30033</v>
          </cell>
          <cell r="D610" t="str">
            <v>御館様の懐刀</v>
          </cell>
          <cell r="E610" t="str">
            <v>戦国１</v>
          </cell>
          <cell r="F610">
            <v>1</v>
          </cell>
          <cell r="G610" t="str">
            <v>ja</v>
          </cell>
          <cell r="H610" t="str">
            <v>【中級】御館様の懐刀</v>
          </cell>
          <cell r="I610" t="str">
            <v>中級</v>
          </cell>
          <cell r="J610">
            <v>722</v>
          </cell>
          <cell r="K610">
            <v>15</v>
          </cell>
          <cell r="L610">
            <v>1200</v>
          </cell>
          <cell r="M610">
            <v>1</v>
          </cell>
          <cell r="N610">
            <v>1</v>
          </cell>
          <cell r="O610">
            <v>1</v>
          </cell>
          <cell r="P610">
            <v>1</v>
          </cell>
          <cell r="Q610">
            <v>1</v>
          </cell>
          <cell r="R610">
            <v>3</v>
          </cell>
          <cell r="S610" t="str">
            <v>none</v>
          </cell>
          <cell r="T610">
            <v>0</v>
          </cell>
          <cell r="U610" t="str">
            <v>NULL</v>
          </cell>
          <cell r="V610" t="str">
            <v>NULL</v>
          </cell>
          <cell r="W610" t="str">
            <v/>
          </cell>
          <cell r="X610">
            <v>0</v>
          </cell>
          <cell r="Y610">
            <v>0</v>
          </cell>
          <cell r="Z610">
            <v>0</v>
          </cell>
          <cell r="AA610">
            <v>0</v>
          </cell>
          <cell r="AB610" t="str">
            <v>anytime</v>
          </cell>
          <cell r="AC610">
            <v>2</v>
          </cell>
          <cell r="AD610">
            <v>6</v>
          </cell>
          <cell r="AE610" t="str">
            <v>everyone</v>
          </cell>
        </row>
        <row r="611">
          <cell r="A611" t="str">
            <v>30033_2</v>
          </cell>
          <cell r="B611">
            <v>3</v>
          </cell>
          <cell r="C611">
            <v>30033</v>
          </cell>
          <cell r="D611" t="str">
            <v>御館様の懐刀</v>
          </cell>
          <cell r="E611" t="str">
            <v>戦国１</v>
          </cell>
          <cell r="F611">
            <v>2</v>
          </cell>
          <cell r="G611" t="str">
            <v>ja</v>
          </cell>
          <cell r="H611" t="str">
            <v>【上級】御館様の懐刀</v>
          </cell>
          <cell r="I611" t="str">
            <v>上級</v>
          </cell>
          <cell r="J611">
            <v>722</v>
          </cell>
          <cell r="K611">
            <v>20</v>
          </cell>
          <cell r="L611">
            <v>2000</v>
          </cell>
          <cell r="M611">
            <v>1</v>
          </cell>
          <cell r="N611">
            <v>1</v>
          </cell>
          <cell r="O611">
            <v>1</v>
          </cell>
          <cell r="P611">
            <v>1</v>
          </cell>
          <cell r="Q611">
            <v>1</v>
          </cell>
          <cell r="R611">
            <v>3</v>
          </cell>
          <cell r="S611" t="str">
            <v>none</v>
          </cell>
          <cell r="T611">
            <v>0</v>
          </cell>
          <cell r="U611" t="str">
            <v>NULL</v>
          </cell>
          <cell r="V611" t="str">
            <v>NULL</v>
          </cell>
          <cell r="W611" t="str">
            <v/>
          </cell>
          <cell r="X611">
            <v>0</v>
          </cell>
          <cell r="Y611">
            <v>0</v>
          </cell>
          <cell r="Z611">
            <v>0</v>
          </cell>
          <cell r="AA611">
            <v>0</v>
          </cell>
          <cell r="AB611" t="str">
            <v>anytime</v>
          </cell>
          <cell r="AC611">
            <v>2</v>
          </cell>
          <cell r="AD611">
            <v>6</v>
          </cell>
          <cell r="AE611" t="str">
            <v>everyone</v>
          </cell>
        </row>
        <row r="612">
          <cell r="A612" t="str">
            <v>30033_3</v>
          </cell>
          <cell r="B612">
            <v>3</v>
          </cell>
          <cell r="C612">
            <v>30033</v>
          </cell>
          <cell r="D612" t="str">
            <v>御館様の懐刀</v>
          </cell>
          <cell r="E612" t="str">
            <v>戦国１</v>
          </cell>
          <cell r="F612">
            <v>3</v>
          </cell>
          <cell r="G612" t="str">
            <v>ja</v>
          </cell>
          <cell r="H612" t="str">
            <v>【超級】御館様の懐刀</v>
          </cell>
          <cell r="I612" t="str">
            <v>超級</v>
          </cell>
          <cell r="J612">
            <v>723</v>
          </cell>
          <cell r="K612">
            <v>30</v>
          </cell>
          <cell r="L612">
            <v>3300</v>
          </cell>
          <cell r="M612">
            <v>1</v>
          </cell>
          <cell r="N612">
            <v>1</v>
          </cell>
          <cell r="O612">
            <v>1</v>
          </cell>
          <cell r="P612">
            <v>1</v>
          </cell>
          <cell r="Q612">
            <v>1</v>
          </cell>
          <cell r="R612">
            <v>3</v>
          </cell>
          <cell r="S612" t="str">
            <v>polygon</v>
          </cell>
          <cell r="T612">
            <v>1</v>
          </cell>
          <cell r="U612" t="str">
            <v>NULL</v>
          </cell>
          <cell r="V612" t="str">
            <v>NULL</v>
          </cell>
          <cell r="W612" t="str">
            <v/>
          </cell>
          <cell r="X612">
            <v>0</v>
          </cell>
          <cell r="Y612">
            <v>0</v>
          </cell>
          <cell r="Z612">
            <v>0</v>
          </cell>
          <cell r="AA612">
            <v>0</v>
          </cell>
          <cell r="AB612" t="str">
            <v>anytime</v>
          </cell>
          <cell r="AC612">
            <v>2</v>
          </cell>
          <cell r="AD612">
            <v>6</v>
          </cell>
          <cell r="AE612" t="str">
            <v>everyone</v>
          </cell>
        </row>
        <row r="613">
          <cell r="A613" t="str">
            <v>30034_1</v>
          </cell>
          <cell r="B613">
            <v>3</v>
          </cell>
          <cell r="C613">
            <v>30034</v>
          </cell>
          <cell r="D613" t="str">
            <v>孤高の焔翼</v>
          </cell>
          <cell r="E613" t="str">
            <v>天使と悪魔</v>
          </cell>
          <cell r="F613">
            <v>1</v>
          </cell>
          <cell r="G613" t="str">
            <v>ja</v>
          </cell>
          <cell r="H613" t="str">
            <v>【中級】孤高の焔翼</v>
          </cell>
          <cell r="I613" t="str">
            <v>中級</v>
          </cell>
          <cell r="J613">
            <v>840</v>
          </cell>
          <cell r="K613">
            <v>15</v>
          </cell>
          <cell r="L613">
            <v>1200</v>
          </cell>
          <cell r="M613">
            <v>1</v>
          </cell>
          <cell r="N613">
            <v>1</v>
          </cell>
          <cell r="O613">
            <v>1</v>
          </cell>
          <cell r="P613">
            <v>1</v>
          </cell>
          <cell r="Q613">
            <v>1</v>
          </cell>
          <cell r="R613">
            <v>3</v>
          </cell>
          <cell r="S613" t="str">
            <v>none</v>
          </cell>
          <cell r="T613">
            <v>0</v>
          </cell>
          <cell r="U613" t="str">
            <v>NULL</v>
          </cell>
          <cell r="V613" t="str">
            <v>NULL</v>
          </cell>
          <cell r="W613" t="str">
            <v/>
          </cell>
          <cell r="X613">
            <v>0</v>
          </cell>
          <cell r="Y613">
            <v>0</v>
          </cell>
          <cell r="Z613">
            <v>0</v>
          </cell>
          <cell r="AA613">
            <v>0</v>
          </cell>
          <cell r="AB613" t="str">
            <v>anytime</v>
          </cell>
          <cell r="AC613">
            <v>10</v>
          </cell>
          <cell r="AD613">
            <v>6</v>
          </cell>
          <cell r="AE613" t="str">
            <v>everyone</v>
          </cell>
        </row>
        <row r="614">
          <cell r="A614" t="str">
            <v>30034_2</v>
          </cell>
          <cell r="B614">
            <v>3</v>
          </cell>
          <cell r="C614">
            <v>30034</v>
          </cell>
          <cell r="D614" t="str">
            <v>孤高の焔翼</v>
          </cell>
          <cell r="E614" t="str">
            <v>天使と悪魔</v>
          </cell>
          <cell r="F614">
            <v>2</v>
          </cell>
          <cell r="G614" t="str">
            <v>ja</v>
          </cell>
          <cell r="H614" t="str">
            <v>【上級】孤高の焔翼</v>
          </cell>
          <cell r="I614" t="str">
            <v>上級</v>
          </cell>
          <cell r="J614">
            <v>840</v>
          </cell>
          <cell r="K614">
            <v>20</v>
          </cell>
          <cell r="L614">
            <v>2000</v>
          </cell>
          <cell r="M614">
            <v>1</v>
          </cell>
          <cell r="N614">
            <v>1</v>
          </cell>
          <cell r="O614">
            <v>1</v>
          </cell>
          <cell r="P614">
            <v>1</v>
          </cell>
          <cell r="Q614">
            <v>1</v>
          </cell>
          <cell r="R614">
            <v>3</v>
          </cell>
          <cell r="S614" t="str">
            <v>none</v>
          </cell>
          <cell r="T614">
            <v>0</v>
          </cell>
          <cell r="U614" t="str">
            <v>NULL</v>
          </cell>
          <cell r="V614" t="str">
            <v>NULL</v>
          </cell>
          <cell r="W614" t="str">
            <v/>
          </cell>
          <cell r="X614">
            <v>0</v>
          </cell>
          <cell r="Y614">
            <v>0</v>
          </cell>
          <cell r="Z614">
            <v>0</v>
          </cell>
          <cell r="AA614">
            <v>0</v>
          </cell>
          <cell r="AB614" t="str">
            <v>anytime</v>
          </cell>
          <cell r="AC614">
            <v>10</v>
          </cell>
          <cell r="AD614">
            <v>6</v>
          </cell>
          <cell r="AE614" t="str">
            <v>everyone</v>
          </cell>
        </row>
        <row r="615">
          <cell r="A615" t="str">
            <v>30034_3</v>
          </cell>
          <cell r="B615">
            <v>3</v>
          </cell>
          <cell r="C615">
            <v>30034</v>
          </cell>
          <cell r="D615" t="str">
            <v>孤高の焔翼</v>
          </cell>
          <cell r="E615" t="str">
            <v>天使と悪魔</v>
          </cell>
          <cell r="F615">
            <v>3</v>
          </cell>
          <cell r="G615" t="str">
            <v>ja</v>
          </cell>
          <cell r="H615" t="str">
            <v>【超級】孤高の焔翼</v>
          </cell>
          <cell r="I615" t="str">
            <v>超級</v>
          </cell>
          <cell r="J615">
            <v>841</v>
          </cell>
          <cell r="K615">
            <v>30</v>
          </cell>
          <cell r="L615">
            <v>3300</v>
          </cell>
          <cell r="M615">
            <v>1</v>
          </cell>
          <cell r="N615">
            <v>1</v>
          </cell>
          <cell r="O615">
            <v>1</v>
          </cell>
          <cell r="P615">
            <v>1</v>
          </cell>
          <cell r="Q615">
            <v>1</v>
          </cell>
          <cell r="R615">
            <v>3</v>
          </cell>
          <cell r="S615" t="str">
            <v>polygon</v>
          </cell>
          <cell r="T615">
            <v>1</v>
          </cell>
          <cell r="U615" t="str">
            <v>NULL</v>
          </cell>
          <cell r="V615" t="str">
            <v>NULL</v>
          </cell>
          <cell r="W615" t="str">
            <v/>
          </cell>
          <cell r="X615">
            <v>0</v>
          </cell>
          <cell r="Y615">
            <v>0</v>
          </cell>
          <cell r="Z615">
            <v>0</v>
          </cell>
          <cell r="AA615">
            <v>0</v>
          </cell>
          <cell r="AB615" t="str">
            <v>anytime</v>
          </cell>
          <cell r="AC615">
            <v>10</v>
          </cell>
          <cell r="AD615">
            <v>6</v>
          </cell>
          <cell r="AE615" t="str">
            <v>everyone</v>
          </cell>
        </row>
        <row r="616">
          <cell r="A616" t="str">
            <v>30035_1</v>
          </cell>
          <cell r="B616">
            <v>3</v>
          </cell>
          <cell r="C616">
            <v>30035</v>
          </cell>
          <cell r="D616" t="str">
            <v>大鯨の呼び声</v>
          </cell>
          <cell r="E616" t="str">
            <v>童話シリーズ3本目</v>
          </cell>
          <cell r="F616">
            <v>1</v>
          </cell>
          <cell r="G616" t="str">
            <v>ja</v>
          </cell>
          <cell r="H616" t="str">
            <v>【中級】大鯨の呼び声</v>
          </cell>
          <cell r="I616" t="str">
            <v>中級</v>
          </cell>
          <cell r="J616">
            <v>858</v>
          </cell>
          <cell r="K616">
            <v>15</v>
          </cell>
          <cell r="L616">
            <v>1200</v>
          </cell>
          <cell r="M616">
            <v>1</v>
          </cell>
          <cell r="N616">
            <v>1</v>
          </cell>
          <cell r="O616">
            <v>1</v>
          </cell>
          <cell r="P616">
            <v>1</v>
          </cell>
          <cell r="Q616">
            <v>1</v>
          </cell>
          <cell r="R616">
            <v>3</v>
          </cell>
          <cell r="S616" t="str">
            <v>none</v>
          </cell>
          <cell r="T616">
            <v>0</v>
          </cell>
          <cell r="U616" t="str">
            <v>NULL</v>
          </cell>
          <cell r="V616" t="str">
            <v>NULL</v>
          </cell>
          <cell r="W616" t="str">
            <v/>
          </cell>
          <cell r="X616">
            <v>0</v>
          </cell>
          <cell r="Y616">
            <v>0</v>
          </cell>
          <cell r="Z616">
            <v>0</v>
          </cell>
          <cell r="AA616">
            <v>0</v>
          </cell>
          <cell r="AB616" t="str">
            <v>anytime</v>
          </cell>
          <cell r="AC616">
            <v>5</v>
          </cell>
          <cell r="AD616">
            <v>6</v>
          </cell>
          <cell r="AE616" t="str">
            <v>everyone</v>
          </cell>
        </row>
        <row r="617">
          <cell r="A617" t="str">
            <v>30035_2</v>
          </cell>
          <cell r="B617">
            <v>3</v>
          </cell>
          <cell r="C617">
            <v>30035</v>
          </cell>
          <cell r="D617" t="str">
            <v>大鯨の呼び声</v>
          </cell>
          <cell r="E617" t="str">
            <v>童話シリーズ3本目</v>
          </cell>
          <cell r="F617">
            <v>2</v>
          </cell>
          <cell r="G617" t="str">
            <v>ja</v>
          </cell>
          <cell r="H617" t="str">
            <v>【上級】大鯨の呼び声</v>
          </cell>
          <cell r="I617" t="str">
            <v>上級</v>
          </cell>
          <cell r="J617">
            <v>858</v>
          </cell>
          <cell r="K617">
            <v>20</v>
          </cell>
          <cell r="L617">
            <v>2000</v>
          </cell>
          <cell r="M617">
            <v>1</v>
          </cell>
          <cell r="N617">
            <v>1</v>
          </cell>
          <cell r="O617">
            <v>1</v>
          </cell>
          <cell r="P617">
            <v>1</v>
          </cell>
          <cell r="Q617">
            <v>1</v>
          </cell>
          <cell r="R617">
            <v>3</v>
          </cell>
          <cell r="S617" t="str">
            <v>none</v>
          </cell>
          <cell r="T617">
            <v>0</v>
          </cell>
          <cell r="U617" t="str">
            <v>NULL</v>
          </cell>
          <cell r="V617" t="str">
            <v>NULL</v>
          </cell>
          <cell r="W617" t="str">
            <v/>
          </cell>
          <cell r="X617">
            <v>0</v>
          </cell>
          <cell r="Y617">
            <v>0</v>
          </cell>
          <cell r="Z617">
            <v>0</v>
          </cell>
          <cell r="AA617">
            <v>0</v>
          </cell>
          <cell r="AB617" t="str">
            <v>anytime</v>
          </cell>
          <cell r="AC617">
            <v>5</v>
          </cell>
          <cell r="AD617">
            <v>6</v>
          </cell>
          <cell r="AE617" t="str">
            <v>everyone</v>
          </cell>
        </row>
        <row r="618">
          <cell r="A618" t="str">
            <v>30035_3</v>
          </cell>
          <cell r="B618">
            <v>3</v>
          </cell>
          <cell r="C618">
            <v>30035</v>
          </cell>
          <cell r="D618" t="str">
            <v>大鯨の呼び声</v>
          </cell>
          <cell r="E618" t="str">
            <v>童話シリーズ3本目</v>
          </cell>
          <cell r="F618">
            <v>3</v>
          </cell>
          <cell r="G618" t="str">
            <v>ja</v>
          </cell>
          <cell r="H618" t="str">
            <v>【超級】大鯨の呼び声</v>
          </cell>
          <cell r="I618" t="str">
            <v>超級</v>
          </cell>
          <cell r="J618">
            <v>859</v>
          </cell>
          <cell r="K618">
            <v>30</v>
          </cell>
          <cell r="L618">
            <v>3300</v>
          </cell>
          <cell r="M618">
            <v>1</v>
          </cell>
          <cell r="N618">
            <v>1</v>
          </cell>
          <cell r="O618">
            <v>1</v>
          </cell>
          <cell r="P618">
            <v>1</v>
          </cell>
          <cell r="Q618">
            <v>1</v>
          </cell>
          <cell r="R618">
            <v>3</v>
          </cell>
          <cell r="S618" t="str">
            <v>polygon</v>
          </cell>
          <cell r="T618">
            <v>1</v>
          </cell>
          <cell r="U618" t="str">
            <v>NULL</v>
          </cell>
          <cell r="V618" t="str">
            <v>NULL</v>
          </cell>
          <cell r="W618" t="str">
            <v/>
          </cell>
          <cell r="X618">
            <v>0</v>
          </cell>
          <cell r="Y618">
            <v>0</v>
          </cell>
          <cell r="Z618">
            <v>0</v>
          </cell>
          <cell r="AA618">
            <v>0</v>
          </cell>
          <cell r="AB618" t="str">
            <v>anytime</v>
          </cell>
          <cell r="AC618">
            <v>5</v>
          </cell>
          <cell r="AD618">
            <v>6</v>
          </cell>
          <cell r="AE618" t="str">
            <v>everyone</v>
          </cell>
        </row>
        <row r="619">
          <cell r="A619" t="str">
            <v>30036_1</v>
          </cell>
          <cell r="B619">
            <v>3</v>
          </cell>
          <cell r="C619">
            <v>30036</v>
          </cell>
          <cell r="D619" t="str">
            <v>猛然たる炎獣使い</v>
          </cell>
          <cell r="E619" t="str">
            <v>ギリシャ神話シリーズ超級</v>
          </cell>
          <cell r="F619">
            <v>1</v>
          </cell>
          <cell r="G619" t="str">
            <v>ja</v>
          </cell>
          <cell r="H619" t="str">
            <v>【中級】猛然たる炎獣使い</v>
          </cell>
          <cell r="I619" t="str">
            <v>中級</v>
          </cell>
          <cell r="J619">
            <v>736</v>
          </cell>
          <cell r="K619">
            <v>15</v>
          </cell>
          <cell r="L619">
            <v>1200</v>
          </cell>
          <cell r="M619">
            <v>1</v>
          </cell>
          <cell r="N619">
            <v>1</v>
          </cell>
          <cell r="O619">
            <v>1</v>
          </cell>
          <cell r="P619">
            <v>1</v>
          </cell>
          <cell r="Q619">
            <v>1</v>
          </cell>
          <cell r="R619">
            <v>3</v>
          </cell>
          <cell r="S619" t="str">
            <v>none</v>
          </cell>
          <cell r="T619">
            <v>0</v>
          </cell>
          <cell r="U619" t="str">
            <v>NULL</v>
          </cell>
          <cell r="V619" t="str">
            <v>NULL</v>
          </cell>
          <cell r="W619" t="str">
            <v/>
          </cell>
          <cell r="X619">
            <v>0</v>
          </cell>
          <cell r="Y619">
            <v>0</v>
          </cell>
          <cell r="Z619">
            <v>0</v>
          </cell>
          <cell r="AA619">
            <v>0</v>
          </cell>
          <cell r="AB619" t="str">
            <v>anytime</v>
          </cell>
          <cell r="AC619">
            <v>14</v>
          </cell>
          <cell r="AD619">
            <v>6</v>
          </cell>
          <cell r="AE619" t="str">
            <v>everyone</v>
          </cell>
        </row>
        <row r="620">
          <cell r="A620" t="str">
            <v>30036_2</v>
          </cell>
          <cell r="B620">
            <v>3</v>
          </cell>
          <cell r="C620">
            <v>30036</v>
          </cell>
          <cell r="D620" t="str">
            <v>猛然たる炎獣使い</v>
          </cell>
          <cell r="E620" t="str">
            <v>ギリシャ神話シリーズ超級</v>
          </cell>
          <cell r="F620">
            <v>2</v>
          </cell>
          <cell r="G620" t="str">
            <v>ja</v>
          </cell>
          <cell r="H620" t="str">
            <v>【上級】猛然たる炎獣使い</v>
          </cell>
          <cell r="I620" t="str">
            <v>上級</v>
          </cell>
          <cell r="J620">
            <v>737</v>
          </cell>
          <cell r="K620">
            <v>20</v>
          </cell>
          <cell r="L620">
            <v>2000</v>
          </cell>
          <cell r="M620">
            <v>1</v>
          </cell>
          <cell r="N620">
            <v>1</v>
          </cell>
          <cell r="O620">
            <v>1</v>
          </cell>
          <cell r="P620">
            <v>1</v>
          </cell>
          <cell r="Q620">
            <v>1</v>
          </cell>
          <cell r="R620">
            <v>3</v>
          </cell>
          <cell r="S620" t="str">
            <v>none</v>
          </cell>
          <cell r="T620">
            <v>0</v>
          </cell>
          <cell r="U620" t="str">
            <v>NULL</v>
          </cell>
          <cell r="V620" t="str">
            <v>NULL</v>
          </cell>
          <cell r="W620" t="str">
            <v/>
          </cell>
          <cell r="X620">
            <v>0</v>
          </cell>
          <cell r="Y620">
            <v>0</v>
          </cell>
          <cell r="Z620">
            <v>0</v>
          </cell>
          <cell r="AA620">
            <v>0</v>
          </cell>
          <cell r="AB620" t="str">
            <v>anytime</v>
          </cell>
          <cell r="AC620">
            <v>14</v>
          </cell>
          <cell r="AD620">
            <v>6</v>
          </cell>
          <cell r="AE620" t="str">
            <v>everyone</v>
          </cell>
        </row>
        <row r="621">
          <cell r="A621" t="str">
            <v>30036_3</v>
          </cell>
          <cell r="B621">
            <v>3</v>
          </cell>
          <cell r="C621">
            <v>30036</v>
          </cell>
          <cell r="D621" t="str">
            <v>猛然たる炎獣使い</v>
          </cell>
          <cell r="E621" t="str">
            <v>ギリシャ神話シリーズ超級</v>
          </cell>
          <cell r="F621">
            <v>3</v>
          </cell>
          <cell r="G621" t="str">
            <v>ja</v>
          </cell>
          <cell r="H621" t="str">
            <v>【超級】猛然たる炎獣使い</v>
          </cell>
          <cell r="I621" t="str">
            <v>超級</v>
          </cell>
          <cell r="J621">
            <v>737</v>
          </cell>
          <cell r="K621">
            <v>30</v>
          </cell>
          <cell r="L621">
            <v>3300</v>
          </cell>
          <cell r="M621">
            <v>1</v>
          </cell>
          <cell r="N621">
            <v>1</v>
          </cell>
          <cell r="O621">
            <v>1</v>
          </cell>
          <cell r="P621">
            <v>1</v>
          </cell>
          <cell r="Q621">
            <v>1</v>
          </cell>
          <cell r="R621">
            <v>3</v>
          </cell>
          <cell r="S621" t="str">
            <v>polygon</v>
          </cell>
          <cell r="T621">
            <v>1</v>
          </cell>
          <cell r="U621" t="str">
            <v>NULL</v>
          </cell>
          <cell r="V621" t="str">
            <v>NULL</v>
          </cell>
          <cell r="W621" t="str">
            <v/>
          </cell>
          <cell r="X621">
            <v>0</v>
          </cell>
          <cell r="Y621">
            <v>0</v>
          </cell>
          <cell r="Z621">
            <v>0</v>
          </cell>
          <cell r="AA621">
            <v>0</v>
          </cell>
          <cell r="AB621" t="str">
            <v>anytime</v>
          </cell>
          <cell r="AC621">
            <v>14</v>
          </cell>
          <cell r="AD621">
            <v>6</v>
          </cell>
          <cell r="AE621" t="str">
            <v>everyone</v>
          </cell>
        </row>
        <row r="622">
          <cell r="A622" t="str">
            <v>30037_1</v>
          </cell>
          <cell r="B622">
            <v>3</v>
          </cell>
          <cell r="C622">
            <v>30037</v>
          </cell>
          <cell r="D622" t="str">
            <v>灯り火の麗人</v>
          </cell>
          <cell r="E622" t="str">
            <v>フランス革命シリーズ超級</v>
          </cell>
          <cell r="F622">
            <v>1</v>
          </cell>
          <cell r="G622" t="str">
            <v>ja</v>
          </cell>
          <cell r="H622" t="str">
            <v>【中級】灯り火の麗人</v>
          </cell>
          <cell r="I622" t="str">
            <v>中級</v>
          </cell>
          <cell r="J622">
            <v>934</v>
          </cell>
          <cell r="K622">
            <v>15</v>
          </cell>
          <cell r="L622">
            <v>1200</v>
          </cell>
          <cell r="M622">
            <v>1</v>
          </cell>
          <cell r="N622">
            <v>1</v>
          </cell>
          <cell r="O622">
            <v>1</v>
          </cell>
          <cell r="P622">
            <v>1</v>
          </cell>
          <cell r="Q622">
            <v>1</v>
          </cell>
          <cell r="R622">
            <v>3</v>
          </cell>
          <cell r="S622" t="str">
            <v>none</v>
          </cell>
          <cell r="T622">
            <v>0</v>
          </cell>
          <cell r="U622" t="str">
            <v>NULL</v>
          </cell>
          <cell r="V622" t="str">
            <v>NULL</v>
          </cell>
          <cell r="W622" t="str">
            <v/>
          </cell>
          <cell r="X622">
            <v>0</v>
          </cell>
          <cell r="Y622">
            <v>0</v>
          </cell>
          <cell r="Z622">
            <v>0</v>
          </cell>
          <cell r="AA622">
            <v>0</v>
          </cell>
          <cell r="AB622" t="str">
            <v>anytime</v>
          </cell>
          <cell r="AC622">
            <v>6</v>
          </cell>
          <cell r="AD622">
            <v>6</v>
          </cell>
          <cell r="AE622" t="str">
            <v>everyone</v>
          </cell>
        </row>
        <row r="623">
          <cell r="A623" t="str">
            <v>30037_2</v>
          </cell>
          <cell r="B623">
            <v>3</v>
          </cell>
          <cell r="C623">
            <v>30037</v>
          </cell>
          <cell r="D623" t="str">
            <v>灯り火の麗人</v>
          </cell>
          <cell r="E623" t="str">
            <v>フランス革命シリーズ超級</v>
          </cell>
          <cell r="F623">
            <v>2</v>
          </cell>
          <cell r="G623" t="str">
            <v>ja</v>
          </cell>
          <cell r="H623" t="str">
            <v>【上級】灯り火の麗人</v>
          </cell>
          <cell r="I623" t="str">
            <v>上級</v>
          </cell>
          <cell r="J623">
            <v>934</v>
          </cell>
          <cell r="K623">
            <v>20</v>
          </cell>
          <cell r="L623">
            <v>2000</v>
          </cell>
          <cell r="M623">
            <v>1</v>
          </cell>
          <cell r="N623">
            <v>1</v>
          </cell>
          <cell r="O623">
            <v>1</v>
          </cell>
          <cell r="P623">
            <v>1</v>
          </cell>
          <cell r="Q623">
            <v>1</v>
          </cell>
          <cell r="R623">
            <v>3</v>
          </cell>
          <cell r="S623" t="str">
            <v>none</v>
          </cell>
          <cell r="T623">
            <v>0</v>
          </cell>
          <cell r="U623" t="str">
            <v>NULL</v>
          </cell>
          <cell r="V623" t="str">
            <v>NULL</v>
          </cell>
          <cell r="W623" t="str">
            <v/>
          </cell>
          <cell r="X623">
            <v>0</v>
          </cell>
          <cell r="Y623">
            <v>0</v>
          </cell>
          <cell r="Z623">
            <v>0</v>
          </cell>
          <cell r="AA623">
            <v>0</v>
          </cell>
          <cell r="AB623" t="str">
            <v>anytime</v>
          </cell>
          <cell r="AC623">
            <v>6</v>
          </cell>
          <cell r="AD623">
            <v>6</v>
          </cell>
          <cell r="AE623" t="str">
            <v>everyone</v>
          </cell>
        </row>
        <row r="624">
          <cell r="A624" t="str">
            <v>30037_3</v>
          </cell>
          <cell r="B624">
            <v>3</v>
          </cell>
          <cell r="C624">
            <v>30037</v>
          </cell>
          <cell r="D624" t="str">
            <v>灯り火の麗人</v>
          </cell>
          <cell r="E624" t="str">
            <v>フランス革命シリーズ超級</v>
          </cell>
          <cell r="F624">
            <v>3</v>
          </cell>
          <cell r="G624" t="str">
            <v>ja</v>
          </cell>
          <cell r="H624" t="str">
            <v>【超級】灯り火の麗人</v>
          </cell>
          <cell r="I624" t="str">
            <v>超級</v>
          </cell>
          <cell r="J624">
            <v>934</v>
          </cell>
          <cell r="K624">
            <v>30</v>
          </cell>
          <cell r="L624">
            <v>3300</v>
          </cell>
          <cell r="M624">
            <v>1</v>
          </cell>
          <cell r="N624">
            <v>1</v>
          </cell>
          <cell r="O624">
            <v>1</v>
          </cell>
          <cell r="P624">
            <v>1</v>
          </cell>
          <cell r="Q624">
            <v>1</v>
          </cell>
          <cell r="R624">
            <v>3</v>
          </cell>
          <cell r="S624" t="str">
            <v>polygon</v>
          </cell>
          <cell r="T624">
            <v>1</v>
          </cell>
          <cell r="U624" t="str">
            <v>NULL</v>
          </cell>
          <cell r="V624" t="str">
            <v>NULL</v>
          </cell>
          <cell r="W624" t="str">
            <v/>
          </cell>
          <cell r="X624">
            <v>0</v>
          </cell>
          <cell r="Y624">
            <v>0</v>
          </cell>
          <cell r="Z624">
            <v>0</v>
          </cell>
          <cell r="AA624">
            <v>0</v>
          </cell>
          <cell r="AB624" t="str">
            <v>anytime</v>
          </cell>
          <cell r="AC624">
            <v>6</v>
          </cell>
          <cell r="AD624">
            <v>6</v>
          </cell>
          <cell r="AE624" t="str">
            <v>everyone</v>
          </cell>
        </row>
        <row r="625">
          <cell r="A625" t="str">
            <v>30038_1</v>
          </cell>
          <cell r="B625">
            <v>3</v>
          </cell>
          <cell r="C625">
            <v>30038</v>
          </cell>
          <cell r="D625" t="str">
            <v>毒絶神の願い</v>
          </cell>
          <cell r="E625" t="str">
            <v>エジプト神話シリーズ超級</v>
          </cell>
          <cell r="F625">
            <v>1</v>
          </cell>
          <cell r="G625" t="str">
            <v>ja</v>
          </cell>
          <cell r="H625" t="str">
            <v>【中級】毒絶神の願い</v>
          </cell>
          <cell r="I625" t="str">
            <v>中級</v>
          </cell>
          <cell r="J625">
            <v>1007</v>
          </cell>
          <cell r="K625">
            <v>15</v>
          </cell>
          <cell r="L625">
            <v>1200</v>
          </cell>
          <cell r="M625">
            <v>1</v>
          </cell>
          <cell r="N625">
            <v>1</v>
          </cell>
          <cell r="O625">
            <v>1</v>
          </cell>
          <cell r="P625">
            <v>1</v>
          </cell>
          <cell r="Q625">
            <v>1</v>
          </cell>
          <cell r="R625">
            <v>3</v>
          </cell>
          <cell r="S625" t="str">
            <v>none</v>
          </cell>
          <cell r="T625">
            <v>0</v>
          </cell>
          <cell r="U625" t="str">
            <v>NULL</v>
          </cell>
          <cell r="V625" t="str">
            <v>NULL</v>
          </cell>
          <cell r="W625" t="str">
            <v/>
          </cell>
          <cell r="X625">
            <v>0</v>
          </cell>
          <cell r="Y625">
            <v>0</v>
          </cell>
          <cell r="Z625">
            <v>0</v>
          </cell>
          <cell r="AA625">
            <v>0</v>
          </cell>
          <cell r="AB625" t="str">
            <v>anytime</v>
          </cell>
          <cell r="AC625">
            <v>8</v>
          </cell>
          <cell r="AD625">
            <v>6</v>
          </cell>
          <cell r="AE625" t="str">
            <v>everyone</v>
          </cell>
        </row>
        <row r="626">
          <cell r="A626" t="str">
            <v>30038_2</v>
          </cell>
          <cell r="B626">
            <v>3</v>
          </cell>
          <cell r="C626">
            <v>30038</v>
          </cell>
          <cell r="D626" t="str">
            <v>毒絶神の願い</v>
          </cell>
          <cell r="E626" t="str">
            <v>エジプト神話シリーズ超級</v>
          </cell>
          <cell r="F626">
            <v>2</v>
          </cell>
          <cell r="G626" t="str">
            <v>ja</v>
          </cell>
          <cell r="H626" t="str">
            <v>【上級】毒絶神の願い</v>
          </cell>
          <cell r="I626" t="str">
            <v>上級</v>
          </cell>
          <cell r="J626">
            <v>1007</v>
          </cell>
          <cell r="K626">
            <v>20</v>
          </cell>
          <cell r="L626">
            <v>2000</v>
          </cell>
          <cell r="M626">
            <v>1</v>
          </cell>
          <cell r="N626">
            <v>1</v>
          </cell>
          <cell r="O626">
            <v>1</v>
          </cell>
          <cell r="P626">
            <v>1</v>
          </cell>
          <cell r="Q626">
            <v>1</v>
          </cell>
          <cell r="R626">
            <v>3</v>
          </cell>
          <cell r="S626" t="str">
            <v>none</v>
          </cell>
          <cell r="T626">
            <v>0</v>
          </cell>
          <cell r="U626" t="str">
            <v>NULL</v>
          </cell>
          <cell r="V626" t="str">
            <v>NULL</v>
          </cell>
          <cell r="W626" t="str">
            <v/>
          </cell>
          <cell r="X626">
            <v>0</v>
          </cell>
          <cell r="Y626">
            <v>0</v>
          </cell>
          <cell r="Z626">
            <v>0</v>
          </cell>
          <cell r="AA626">
            <v>0</v>
          </cell>
          <cell r="AB626" t="str">
            <v>anytime</v>
          </cell>
          <cell r="AC626">
            <v>8</v>
          </cell>
          <cell r="AD626">
            <v>6</v>
          </cell>
          <cell r="AE626" t="str">
            <v>everyone</v>
          </cell>
        </row>
        <row r="627">
          <cell r="A627" t="str">
            <v>30038_3</v>
          </cell>
          <cell r="B627">
            <v>3</v>
          </cell>
          <cell r="C627">
            <v>30038</v>
          </cell>
          <cell r="D627" t="str">
            <v>毒絶神の願い</v>
          </cell>
          <cell r="E627" t="str">
            <v>エジプト神話シリーズ超級</v>
          </cell>
          <cell r="F627">
            <v>3</v>
          </cell>
          <cell r="G627" t="str">
            <v>ja</v>
          </cell>
          <cell r="H627" t="str">
            <v>【超級】毒絶神の願い</v>
          </cell>
          <cell r="I627" t="str">
            <v>超級</v>
          </cell>
          <cell r="J627">
            <v>1007</v>
          </cell>
          <cell r="K627">
            <v>30</v>
          </cell>
          <cell r="L627">
            <v>3300</v>
          </cell>
          <cell r="M627">
            <v>1</v>
          </cell>
          <cell r="N627">
            <v>1</v>
          </cell>
          <cell r="O627">
            <v>1</v>
          </cell>
          <cell r="P627">
            <v>1</v>
          </cell>
          <cell r="Q627">
            <v>1</v>
          </cell>
          <cell r="R627">
            <v>3</v>
          </cell>
          <cell r="S627" t="str">
            <v>polygon</v>
          </cell>
          <cell r="T627">
            <v>1</v>
          </cell>
          <cell r="U627" t="str">
            <v>NULL</v>
          </cell>
          <cell r="V627" t="str">
            <v>NULL</v>
          </cell>
          <cell r="W627" t="str">
            <v/>
          </cell>
          <cell r="X627">
            <v>0</v>
          </cell>
          <cell r="Y627">
            <v>0</v>
          </cell>
          <cell r="Z627">
            <v>0</v>
          </cell>
          <cell r="AA627">
            <v>0</v>
          </cell>
          <cell r="AB627" t="str">
            <v>anytime</v>
          </cell>
          <cell r="AC627">
            <v>8</v>
          </cell>
          <cell r="AD627">
            <v>6</v>
          </cell>
          <cell r="AE627" t="str">
            <v>everyone</v>
          </cell>
        </row>
        <row r="628">
          <cell r="A628" t="str">
            <v>30039_1</v>
          </cell>
          <cell r="B628">
            <v>3</v>
          </cell>
          <cell r="C628">
            <v>30039</v>
          </cell>
          <cell r="D628" t="str">
            <v>ゼロワン・ゲーム</v>
          </cell>
          <cell r="E628" t="str">
            <v>平安シリーズ超級</v>
          </cell>
          <cell r="F628">
            <v>1</v>
          </cell>
          <cell r="G628" t="str">
            <v>ja</v>
          </cell>
          <cell r="H628" t="str">
            <v>【中級】ゼロワン・ゲーム</v>
          </cell>
          <cell r="I628" t="str">
            <v>中級</v>
          </cell>
          <cell r="J628">
            <v>1022</v>
          </cell>
          <cell r="K628">
            <v>15</v>
          </cell>
          <cell r="L628">
            <v>1200</v>
          </cell>
          <cell r="M628">
            <v>1</v>
          </cell>
          <cell r="N628">
            <v>1</v>
          </cell>
          <cell r="O628">
            <v>1</v>
          </cell>
          <cell r="P628">
            <v>1</v>
          </cell>
          <cell r="Q628">
            <v>1</v>
          </cell>
          <cell r="R628">
            <v>3</v>
          </cell>
          <cell r="S628" t="str">
            <v>none</v>
          </cell>
          <cell r="T628">
            <v>0</v>
          </cell>
          <cell r="U628" t="str">
            <v>NULL</v>
          </cell>
          <cell r="V628" t="str">
            <v>NULL</v>
          </cell>
          <cell r="W628" t="str">
            <v/>
          </cell>
          <cell r="X628">
            <v>0</v>
          </cell>
          <cell r="Y628">
            <v>0</v>
          </cell>
          <cell r="Z628">
            <v>0</v>
          </cell>
          <cell r="AA628">
            <v>0</v>
          </cell>
          <cell r="AB628" t="str">
            <v>anytime</v>
          </cell>
          <cell r="AC628">
            <v>18</v>
          </cell>
          <cell r="AD628">
            <v>6</v>
          </cell>
          <cell r="AE628" t="str">
            <v>everyone</v>
          </cell>
        </row>
        <row r="629">
          <cell r="A629" t="str">
            <v>30039_2</v>
          </cell>
          <cell r="B629">
            <v>3</v>
          </cell>
          <cell r="C629">
            <v>30039</v>
          </cell>
          <cell r="D629" t="str">
            <v>ゼロワン・ゲーム</v>
          </cell>
          <cell r="E629" t="str">
            <v>平安シリーズ超級</v>
          </cell>
          <cell r="F629">
            <v>2</v>
          </cell>
          <cell r="G629" t="str">
            <v>ja</v>
          </cell>
          <cell r="H629" t="str">
            <v>【上級】ゼロワン・ゲーム</v>
          </cell>
          <cell r="I629" t="str">
            <v>上級</v>
          </cell>
          <cell r="J629">
            <v>1022</v>
          </cell>
          <cell r="K629">
            <v>20</v>
          </cell>
          <cell r="L629">
            <v>2000</v>
          </cell>
          <cell r="M629">
            <v>1</v>
          </cell>
          <cell r="N629">
            <v>1</v>
          </cell>
          <cell r="O629">
            <v>1</v>
          </cell>
          <cell r="P629">
            <v>1</v>
          </cell>
          <cell r="Q629">
            <v>1</v>
          </cell>
          <cell r="R629">
            <v>3</v>
          </cell>
          <cell r="S629" t="str">
            <v>none</v>
          </cell>
          <cell r="T629">
            <v>0</v>
          </cell>
          <cell r="U629" t="str">
            <v>NULL</v>
          </cell>
          <cell r="V629" t="str">
            <v>NULL</v>
          </cell>
          <cell r="W629" t="str">
            <v/>
          </cell>
          <cell r="X629">
            <v>0</v>
          </cell>
          <cell r="Y629">
            <v>0</v>
          </cell>
          <cell r="Z629">
            <v>0</v>
          </cell>
          <cell r="AA629">
            <v>0</v>
          </cell>
          <cell r="AB629" t="str">
            <v>anytime</v>
          </cell>
          <cell r="AC629">
            <v>18</v>
          </cell>
          <cell r="AD629">
            <v>6</v>
          </cell>
          <cell r="AE629" t="str">
            <v>everyone</v>
          </cell>
        </row>
        <row r="630">
          <cell r="A630" t="str">
            <v>30039_3</v>
          </cell>
          <cell r="B630">
            <v>3</v>
          </cell>
          <cell r="C630">
            <v>30039</v>
          </cell>
          <cell r="D630" t="str">
            <v>ゼロワン・ゲーム</v>
          </cell>
          <cell r="E630" t="str">
            <v>平安シリーズ超級</v>
          </cell>
          <cell r="F630">
            <v>3</v>
          </cell>
          <cell r="G630" t="str">
            <v>ja</v>
          </cell>
          <cell r="H630" t="str">
            <v>【超級】ゼロワン・ゲーム</v>
          </cell>
          <cell r="I630" t="str">
            <v>超級</v>
          </cell>
          <cell r="J630">
            <v>1023</v>
          </cell>
          <cell r="K630">
            <v>30</v>
          </cell>
          <cell r="L630">
            <v>3300</v>
          </cell>
          <cell r="M630">
            <v>1</v>
          </cell>
          <cell r="N630">
            <v>1</v>
          </cell>
          <cell r="O630">
            <v>1</v>
          </cell>
          <cell r="P630">
            <v>1</v>
          </cell>
          <cell r="Q630">
            <v>1</v>
          </cell>
          <cell r="R630">
            <v>3</v>
          </cell>
          <cell r="S630" t="str">
            <v>polygon</v>
          </cell>
          <cell r="T630">
            <v>1</v>
          </cell>
          <cell r="U630" t="str">
            <v>NULL</v>
          </cell>
          <cell r="V630" t="str">
            <v>NULL</v>
          </cell>
          <cell r="W630" t="str">
            <v/>
          </cell>
          <cell r="X630">
            <v>0</v>
          </cell>
          <cell r="Y630">
            <v>0</v>
          </cell>
          <cell r="Z630">
            <v>0</v>
          </cell>
          <cell r="AA630">
            <v>0</v>
          </cell>
          <cell r="AB630" t="str">
            <v>anytime</v>
          </cell>
          <cell r="AC630">
            <v>18</v>
          </cell>
          <cell r="AD630">
            <v>6</v>
          </cell>
          <cell r="AE630" t="str">
            <v>everyone</v>
          </cell>
        </row>
        <row r="631">
          <cell r="A631" t="str">
            <v>30040_1</v>
          </cell>
          <cell r="B631">
            <v>3</v>
          </cell>
          <cell r="C631">
            <v>30040</v>
          </cell>
          <cell r="D631" t="str">
            <v>闇ヨリ出ル魔獣</v>
          </cell>
          <cell r="E631" t="str">
            <v>メソポタミア文明シリーズ超級</v>
          </cell>
          <cell r="F631">
            <v>1</v>
          </cell>
          <cell r="G631" t="str">
            <v>ja</v>
          </cell>
          <cell r="H631" t="str">
            <v>【中級】闇ヨリ出ル魔獣</v>
          </cell>
          <cell r="I631" t="str">
            <v>中級</v>
          </cell>
          <cell r="J631">
            <v>1061</v>
          </cell>
          <cell r="K631">
            <v>15</v>
          </cell>
          <cell r="L631">
            <v>1200</v>
          </cell>
          <cell r="M631">
            <v>1</v>
          </cell>
          <cell r="N631">
            <v>1</v>
          </cell>
          <cell r="O631">
            <v>1</v>
          </cell>
          <cell r="P631">
            <v>1</v>
          </cell>
          <cell r="Q631">
            <v>1</v>
          </cell>
          <cell r="R631">
            <v>3</v>
          </cell>
          <cell r="S631" t="str">
            <v>none</v>
          </cell>
          <cell r="T631">
            <v>0</v>
          </cell>
          <cell r="U631" t="str">
            <v>NULL</v>
          </cell>
          <cell r="V631" t="str">
            <v>NULL</v>
          </cell>
          <cell r="W631" t="str">
            <v/>
          </cell>
          <cell r="X631">
            <v>0</v>
          </cell>
          <cell r="Y631">
            <v>0</v>
          </cell>
          <cell r="Z631">
            <v>0</v>
          </cell>
          <cell r="AA631">
            <v>0</v>
          </cell>
          <cell r="AB631" t="str">
            <v>anytime</v>
          </cell>
          <cell r="AC631">
            <v>7</v>
          </cell>
          <cell r="AD631">
            <v>6</v>
          </cell>
          <cell r="AE631" t="str">
            <v>everyone</v>
          </cell>
        </row>
        <row r="632">
          <cell r="A632" t="str">
            <v>30040_2</v>
          </cell>
          <cell r="B632">
            <v>3</v>
          </cell>
          <cell r="C632">
            <v>30040</v>
          </cell>
          <cell r="D632" t="str">
            <v>闇ヨリ出ル魔獣</v>
          </cell>
          <cell r="E632" t="str">
            <v>メソポタミア文明シリーズ超級</v>
          </cell>
          <cell r="F632">
            <v>2</v>
          </cell>
          <cell r="G632" t="str">
            <v>ja</v>
          </cell>
          <cell r="H632" t="str">
            <v>【上級】闇ヨリ出ル魔獣</v>
          </cell>
          <cell r="I632" t="str">
            <v>上級</v>
          </cell>
          <cell r="J632">
            <v>1062</v>
          </cell>
          <cell r="K632">
            <v>20</v>
          </cell>
          <cell r="L632">
            <v>2000</v>
          </cell>
          <cell r="M632">
            <v>1</v>
          </cell>
          <cell r="N632">
            <v>1</v>
          </cell>
          <cell r="O632">
            <v>1</v>
          </cell>
          <cell r="P632">
            <v>1</v>
          </cell>
          <cell r="Q632">
            <v>1</v>
          </cell>
          <cell r="R632">
            <v>3</v>
          </cell>
          <cell r="S632" t="str">
            <v>none</v>
          </cell>
          <cell r="T632">
            <v>0</v>
          </cell>
          <cell r="U632" t="str">
            <v>NULL</v>
          </cell>
          <cell r="V632" t="str">
            <v>NULL</v>
          </cell>
          <cell r="W632" t="str">
            <v/>
          </cell>
          <cell r="X632">
            <v>0</v>
          </cell>
          <cell r="Y632">
            <v>0</v>
          </cell>
          <cell r="Z632">
            <v>0</v>
          </cell>
          <cell r="AA632">
            <v>0</v>
          </cell>
          <cell r="AB632" t="str">
            <v>anytime</v>
          </cell>
          <cell r="AC632">
            <v>7</v>
          </cell>
          <cell r="AD632">
            <v>6</v>
          </cell>
          <cell r="AE632" t="str">
            <v>everyone</v>
          </cell>
        </row>
        <row r="633">
          <cell r="A633" t="str">
            <v>30040_3</v>
          </cell>
          <cell r="B633">
            <v>3</v>
          </cell>
          <cell r="C633">
            <v>30040</v>
          </cell>
          <cell r="D633" t="str">
            <v>闇ヨリ出ル魔獣</v>
          </cell>
          <cell r="E633" t="str">
            <v>メソポタミア文明シリーズ超級</v>
          </cell>
          <cell r="F633">
            <v>3</v>
          </cell>
          <cell r="G633" t="str">
            <v>ja</v>
          </cell>
          <cell r="H633" t="str">
            <v>【超級】闇ヨリ出ル魔獣</v>
          </cell>
          <cell r="I633" t="str">
            <v>超級</v>
          </cell>
          <cell r="J633">
            <v>1062</v>
          </cell>
          <cell r="K633">
            <v>30</v>
          </cell>
          <cell r="L633">
            <v>3300</v>
          </cell>
          <cell r="M633">
            <v>1</v>
          </cell>
          <cell r="N633">
            <v>1</v>
          </cell>
          <cell r="O633">
            <v>1</v>
          </cell>
          <cell r="P633">
            <v>1</v>
          </cell>
          <cell r="Q633">
            <v>1</v>
          </cell>
          <cell r="R633">
            <v>3</v>
          </cell>
          <cell r="S633" t="str">
            <v>polygon</v>
          </cell>
          <cell r="T633">
            <v>1</v>
          </cell>
          <cell r="U633" t="str">
            <v>NULL</v>
          </cell>
          <cell r="V633" t="str">
            <v>NULL</v>
          </cell>
          <cell r="W633" t="str">
            <v/>
          </cell>
          <cell r="X633">
            <v>0</v>
          </cell>
          <cell r="Y633">
            <v>0</v>
          </cell>
          <cell r="Z633">
            <v>0</v>
          </cell>
          <cell r="AA633">
            <v>0</v>
          </cell>
          <cell r="AB633" t="str">
            <v>anytime</v>
          </cell>
          <cell r="AC633">
            <v>7</v>
          </cell>
          <cell r="AD633">
            <v>6</v>
          </cell>
          <cell r="AE633" t="str">
            <v>everyone</v>
          </cell>
        </row>
        <row r="634">
          <cell r="A634" t="str">
            <v>30041_1</v>
          </cell>
          <cell r="B634">
            <v>3</v>
          </cell>
          <cell r="C634">
            <v>30041</v>
          </cell>
          <cell r="D634" t="str">
            <v>パラノイア・アート</v>
          </cell>
          <cell r="E634" t="str">
            <v>画家シリーズ超級</v>
          </cell>
          <cell r="F634">
            <v>1</v>
          </cell>
          <cell r="G634" t="str">
            <v>ja</v>
          </cell>
          <cell r="H634" t="str">
            <v>【中級】パラノイア・アート</v>
          </cell>
          <cell r="I634" t="str">
            <v>中級</v>
          </cell>
          <cell r="J634">
            <v>1096</v>
          </cell>
          <cell r="K634">
            <v>15</v>
          </cell>
          <cell r="L634">
            <v>1200</v>
          </cell>
          <cell r="M634">
            <v>1</v>
          </cell>
          <cell r="N634">
            <v>0</v>
          </cell>
          <cell r="O634">
            <v>1</v>
          </cell>
          <cell r="P634">
            <v>1</v>
          </cell>
          <cell r="Q634">
            <v>1</v>
          </cell>
          <cell r="R634">
            <v>3</v>
          </cell>
          <cell r="S634" t="str">
            <v>none</v>
          </cell>
          <cell r="T634">
            <v>0</v>
          </cell>
          <cell r="U634" t="str">
            <v>NULL</v>
          </cell>
          <cell r="V634" t="str">
            <v>NULL</v>
          </cell>
          <cell r="W634" t="str">
            <v/>
          </cell>
          <cell r="X634">
            <v>0</v>
          </cell>
          <cell r="Y634">
            <v>0</v>
          </cell>
          <cell r="Z634">
            <v>0</v>
          </cell>
          <cell r="AA634">
            <v>0</v>
          </cell>
          <cell r="AB634" t="str">
            <v>anytime</v>
          </cell>
          <cell r="AC634">
            <v>25</v>
          </cell>
          <cell r="AD634">
            <v>6</v>
          </cell>
          <cell r="AE634" t="str">
            <v>everyone</v>
          </cell>
        </row>
        <row r="635">
          <cell r="A635" t="str">
            <v>30041_2</v>
          </cell>
          <cell r="B635">
            <v>3</v>
          </cell>
          <cell r="C635">
            <v>30041</v>
          </cell>
          <cell r="D635" t="str">
            <v>パラノイア・アート</v>
          </cell>
          <cell r="E635" t="str">
            <v>画家シリーズ超級</v>
          </cell>
          <cell r="F635">
            <v>2</v>
          </cell>
          <cell r="G635" t="str">
            <v>ja</v>
          </cell>
          <cell r="H635" t="str">
            <v>【上級】パラノイア・アート</v>
          </cell>
          <cell r="I635" t="str">
            <v>上級</v>
          </cell>
          <cell r="J635">
            <v>1097</v>
          </cell>
          <cell r="K635">
            <v>20</v>
          </cell>
          <cell r="L635">
            <v>2000</v>
          </cell>
          <cell r="M635">
            <v>1</v>
          </cell>
          <cell r="N635">
            <v>0</v>
          </cell>
          <cell r="O635">
            <v>1</v>
          </cell>
          <cell r="P635">
            <v>1</v>
          </cell>
          <cell r="Q635">
            <v>1</v>
          </cell>
          <cell r="R635">
            <v>3</v>
          </cell>
          <cell r="S635" t="str">
            <v>none</v>
          </cell>
          <cell r="T635">
            <v>0</v>
          </cell>
          <cell r="U635" t="str">
            <v>NULL</v>
          </cell>
          <cell r="V635" t="str">
            <v>NULL</v>
          </cell>
          <cell r="W635" t="str">
            <v/>
          </cell>
          <cell r="X635">
            <v>0</v>
          </cell>
          <cell r="Y635">
            <v>0</v>
          </cell>
          <cell r="Z635">
            <v>0</v>
          </cell>
          <cell r="AA635">
            <v>0</v>
          </cell>
          <cell r="AB635" t="str">
            <v>anytime</v>
          </cell>
          <cell r="AC635">
            <v>25</v>
          </cell>
          <cell r="AD635">
            <v>6</v>
          </cell>
          <cell r="AE635" t="str">
            <v>everyone</v>
          </cell>
        </row>
        <row r="636">
          <cell r="A636" t="str">
            <v>30041_3</v>
          </cell>
          <cell r="B636">
            <v>3</v>
          </cell>
          <cell r="C636">
            <v>30041</v>
          </cell>
          <cell r="D636" t="str">
            <v>パラノイア・アート</v>
          </cell>
          <cell r="E636" t="str">
            <v>画家シリーズ超級</v>
          </cell>
          <cell r="F636">
            <v>3</v>
          </cell>
          <cell r="G636" t="str">
            <v>ja</v>
          </cell>
          <cell r="H636" t="str">
            <v>【超級】パラノイア・アート</v>
          </cell>
          <cell r="I636" t="str">
            <v>超級</v>
          </cell>
          <cell r="J636">
            <v>1097</v>
          </cell>
          <cell r="K636">
            <v>30</v>
          </cell>
          <cell r="L636">
            <v>3300</v>
          </cell>
          <cell r="M636">
            <v>1</v>
          </cell>
          <cell r="N636">
            <v>0</v>
          </cell>
          <cell r="O636">
            <v>1</v>
          </cell>
          <cell r="P636">
            <v>1</v>
          </cell>
          <cell r="Q636">
            <v>1</v>
          </cell>
          <cell r="R636">
            <v>3</v>
          </cell>
          <cell r="S636" t="str">
            <v>polygon</v>
          </cell>
          <cell r="T636">
            <v>1</v>
          </cell>
          <cell r="U636" t="str">
            <v>NULL</v>
          </cell>
          <cell r="V636" t="str">
            <v>NULL</v>
          </cell>
          <cell r="W636" t="str">
            <v/>
          </cell>
          <cell r="X636">
            <v>0</v>
          </cell>
          <cell r="Y636">
            <v>0</v>
          </cell>
          <cell r="Z636">
            <v>0</v>
          </cell>
          <cell r="AA636">
            <v>0</v>
          </cell>
          <cell r="AB636" t="str">
            <v>anytime</v>
          </cell>
          <cell r="AC636">
            <v>25</v>
          </cell>
          <cell r="AD636">
            <v>6</v>
          </cell>
          <cell r="AE636" t="str">
            <v>everyone</v>
          </cell>
        </row>
        <row r="637">
          <cell r="A637" t="str">
            <v>30042_1</v>
          </cell>
          <cell r="B637">
            <v>3</v>
          </cell>
          <cell r="C637">
            <v>30042</v>
          </cell>
          <cell r="D637" t="str">
            <v>馬中に赤兎あり！</v>
          </cell>
          <cell r="E637" t="str">
            <v>三国志シリーズ超級</v>
          </cell>
          <cell r="F637">
            <v>1</v>
          </cell>
          <cell r="G637" t="str">
            <v>ja</v>
          </cell>
          <cell r="H637" t="str">
            <v>【中級】馬中に赤兎あり！</v>
          </cell>
          <cell r="I637" t="str">
            <v>中級</v>
          </cell>
          <cell r="J637">
            <v>1130</v>
          </cell>
          <cell r="K637">
            <v>15</v>
          </cell>
          <cell r="L637">
            <v>1200</v>
          </cell>
          <cell r="M637">
            <v>1</v>
          </cell>
          <cell r="N637">
            <v>1</v>
          </cell>
          <cell r="O637">
            <v>1</v>
          </cell>
          <cell r="P637">
            <v>1</v>
          </cell>
          <cell r="Q637">
            <v>0</v>
          </cell>
          <cell r="R637">
            <v>3</v>
          </cell>
          <cell r="S637" t="str">
            <v>none</v>
          </cell>
          <cell r="T637">
            <v>0</v>
          </cell>
          <cell r="U637" t="str">
            <v>NULL</v>
          </cell>
          <cell r="V637" t="str">
            <v>NULL</v>
          </cell>
          <cell r="W637" t="str">
            <v/>
          </cell>
          <cell r="X637">
            <v>0</v>
          </cell>
          <cell r="Y637">
            <v>0</v>
          </cell>
          <cell r="Z637">
            <v>0</v>
          </cell>
          <cell r="AA637">
            <v>0</v>
          </cell>
          <cell r="AB637" t="str">
            <v>anytime</v>
          </cell>
          <cell r="AC637">
            <v>14</v>
          </cell>
          <cell r="AD637">
            <v>6</v>
          </cell>
          <cell r="AE637" t="str">
            <v>singleonly</v>
          </cell>
        </row>
        <row r="638">
          <cell r="A638" t="str">
            <v>30042_2</v>
          </cell>
          <cell r="B638">
            <v>3</v>
          </cell>
          <cell r="C638">
            <v>30042</v>
          </cell>
          <cell r="D638" t="str">
            <v>馬中に赤兎あり！</v>
          </cell>
          <cell r="E638" t="str">
            <v>三国志シリーズ超級</v>
          </cell>
          <cell r="F638">
            <v>2</v>
          </cell>
          <cell r="G638" t="str">
            <v>ja</v>
          </cell>
          <cell r="H638" t="str">
            <v>【上級】馬中に赤兎あり！</v>
          </cell>
          <cell r="I638" t="str">
            <v>上級</v>
          </cell>
          <cell r="J638">
            <v>1130</v>
          </cell>
          <cell r="K638">
            <v>20</v>
          </cell>
          <cell r="L638">
            <v>2000</v>
          </cell>
          <cell r="M638">
            <v>1</v>
          </cell>
          <cell r="N638">
            <v>1</v>
          </cell>
          <cell r="O638">
            <v>1</v>
          </cell>
          <cell r="P638">
            <v>1</v>
          </cell>
          <cell r="Q638">
            <v>0</v>
          </cell>
          <cell r="R638">
            <v>3</v>
          </cell>
          <cell r="S638" t="str">
            <v>none</v>
          </cell>
          <cell r="T638">
            <v>0</v>
          </cell>
          <cell r="U638" t="str">
            <v>NULL</v>
          </cell>
          <cell r="V638" t="str">
            <v>NULL</v>
          </cell>
          <cell r="W638" t="str">
            <v/>
          </cell>
          <cell r="X638">
            <v>0</v>
          </cell>
          <cell r="Y638">
            <v>0</v>
          </cell>
          <cell r="Z638">
            <v>0</v>
          </cell>
          <cell r="AA638">
            <v>0</v>
          </cell>
          <cell r="AB638" t="str">
            <v>anytime</v>
          </cell>
          <cell r="AC638">
            <v>14</v>
          </cell>
          <cell r="AD638">
            <v>6</v>
          </cell>
          <cell r="AE638" t="str">
            <v>singleonly</v>
          </cell>
        </row>
        <row r="639">
          <cell r="A639" t="str">
            <v>30042_3</v>
          </cell>
          <cell r="B639">
            <v>3</v>
          </cell>
          <cell r="C639">
            <v>30042</v>
          </cell>
          <cell r="D639" t="str">
            <v>馬中に赤兎あり！</v>
          </cell>
          <cell r="E639" t="str">
            <v>三国志シリーズ超級</v>
          </cell>
          <cell r="F639">
            <v>3</v>
          </cell>
          <cell r="G639" t="str">
            <v>ja</v>
          </cell>
          <cell r="H639" t="str">
            <v>【超級】馬中に赤兎あり！</v>
          </cell>
          <cell r="I639" t="str">
            <v>超級</v>
          </cell>
          <cell r="J639">
            <v>1130</v>
          </cell>
          <cell r="K639">
            <v>30</v>
          </cell>
          <cell r="L639">
            <v>3300</v>
          </cell>
          <cell r="M639">
            <v>1</v>
          </cell>
          <cell r="N639">
            <v>1</v>
          </cell>
          <cell r="O639">
            <v>1</v>
          </cell>
          <cell r="P639">
            <v>1</v>
          </cell>
          <cell r="Q639">
            <v>0</v>
          </cell>
          <cell r="R639">
            <v>3</v>
          </cell>
          <cell r="S639" t="str">
            <v>polygon</v>
          </cell>
          <cell r="T639">
            <v>1</v>
          </cell>
          <cell r="U639" t="str">
            <v>NULL</v>
          </cell>
          <cell r="V639" t="str">
            <v>NULL</v>
          </cell>
          <cell r="W639" t="str">
            <v/>
          </cell>
          <cell r="X639">
            <v>0</v>
          </cell>
          <cell r="Y639">
            <v>0</v>
          </cell>
          <cell r="Z639">
            <v>0</v>
          </cell>
          <cell r="AA639">
            <v>0</v>
          </cell>
          <cell r="AB639" t="str">
            <v>anytime</v>
          </cell>
          <cell r="AC639">
            <v>14</v>
          </cell>
          <cell r="AD639">
            <v>6</v>
          </cell>
          <cell r="AE639" t="str">
            <v>singleonly</v>
          </cell>
        </row>
        <row r="640">
          <cell r="A640" t="str">
            <v>30043_1</v>
          </cell>
          <cell r="B640">
            <v>3</v>
          </cell>
          <cell r="C640">
            <v>30043</v>
          </cell>
          <cell r="D640" t="str">
            <v>小さな破壊竜</v>
          </cell>
          <cell r="E640" t="str">
            <v>ヒンドゥー神話第二弾超級</v>
          </cell>
          <cell r="F640">
            <v>1</v>
          </cell>
          <cell r="G640" t="str">
            <v>ja</v>
          </cell>
          <cell r="H640" t="str">
            <v>【中級】小さな破壊竜</v>
          </cell>
          <cell r="I640" t="str">
            <v>中級</v>
          </cell>
          <cell r="J640">
            <v>1146</v>
          </cell>
          <cell r="K640">
            <v>15</v>
          </cell>
          <cell r="L640">
            <v>1200</v>
          </cell>
          <cell r="M640">
            <v>1</v>
          </cell>
          <cell r="N640">
            <v>0</v>
          </cell>
          <cell r="O640">
            <v>1</v>
          </cell>
          <cell r="P640">
            <v>1</v>
          </cell>
          <cell r="Q640">
            <v>1</v>
          </cell>
          <cell r="R640">
            <v>3</v>
          </cell>
          <cell r="S640" t="str">
            <v>none</v>
          </cell>
          <cell r="T640">
            <v>0</v>
          </cell>
          <cell r="U640" t="str">
            <v>NULL</v>
          </cell>
          <cell r="V640" t="str">
            <v>NULL</v>
          </cell>
          <cell r="W640" t="str">
            <v/>
          </cell>
          <cell r="X640">
            <v>0</v>
          </cell>
          <cell r="Y640">
            <v>0</v>
          </cell>
          <cell r="Z640">
            <v>0</v>
          </cell>
          <cell r="AA640">
            <v>0</v>
          </cell>
          <cell r="AB640" t="str">
            <v>anytime</v>
          </cell>
          <cell r="AC640">
            <v>24</v>
          </cell>
          <cell r="AD640">
            <v>6</v>
          </cell>
          <cell r="AE640" t="str">
            <v>everyone</v>
          </cell>
        </row>
        <row r="641">
          <cell r="A641" t="str">
            <v>30043_2</v>
          </cell>
          <cell r="B641">
            <v>3</v>
          </cell>
          <cell r="C641">
            <v>30043</v>
          </cell>
          <cell r="D641" t="str">
            <v>小さな破壊竜</v>
          </cell>
          <cell r="E641" t="str">
            <v>ヒンドゥー神話第二弾超級</v>
          </cell>
          <cell r="F641">
            <v>2</v>
          </cell>
          <cell r="G641" t="str">
            <v>ja</v>
          </cell>
          <cell r="H641" t="str">
            <v>【上級】小さな破壊竜</v>
          </cell>
          <cell r="I641" t="str">
            <v>上級</v>
          </cell>
          <cell r="J641">
            <v>1146</v>
          </cell>
          <cell r="K641">
            <v>20</v>
          </cell>
          <cell r="L641">
            <v>2000</v>
          </cell>
          <cell r="M641">
            <v>1</v>
          </cell>
          <cell r="N641">
            <v>0</v>
          </cell>
          <cell r="O641">
            <v>1</v>
          </cell>
          <cell r="P641">
            <v>1</v>
          </cell>
          <cell r="Q641">
            <v>1</v>
          </cell>
          <cell r="R641">
            <v>3</v>
          </cell>
          <cell r="S641" t="str">
            <v>none</v>
          </cell>
          <cell r="T641">
            <v>0</v>
          </cell>
          <cell r="U641" t="str">
            <v>NULL</v>
          </cell>
          <cell r="V641" t="str">
            <v>NULL</v>
          </cell>
          <cell r="W641" t="str">
            <v/>
          </cell>
          <cell r="X641">
            <v>0</v>
          </cell>
          <cell r="Y641">
            <v>0</v>
          </cell>
          <cell r="Z641">
            <v>0</v>
          </cell>
          <cell r="AA641">
            <v>0</v>
          </cell>
          <cell r="AB641" t="str">
            <v>anytime</v>
          </cell>
          <cell r="AC641">
            <v>24</v>
          </cell>
          <cell r="AD641">
            <v>6</v>
          </cell>
          <cell r="AE641" t="str">
            <v>everyone</v>
          </cell>
        </row>
        <row r="642">
          <cell r="A642" t="str">
            <v>30043_3</v>
          </cell>
          <cell r="B642">
            <v>3</v>
          </cell>
          <cell r="C642">
            <v>30043</v>
          </cell>
          <cell r="D642" t="str">
            <v>小さな破壊竜</v>
          </cell>
          <cell r="E642" t="str">
            <v>ヒンドゥー神話第二弾超級</v>
          </cell>
          <cell r="F642">
            <v>3</v>
          </cell>
          <cell r="G642" t="str">
            <v>ja</v>
          </cell>
          <cell r="H642" t="str">
            <v>【超級】小さな破壊竜</v>
          </cell>
          <cell r="I642" t="str">
            <v>超級</v>
          </cell>
          <cell r="J642">
            <v>1146</v>
          </cell>
          <cell r="K642">
            <v>30</v>
          </cell>
          <cell r="L642">
            <v>3300</v>
          </cell>
          <cell r="M642">
            <v>1</v>
          </cell>
          <cell r="N642">
            <v>0</v>
          </cell>
          <cell r="O642">
            <v>1</v>
          </cell>
          <cell r="P642">
            <v>1</v>
          </cell>
          <cell r="Q642">
            <v>1</v>
          </cell>
          <cell r="R642">
            <v>3</v>
          </cell>
          <cell r="S642" t="str">
            <v>polygon</v>
          </cell>
          <cell r="T642">
            <v>1</v>
          </cell>
          <cell r="U642" t="str">
            <v>NULL</v>
          </cell>
          <cell r="V642" t="str">
            <v>NULL</v>
          </cell>
          <cell r="W642" t="str">
            <v/>
          </cell>
          <cell r="X642">
            <v>0</v>
          </cell>
          <cell r="Y642">
            <v>0</v>
          </cell>
          <cell r="Z642">
            <v>0</v>
          </cell>
          <cell r="AA642">
            <v>0</v>
          </cell>
          <cell r="AB642" t="str">
            <v>anytime</v>
          </cell>
          <cell r="AC642">
            <v>24</v>
          </cell>
          <cell r="AD642">
            <v>6</v>
          </cell>
          <cell r="AE642" t="str">
            <v>everyone</v>
          </cell>
        </row>
        <row r="643">
          <cell r="A643" t="str">
            <v>30044_1</v>
          </cell>
          <cell r="B643">
            <v>3</v>
          </cell>
          <cell r="C643">
            <v>30044</v>
          </cell>
          <cell r="D643" t="str">
            <v>冷酷なる遂行者</v>
          </cell>
          <cell r="E643" t="str">
            <v>ギリシャ神話第二弾超級</v>
          </cell>
          <cell r="F643">
            <v>1</v>
          </cell>
          <cell r="G643" t="str">
            <v>ja</v>
          </cell>
          <cell r="H643" t="str">
            <v>【中級】冷酷なる遂行者</v>
          </cell>
          <cell r="I643" t="str">
            <v>中級</v>
          </cell>
          <cell r="J643">
            <v>1201</v>
          </cell>
          <cell r="K643">
            <v>15</v>
          </cell>
          <cell r="L643">
            <v>1200</v>
          </cell>
          <cell r="M643">
            <v>1</v>
          </cell>
          <cell r="N643">
            <v>1</v>
          </cell>
          <cell r="O643">
            <v>1</v>
          </cell>
          <cell r="P643">
            <v>1</v>
          </cell>
          <cell r="Q643">
            <v>1</v>
          </cell>
          <cell r="R643">
            <v>3</v>
          </cell>
          <cell r="S643" t="str">
            <v>none</v>
          </cell>
          <cell r="T643">
            <v>0</v>
          </cell>
          <cell r="U643" t="str">
            <v>NULL</v>
          </cell>
          <cell r="V643" t="str">
            <v>NULL</v>
          </cell>
          <cell r="W643" t="str">
            <v/>
          </cell>
          <cell r="X643">
            <v>0</v>
          </cell>
          <cell r="Y643">
            <v>0</v>
          </cell>
          <cell r="Z643">
            <v>0</v>
          </cell>
          <cell r="AA643">
            <v>0</v>
          </cell>
          <cell r="AB643" t="str">
            <v>anytime</v>
          </cell>
          <cell r="AC643">
            <v>26</v>
          </cell>
          <cell r="AD643">
            <v>6</v>
          </cell>
          <cell r="AE643" t="str">
            <v>everyone</v>
          </cell>
        </row>
        <row r="644">
          <cell r="A644" t="str">
            <v>30044_2</v>
          </cell>
          <cell r="B644">
            <v>3</v>
          </cell>
          <cell r="C644">
            <v>30044</v>
          </cell>
          <cell r="D644" t="str">
            <v>冷酷なる遂行者</v>
          </cell>
          <cell r="E644" t="str">
            <v>ギリシャ神話第二弾超級</v>
          </cell>
          <cell r="F644">
            <v>2</v>
          </cell>
          <cell r="G644" t="str">
            <v>ja</v>
          </cell>
          <cell r="H644" t="str">
            <v>【上級】冷酷なる遂行者</v>
          </cell>
          <cell r="I644" t="str">
            <v>上級</v>
          </cell>
          <cell r="J644">
            <v>1201</v>
          </cell>
          <cell r="K644">
            <v>20</v>
          </cell>
          <cell r="L644">
            <v>2000</v>
          </cell>
          <cell r="M644">
            <v>1</v>
          </cell>
          <cell r="N644">
            <v>1</v>
          </cell>
          <cell r="O644">
            <v>1</v>
          </cell>
          <cell r="P644">
            <v>1</v>
          </cell>
          <cell r="Q644">
            <v>1</v>
          </cell>
          <cell r="R644">
            <v>3</v>
          </cell>
          <cell r="S644" t="str">
            <v>none</v>
          </cell>
          <cell r="T644">
            <v>0</v>
          </cell>
          <cell r="U644" t="str">
            <v>NULL</v>
          </cell>
          <cell r="V644" t="str">
            <v>NULL</v>
          </cell>
          <cell r="W644" t="str">
            <v/>
          </cell>
          <cell r="X644">
            <v>0</v>
          </cell>
          <cell r="Y644">
            <v>0</v>
          </cell>
          <cell r="Z644">
            <v>0</v>
          </cell>
          <cell r="AA644">
            <v>0</v>
          </cell>
          <cell r="AB644" t="str">
            <v>anytime</v>
          </cell>
          <cell r="AC644">
            <v>26</v>
          </cell>
          <cell r="AD644">
            <v>6</v>
          </cell>
          <cell r="AE644" t="str">
            <v>everyone</v>
          </cell>
        </row>
        <row r="645">
          <cell r="A645" t="str">
            <v>30044_3</v>
          </cell>
          <cell r="B645">
            <v>3</v>
          </cell>
          <cell r="C645">
            <v>30044</v>
          </cell>
          <cell r="D645" t="str">
            <v>冷酷なる遂行者</v>
          </cell>
          <cell r="E645" t="str">
            <v>ギリシャ神話第二弾超級</v>
          </cell>
          <cell r="F645">
            <v>3</v>
          </cell>
          <cell r="G645" t="str">
            <v>ja</v>
          </cell>
          <cell r="H645" t="str">
            <v>【超級】冷酷なる遂行者</v>
          </cell>
          <cell r="I645" t="str">
            <v>超級</v>
          </cell>
          <cell r="J645">
            <v>1201</v>
          </cell>
          <cell r="K645">
            <v>30</v>
          </cell>
          <cell r="L645">
            <v>3300</v>
          </cell>
          <cell r="M645">
            <v>1</v>
          </cell>
          <cell r="N645">
            <v>1</v>
          </cell>
          <cell r="O645">
            <v>1</v>
          </cell>
          <cell r="P645">
            <v>1</v>
          </cell>
          <cell r="Q645">
            <v>1</v>
          </cell>
          <cell r="R645">
            <v>3</v>
          </cell>
          <cell r="S645" t="str">
            <v>polygon</v>
          </cell>
          <cell r="T645">
            <v>1</v>
          </cell>
          <cell r="U645" t="str">
            <v>NULL</v>
          </cell>
          <cell r="V645" t="str">
            <v>NULL</v>
          </cell>
          <cell r="W645" t="str">
            <v/>
          </cell>
          <cell r="X645">
            <v>0</v>
          </cell>
          <cell r="Y645">
            <v>0</v>
          </cell>
          <cell r="Z645">
            <v>0</v>
          </cell>
          <cell r="AA645">
            <v>0</v>
          </cell>
          <cell r="AB645" t="str">
            <v>anytime</v>
          </cell>
          <cell r="AC645">
            <v>26</v>
          </cell>
          <cell r="AD645">
            <v>6</v>
          </cell>
          <cell r="AE645" t="str">
            <v>everyone</v>
          </cell>
        </row>
        <row r="646">
          <cell r="A646" t="str">
            <v>30045_1</v>
          </cell>
          <cell r="B646">
            <v>3</v>
          </cell>
          <cell r="C646">
            <v>30045</v>
          </cell>
          <cell r="D646" t="str">
            <v>れもん色の衝動</v>
          </cell>
          <cell r="E646" t="str">
            <v>文豪シリーズ　超級</v>
          </cell>
          <cell r="F646">
            <v>1</v>
          </cell>
          <cell r="G646" t="str">
            <v>ja</v>
          </cell>
          <cell r="H646" t="str">
            <v>【中級】れもん色の衝動</v>
          </cell>
          <cell r="I646" t="str">
            <v>中級</v>
          </cell>
          <cell r="J646">
            <v>1217</v>
          </cell>
          <cell r="K646">
            <v>15</v>
          </cell>
          <cell r="L646">
            <v>1200</v>
          </cell>
          <cell r="M646">
            <v>1</v>
          </cell>
          <cell r="N646">
            <v>1</v>
          </cell>
          <cell r="O646">
            <v>1</v>
          </cell>
          <cell r="P646">
            <v>1</v>
          </cell>
          <cell r="Q646">
            <v>1</v>
          </cell>
          <cell r="R646">
            <v>3</v>
          </cell>
          <cell r="S646" t="str">
            <v>none</v>
          </cell>
          <cell r="T646">
            <v>0</v>
          </cell>
          <cell r="U646" t="str">
            <v>NULL</v>
          </cell>
          <cell r="V646" t="str">
            <v>NULL</v>
          </cell>
          <cell r="W646" t="str">
            <v/>
          </cell>
          <cell r="X646">
            <v>0</v>
          </cell>
          <cell r="Y646">
            <v>0</v>
          </cell>
          <cell r="Z646">
            <v>0</v>
          </cell>
          <cell r="AA646">
            <v>0</v>
          </cell>
          <cell r="AB646" t="str">
            <v>anytime</v>
          </cell>
          <cell r="AC646">
            <v>25</v>
          </cell>
          <cell r="AD646">
            <v>6</v>
          </cell>
          <cell r="AE646" t="str">
            <v>everyone</v>
          </cell>
        </row>
        <row r="647">
          <cell r="A647" t="str">
            <v>30045_2</v>
          </cell>
          <cell r="B647">
            <v>3</v>
          </cell>
          <cell r="C647">
            <v>30045</v>
          </cell>
          <cell r="D647" t="str">
            <v>れもん色の衝動</v>
          </cell>
          <cell r="E647" t="str">
            <v>文豪シリーズ　超級</v>
          </cell>
          <cell r="F647">
            <v>2</v>
          </cell>
          <cell r="G647" t="str">
            <v>ja</v>
          </cell>
          <cell r="H647" t="str">
            <v>【上級】れもん色の衝動</v>
          </cell>
          <cell r="I647" t="str">
            <v>上級</v>
          </cell>
          <cell r="J647">
            <v>1217</v>
          </cell>
          <cell r="K647">
            <v>20</v>
          </cell>
          <cell r="L647">
            <v>2000</v>
          </cell>
          <cell r="M647">
            <v>1</v>
          </cell>
          <cell r="N647">
            <v>1</v>
          </cell>
          <cell r="O647">
            <v>1</v>
          </cell>
          <cell r="P647">
            <v>1</v>
          </cell>
          <cell r="Q647">
            <v>1</v>
          </cell>
          <cell r="R647">
            <v>3</v>
          </cell>
          <cell r="S647" t="str">
            <v>none</v>
          </cell>
          <cell r="T647">
            <v>0</v>
          </cell>
          <cell r="U647" t="str">
            <v>NULL</v>
          </cell>
          <cell r="V647" t="str">
            <v>NULL</v>
          </cell>
          <cell r="W647" t="str">
            <v/>
          </cell>
          <cell r="X647">
            <v>0</v>
          </cell>
          <cell r="Y647">
            <v>0</v>
          </cell>
          <cell r="Z647">
            <v>0</v>
          </cell>
          <cell r="AA647">
            <v>0</v>
          </cell>
          <cell r="AB647" t="str">
            <v>anytime</v>
          </cell>
          <cell r="AC647">
            <v>25</v>
          </cell>
          <cell r="AD647">
            <v>6</v>
          </cell>
          <cell r="AE647" t="str">
            <v>everyone</v>
          </cell>
        </row>
        <row r="648">
          <cell r="A648" t="str">
            <v>30045_3</v>
          </cell>
          <cell r="B648">
            <v>3</v>
          </cell>
          <cell r="C648">
            <v>30045</v>
          </cell>
          <cell r="D648" t="str">
            <v>れもん色の衝動</v>
          </cell>
          <cell r="E648" t="str">
            <v>文豪シリーズ　超級</v>
          </cell>
          <cell r="F648">
            <v>3</v>
          </cell>
          <cell r="G648" t="str">
            <v>ja</v>
          </cell>
          <cell r="H648" t="str">
            <v>【超級】れもん色の衝動</v>
          </cell>
          <cell r="I648" t="str">
            <v>超級</v>
          </cell>
          <cell r="J648">
            <v>1217</v>
          </cell>
          <cell r="K648">
            <v>30</v>
          </cell>
          <cell r="L648">
            <v>3300</v>
          </cell>
          <cell r="M648">
            <v>1</v>
          </cell>
          <cell r="N648">
            <v>1</v>
          </cell>
          <cell r="O648">
            <v>1</v>
          </cell>
          <cell r="P648">
            <v>1</v>
          </cell>
          <cell r="Q648">
            <v>1</v>
          </cell>
          <cell r="R648">
            <v>3</v>
          </cell>
          <cell r="S648" t="str">
            <v>polygon</v>
          </cell>
          <cell r="T648">
            <v>1</v>
          </cell>
          <cell r="U648" t="str">
            <v>NULL</v>
          </cell>
          <cell r="V648" t="str">
            <v>NULL</v>
          </cell>
          <cell r="W648" t="str">
            <v/>
          </cell>
          <cell r="X648">
            <v>0</v>
          </cell>
          <cell r="Y648">
            <v>0</v>
          </cell>
          <cell r="Z648">
            <v>0</v>
          </cell>
          <cell r="AA648">
            <v>0</v>
          </cell>
          <cell r="AB648" t="str">
            <v>anytime</v>
          </cell>
          <cell r="AC648">
            <v>25</v>
          </cell>
          <cell r="AD648">
            <v>6</v>
          </cell>
          <cell r="AE648" t="str">
            <v>everyone</v>
          </cell>
        </row>
        <row r="649">
          <cell r="A649" t="str">
            <v>30046_1</v>
          </cell>
          <cell r="B649">
            <v>3</v>
          </cell>
          <cell r="C649">
            <v>30046</v>
          </cell>
          <cell r="D649" t="str">
            <v>千利の道も一歩から！</v>
          </cell>
          <cell r="E649" t="str">
            <v>戦国シリーズ第二弾　超級</v>
          </cell>
          <cell r="F649">
            <v>1</v>
          </cell>
          <cell r="G649" t="str">
            <v>ja</v>
          </cell>
          <cell r="H649" t="str">
            <v>【中級】千利の道も一歩から！</v>
          </cell>
          <cell r="I649" t="str">
            <v>中級</v>
          </cell>
          <cell r="J649">
            <v>1237</v>
          </cell>
          <cell r="K649">
            <v>15</v>
          </cell>
          <cell r="L649">
            <v>1200</v>
          </cell>
          <cell r="M649">
            <v>1</v>
          </cell>
          <cell r="N649">
            <v>1</v>
          </cell>
          <cell r="O649">
            <v>1</v>
          </cell>
          <cell r="P649">
            <v>1</v>
          </cell>
          <cell r="Q649">
            <v>1</v>
          </cell>
          <cell r="R649">
            <v>3</v>
          </cell>
          <cell r="S649" t="str">
            <v>none</v>
          </cell>
          <cell r="T649">
            <v>0</v>
          </cell>
          <cell r="U649" t="str">
            <v>NULL</v>
          </cell>
          <cell r="V649" t="str">
            <v>NULL</v>
          </cell>
          <cell r="W649" t="str">
            <v/>
          </cell>
          <cell r="X649">
            <v>0</v>
          </cell>
          <cell r="Y649">
            <v>0</v>
          </cell>
          <cell r="Z649">
            <v>0</v>
          </cell>
          <cell r="AA649">
            <v>0</v>
          </cell>
          <cell r="AB649" t="str">
            <v>anytime</v>
          </cell>
          <cell r="AC649">
            <v>30</v>
          </cell>
          <cell r="AD649">
            <v>6</v>
          </cell>
          <cell r="AE649" t="str">
            <v>everyone</v>
          </cell>
        </row>
        <row r="650">
          <cell r="A650" t="str">
            <v>30046_2</v>
          </cell>
          <cell r="B650">
            <v>3</v>
          </cell>
          <cell r="C650">
            <v>30046</v>
          </cell>
          <cell r="D650" t="str">
            <v>千利の道も一歩から！</v>
          </cell>
          <cell r="E650" t="str">
            <v>戦国シリーズ第二弾　超級</v>
          </cell>
          <cell r="F650">
            <v>2</v>
          </cell>
          <cell r="G650" t="str">
            <v>ja</v>
          </cell>
          <cell r="H650" t="str">
            <v>【上級】千利の道も一歩から！</v>
          </cell>
          <cell r="I650" t="str">
            <v>上級</v>
          </cell>
          <cell r="J650">
            <v>1237</v>
          </cell>
          <cell r="K650">
            <v>20</v>
          </cell>
          <cell r="L650">
            <v>2000</v>
          </cell>
          <cell r="M650">
            <v>1</v>
          </cell>
          <cell r="N650">
            <v>1</v>
          </cell>
          <cell r="O650">
            <v>1</v>
          </cell>
          <cell r="P650">
            <v>1</v>
          </cell>
          <cell r="Q650">
            <v>1</v>
          </cell>
          <cell r="R650">
            <v>3</v>
          </cell>
          <cell r="S650" t="str">
            <v>none</v>
          </cell>
          <cell r="T650">
            <v>0</v>
          </cell>
          <cell r="U650" t="str">
            <v>NULL</v>
          </cell>
          <cell r="V650" t="str">
            <v>NULL</v>
          </cell>
          <cell r="W650" t="str">
            <v/>
          </cell>
          <cell r="X650">
            <v>0</v>
          </cell>
          <cell r="Y650">
            <v>0</v>
          </cell>
          <cell r="Z650">
            <v>0</v>
          </cell>
          <cell r="AA650">
            <v>0</v>
          </cell>
          <cell r="AB650" t="str">
            <v>anytime</v>
          </cell>
          <cell r="AC650">
            <v>30</v>
          </cell>
          <cell r="AD650">
            <v>6</v>
          </cell>
          <cell r="AE650" t="str">
            <v>everyone</v>
          </cell>
        </row>
        <row r="651">
          <cell r="A651" t="str">
            <v>30046_3</v>
          </cell>
          <cell r="B651">
            <v>3</v>
          </cell>
          <cell r="C651">
            <v>30046</v>
          </cell>
          <cell r="D651" t="str">
            <v>千利の道も一歩から！</v>
          </cell>
          <cell r="E651" t="str">
            <v>戦国シリーズ第二弾　超級</v>
          </cell>
          <cell r="F651">
            <v>3</v>
          </cell>
          <cell r="G651" t="str">
            <v>ja</v>
          </cell>
          <cell r="H651" t="str">
            <v>【超級】千利の道も一歩から！</v>
          </cell>
          <cell r="I651" t="str">
            <v>超級</v>
          </cell>
          <cell r="J651">
            <v>1237</v>
          </cell>
          <cell r="K651">
            <v>30</v>
          </cell>
          <cell r="L651">
            <v>3300</v>
          </cell>
          <cell r="M651">
            <v>1</v>
          </cell>
          <cell r="N651">
            <v>1</v>
          </cell>
          <cell r="O651">
            <v>1</v>
          </cell>
          <cell r="P651">
            <v>1</v>
          </cell>
          <cell r="Q651">
            <v>1</v>
          </cell>
          <cell r="R651">
            <v>3</v>
          </cell>
          <cell r="S651" t="str">
            <v>polygon</v>
          </cell>
          <cell r="T651">
            <v>1</v>
          </cell>
          <cell r="U651" t="str">
            <v>NULL</v>
          </cell>
          <cell r="V651" t="str">
            <v>NULL</v>
          </cell>
          <cell r="W651" t="str">
            <v/>
          </cell>
          <cell r="X651">
            <v>0</v>
          </cell>
          <cell r="Y651">
            <v>0</v>
          </cell>
          <cell r="Z651">
            <v>0</v>
          </cell>
          <cell r="AA651">
            <v>0</v>
          </cell>
          <cell r="AB651" t="str">
            <v>anytime</v>
          </cell>
          <cell r="AC651">
            <v>30</v>
          </cell>
          <cell r="AD651">
            <v>6</v>
          </cell>
          <cell r="AE651" t="str">
            <v>everyone</v>
          </cell>
        </row>
        <row r="652">
          <cell r="A652" t="str">
            <v>30047_1</v>
          </cell>
          <cell r="B652">
            <v>3</v>
          </cell>
          <cell r="C652">
            <v>30047</v>
          </cell>
          <cell r="D652" t="str">
            <v>終末の旋律</v>
          </cell>
          <cell r="E652" t="str">
            <v>北欧シリーズ第三弾　超級</v>
          </cell>
          <cell r="F652">
            <v>1</v>
          </cell>
          <cell r="G652" t="str">
            <v>ja</v>
          </cell>
          <cell r="H652" t="str">
            <v>【中級】終末の旋律</v>
          </cell>
          <cell r="I652" t="str">
            <v>中級</v>
          </cell>
          <cell r="J652">
            <v>1253</v>
          </cell>
          <cell r="K652">
            <v>15</v>
          </cell>
          <cell r="L652">
            <v>1200</v>
          </cell>
          <cell r="M652">
            <v>1</v>
          </cell>
          <cell r="N652">
            <v>1</v>
          </cell>
          <cell r="O652">
            <v>1</v>
          </cell>
          <cell r="P652">
            <v>1</v>
          </cell>
          <cell r="Q652">
            <v>1</v>
          </cell>
          <cell r="R652">
            <v>3</v>
          </cell>
          <cell r="S652" t="str">
            <v>none</v>
          </cell>
          <cell r="T652">
            <v>0</v>
          </cell>
          <cell r="U652" t="str">
            <v>NULL</v>
          </cell>
          <cell r="V652" t="str">
            <v>NULL</v>
          </cell>
          <cell r="W652" t="str">
            <v/>
          </cell>
          <cell r="X652">
            <v>0</v>
          </cell>
          <cell r="Y652">
            <v>0</v>
          </cell>
          <cell r="Z652">
            <v>0</v>
          </cell>
          <cell r="AA652">
            <v>0</v>
          </cell>
          <cell r="AB652" t="str">
            <v>anytime</v>
          </cell>
          <cell r="AC652">
            <v>25</v>
          </cell>
          <cell r="AD652">
            <v>6</v>
          </cell>
          <cell r="AE652" t="str">
            <v>everyone</v>
          </cell>
        </row>
        <row r="653">
          <cell r="A653" t="str">
            <v>30047_2</v>
          </cell>
          <cell r="B653">
            <v>3</v>
          </cell>
          <cell r="C653">
            <v>30047</v>
          </cell>
          <cell r="D653" t="str">
            <v>終末の旋律</v>
          </cell>
          <cell r="E653" t="str">
            <v>北欧シリーズ第三弾　超級</v>
          </cell>
          <cell r="F653">
            <v>2</v>
          </cell>
          <cell r="G653" t="str">
            <v>ja</v>
          </cell>
          <cell r="H653" t="str">
            <v>【上級】終末の旋律</v>
          </cell>
          <cell r="I653" t="str">
            <v>上級</v>
          </cell>
          <cell r="J653">
            <v>1253</v>
          </cell>
          <cell r="K653">
            <v>20</v>
          </cell>
          <cell r="L653">
            <v>2000</v>
          </cell>
          <cell r="M653">
            <v>1</v>
          </cell>
          <cell r="N653">
            <v>1</v>
          </cell>
          <cell r="O653">
            <v>1</v>
          </cell>
          <cell r="P653">
            <v>1</v>
          </cell>
          <cell r="Q653">
            <v>1</v>
          </cell>
          <cell r="R653">
            <v>3</v>
          </cell>
          <cell r="S653" t="str">
            <v>none</v>
          </cell>
          <cell r="T653">
            <v>0</v>
          </cell>
          <cell r="U653" t="str">
            <v>NULL</v>
          </cell>
          <cell r="V653" t="str">
            <v>NULL</v>
          </cell>
          <cell r="W653" t="str">
            <v/>
          </cell>
          <cell r="X653">
            <v>0</v>
          </cell>
          <cell r="Y653">
            <v>0</v>
          </cell>
          <cell r="Z653">
            <v>0</v>
          </cell>
          <cell r="AA653">
            <v>0</v>
          </cell>
          <cell r="AB653" t="str">
            <v>anytime</v>
          </cell>
          <cell r="AC653">
            <v>25</v>
          </cell>
          <cell r="AD653">
            <v>6</v>
          </cell>
          <cell r="AE653" t="str">
            <v>everyone</v>
          </cell>
        </row>
        <row r="654">
          <cell r="A654" t="str">
            <v>30047_3</v>
          </cell>
          <cell r="B654">
            <v>3</v>
          </cell>
          <cell r="C654">
            <v>30047</v>
          </cell>
          <cell r="D654" t="str">
            <v>終末の旋律</v>
          </cell>
          <cell r="E654" t="str">
            <v>北欧シリーズ第三弾　超級</v>
          </cell>
          <cell r="F654">
            <v>3</v>
          </cell>
          <cell r="G654" t="str">
            <v>ja</v>
          </cell>
          <cell r="H654" t="str">
            <v>【超級】終末の旋律</v>
          </cell>
          <cell r="I654" t="str">
            <v>超級</v>
          </cell>
          <cell r="J654">
            <v>1253</v>
          </cell>
          <cell r="K654">
            <v>30</v>
          </cell>
          <cell r="L654">
            <v>3300</v>
          </cell>
          <cell r="M654">
            <v>1</v>
          </cell>
          <cell r="N654">
            <v>1</v>
          </cell>
          <cell r="O654">
            <v>1</v>
          </cell>
          <cell r="P654">
            <v>1</v>
          </cell>
          <cell r="Q654">
            <v>1</v>
          </cell>
          <cell r="R654">
            <v>3</v>
          </cell>
          <cell r="S654" t="str">
            <v>polygon</v>
          </cell>
          <cell r="T654">
            <v>1</v>
          </cell>
          <cell r="U654" t="str">
            <v>NULL</v>
          </cell>
          <cell r="V654" t="str">
            <v>NULL</v>
          </cell>
          <cell r="W654" t="str">
            <v/>
          </cell>
          <cell r="X654">
            <v>0</v>
          </cell>
          <cell r="Y654">
            <v>0</v>
          </cell>
          <cell r="Z654">
            <v>0</v>
          </cell>
          <cell r="AA654">
            <v>0</v>
          </cell>
          <cell r="AB654" t="str">
            <v>anytime</v>
          </cell>
          <cell r="AC654">
            <v>25</v>
          </cell>
          <cell r="AD654">
            <v>6</v>
          </cell>
          <cell r="AE654" t="str">
            <v>everyone</v>
          </cell>
        </row>
        <row r="655">
          <cell r="A655" t="str">
            <v>30048_1</v>
          </cell>
          <cell r="B655">
            <v>3</v>
          </cell>
          <cell r="C655">
            <v>30048</v>
          </cell>
          <cell r="D655" t="str">
            <v>惑乱の双神使！？</v>
          </cell>
          <cell r="E655" t="str">
            <v>日本神話シリーズ　超級</v>
          </cell>
          <cell r="F655">
            <v>1</v>
          </cell>
          <cell r="G655" t="str">
            <v>ja</v>
          </cell>
          <cell r="H655" t="str">
            <v>【中級】惑乱の双神使！？</v>
          </cell>
          <cell r="I655" t="str">
            <v>中級</v>
          </cell>
          <cell r="J655">
            <v>1325</v>
          </cell>
          <cell r="K655">
            <v>15</v>
          </cell>
          <cell r="L655">
            <v>1200</v>
          </cell>
          <cell r="M655">
            <v>1</v>
          </cell>
          <cell r="N655">
            <v>1</v>
          </cell>
          <cell r="O655">
            <v>1</v>
          </cell>
          <cell r="P655">
            <v>1</v>
          </cell>
          <cell r="Q655">
            <v>1</v>
          </cell>
          <cell r="R655">
            <v>3</v>
          </cell>
          <cell r="S655" t="str">
            <v>none</v>
          </cell>
          <cell r="T655">
            <v>0</v>
          </cell>
          <cell r="U655" t="str">
            <v>NULL</v>
          </cell>
          <cell r="V655" t="str">
            <v>NULL</v>
          </cell>
          <cell r="W655" t="str">
            <v/>
          </cell>
          <cell r="X655">
            <v>0</v>
          </cell>
          <cell r="Y655">
            <v>0</v>
          </cell>
          <cell r="Z655">
            <v>0</v>
          </cell>
          <cell r="AA655">
            <v>0</v>
          </cell>
          <cell r="AB655" t="str">
            <v>anytime</v>
          </cell>
          <cell r="AC655">
            <v>2</v>
          </cell>
          <cell r="AD655">
            <v>6</v>
          </cell>
          <cell r="AE655" t="str">
            <v>everyone</v>
          </cell>
        </row>
        <row r="656">
          <cell r="A656" t="str">
            <v>30048_2</v>
          </cell>
          <cell r="B656">
            <v>3</v>
          </cell>
          <cell r="C656">
            <v>30048</v>
          </cell>
          <cell r="D656" t="str">
            <v>惑乱の双神使！？</v>
          </cell>
          <cell r="E656" t="str">
            <v>日本神話シリーズ　超級</v>
          </cell>
          <cell r="F656">
            <v>2</v>
          </cell>
          <cell r="G656" t="str">
            <v>ja</v>
          </cell>
          <cell r="H656" t="str">
            <v>【上級】惑乱の双神使！？</v>
          </cell>
          <cell r="I656" t="str">
            <v>上級</v>
          </cell>
          <cell r="J656">
            <v>1325</v>
          </cell>
          <cell r="K656">
            <v>20</v>
          </cell>
          <cell r="L656">
            <v>2000</v>
          </cell>
          <cell r="M656">
            <v>1</v>
          </cell>
          <cell r="N656">
            <v>1</v>
          </cell>
          <cell r="O656">
            <v>1</v>
          </cell>
          <cell r="P656">
            <v>1</v>
          </cell>
          <cell r="Q656">
            <v>1</v>
          </cell>
          <cell r="R656">
            <v>3</v>
          </cell>
          <cell r="S656" t="str">
            <v>none</v>
          </cell>
          <cell r="T656">
            <v>0</v>
          </cell>
          <cell r="U656" t="str">
            <v>NULL</v>
          </cell>
          <cell r="V656" t="str">
            <v>NULL</v>
          </cell>
          <cell r="W656" t="str">
            <v/>
          </cell>
          <cell r="X656">
            <v>0</v>
          </cell>
          <cell r="Y656">
            <v>0</v>
          </cell>
          <cell r="Z656">
            <v>0</v>
          </cell>
          <cell r="AA656">
            <v>0</v>
          </cell>
          <cell r="AB656" t="str">
            <v>anytime</v>
          </cell>
          <cell r="AC656">
            <v>2</v>
          </cell>
          <cell r="AD656">
            <v>6</v>
          </cell>
          <cell r="AE656" t="str">
            <v>everyone</v>
          </cell>
        </row>
        <row r="657">
          <cell r="A657" t="str">
            <v>30048_3</v>
          </cell>
          <cell r="B657">
            <v>3</v>
          </cell>
          <cell r="C657">
            <v>30048</v>
          </cell>
          <cell r="D657" t="str">
            <v>惑乱の双神使！？</v>
          </cell>
          <cell r="E657" t="str">
            <v>日本神話シリーズ　超級</v>
          </cell>
          <cell r="F657">
            <v>3</v>
          </cell>
          <cell r="G657" t="str">
            <v>ja</v>
          </cell>
          <cell r="H657" t="str">
            <v>【超級】惑乱の双神使！？</v>
          </cell>
          <cell r="I657" t="str">
            <v>超級</v>
          </cell>
          <cell r="J657">
            <v>1325</v>
          </cell>
          <cell r="K657">
            <v>30</v>
          </cell>
          <cell r="L657">
            <v>3300</v>
          </cell>
          <cell r="M657">
            <v>1</v>
          </cell>
          <cell r="N657">
            <v>1</v>
          </cell>
          <cell r="O657">
            <v>1</v>
          </cell>
          <cell r="P657">
            <v>1</v>
          </cell>
          <cell r="Q657">
            <v>1</v>
          </cell>
          <cell r="R657">
            <v>3</v>
          </cell>
          <cell r="S657" t="str">
            <v>polygon</v>
          </cell>
          <cell r="T657">
            <v>1</v>
          </cell>
          <cell r="U657" t="str">
            <v>NULL</v>
          </cell>
          <cell r="V657" t="str">
            <v>NULL</v>
          </cell>
          <cell r="W657" t="str">
            <v/>
          </cell>
          <cell r="X657">
            <v>0</v>
          </cell>
          <cell r="Y657">
            <v>0</v>
          </cell>
          <cell r="Z657">
            <v>0</v>
          </cell>
          <cell r="AA657">
            <v>0</v>
          </cell>
          <cell r="AB657" t="str">
            <v>anytime</v>
          </cell>
          <cell r="AC657">
            <v>2</v>
          </cell>
          <cell r="AD657">
            <v>6</v>
          </cell>
          <cell r="AE657" t="str">
            <v>everyone</v>
          </cell>
        </row>
        <row r="658">
          <cell r="A658" t="str">
            <v>39001_1</v>
          </cell>
          <cell r="B658">
            <v>3</v>
          </cell>
          <cell r="C658">
            <v>39001</v>
          </cell>
          <cell r="D658" t="str">
            <v>雪の歌姫</v>
          </cell>
          <cell r="E658" t="str">
            <v>コラボクエスト</v>
          </cell>
          <cell r="F658">
            <v>1</v>
          </cell>
          <cell r="G658" t="str">
            <v>ja</v>
          </cell>
          <cell r="H658" t="str">
            <v>【初級】雪の歌姫</v>
          </cell>
          <cell r="I658" t="str">
            <v>初級</v>
          </cell>
          <cell r="J658">
            <v>525</v>
          </cell>
          <cell r="K658">
            <v>8</v>
          </cell>
          <cell r="L658">
            <v>384</v>
          </cell>
          <cell r="M658">
            <v>1</v>
          </cell>
          <cell r="N658">
            <v>1</v>
          </cell>
          <cell r="O658">
            <v>1</v>
          </cell>
          <cell r="P658">
            <v>1</v>
          </cell>
          <cell r="Q658">
            <v>1</v>
          </cell>
          <cell r="R658">
            <v>3</v>
          </cell>
          <cell r="S658" t="str">
            <v>none</v>
          </cell>
          <cell r="T658">
            <v>0</v>
          </cell>
          <cell r="U658" t="str">
            <v>NULL</v>
          </cell>
          <cell r="V658" t="str">
            <v>NULL</v>
          </cell>
          <cell r="W658" t="str">
            <v/>
          </cell>
          <cell r="X658">
            <v>0</v>
          </cell>
          <cell r="Y658">
            <v>0</v>
          </cell>
          <cell r="Z658">
            <v>0</v>
          </cell>
          <cell r="AA658">
            <v>0</v>
          </cell>
          <cell r="AB658" t="str">
            <v>anytime</v>
          </cell>
          <cell r="AC658">
            <v>909</v>
          </cell>
          <cell r="AD658">
            <v>6</v>
          </cell>
          <cell r="AE658" t="str">
            <v>everyone</v>
          </cell>
        </row>
        <row r="659">
          <cell r="A659" t="str">
            <v>39001_2</v>
          </cell>
          <cell r="B659">
            <v>3</v>
          </cell>
          <cell r="C659">
            <v>39001</v>
          </cell>
          <cell r="D659" t="str">
            <v>雪の歌姫</v>
          </cell>
          <cell r="E659" t="str">
            <v>コラボクエスト</v>
          </cell>
          <cell r="F659">
            <v>2</v>
          </cell>
          <cell r="G659" t="str">
            <v>ja</v>
          </cell>
          <cell r="H659" t="str">
            <v>【中級】雪の歌姫</v>
          </cell>
          <cell r="I659" t="str">
            <v>中級</v>
          </cell>
          <cell r="J659">
            <v>525</v>
          </cell>
          <cell r="K659">
            <v>15</v>
          </cell>
          <cell r="L659">
            <v>1200</v>
          </cell>
          <cell r="M659">
            <v>1</v>
          </cell>
          <cell r="N659">
            <v>1</v>
          </cell>
          <cell r="O659">
            <v>1</v>
          </cell>
          <cell r="P659">
            <v>1</v>
          </cell>
          <cell r="Q659">
            <v>1</v>
          </cell>
          <cell r="R659">
            <v>3</v>
          </cell>
          <cell r="S659" t="str">
            <v>none</v>
          </cell>
          <cell r="T659">
            <v>0</v>
          </cell>
          <cell r="U659" t="str">
            <v>NULL</v>
          </cell>
          <cell r="V659" t="str">
            <v>NULL</v>
          </cell>
          <cell r="W659" t="str">
            <v/>
          </cell>
          <cell r="X659">
            <v>0</v>
          </cell>
          <cell r="Y659">
            <v>0</v>
          </cell>
          <cell r="Z659">
            <v>0</v>
          </cell>
          <cell r="AA659">
            <v>0</v>
          </cell>
          <cell r="AB659" t="str">
            <v>anytime</v>
          </cell>
          <cell r="AC659">
            <v>909</v>
          </cell>
          <cell r="AD659">
            <v>6</v>
          </cell>
          <cell r="AE659" t="str">
            <v>everyone</v>
          </cell>
        </row>
        <row r="660">
          <cell r="A660" t="str">
            <v>39001_3</v>
          </cell>
          <cell r="B660">
            <v>3</v>
          </cell>
          <cell r="C660">
            <v>39001</v>
          </cell>
          <cell r="D660" t="str">
            <v>雪の歌姫</v>
          </cell>
          <cell r="E660" t="str">
            <v>コラボクエスト</v>
          </cell>
          <cell r="F660">
            <v>3</v>
          </cell>
          <cell r="G660" t="str">
            <v>ja</v>
          </cell>
          <cell r="H660" t="str">
            <v>【上級】雪の歌姫</v>
          </cell>
          <cell r="I660" t="str">
            <v>上級</v>
          </cell>
          <cell r="J660">
            <v>525</v>
          </cell>
          <cell r="K660">
            <v>20</v>
          </cell>
          <cell r="L660">
            <v>2000</v>
          </cell>
          <cell r="M660">
            <v>1</v>
          </cell>
          <cell r="N660">
            <v>1</v>
          </cell>
          <cell r="O660">
            <v>1</v>
          </cell>
          <cell r="P660">
            <v>1</v>
          </cell>
          <cell r="Q660">
            <v>1</v>
          </cell>
          <cell r="R660">
            <v>3</v>
          </cell>
          <cell r="S660" t="str">
            <v>none</v>
          </cell>
          <cell r="T660">
            <v>0</v>
          </cell>
          <cell r="U660" t="str">
            <v>NULL</v>
          </cell>
          <cell r="V660" t="str">
            <v>NULL</v>
          </cell>
          <cell r="W660" t="str">
            <v/>
          </cell>
          <cell r="X660">
            <v>0</v>
          </cell>
          <cell r="Y660">
            <v>0</v>
          </cell>
          <cell r="Z660">
            <v>0</v>
          </cell>
          <cell r="AA660">
            <v>0</v>
          </cell>
          <cell r="AB660" t="str">
            <v>anytime</v>
          </cell>
          <cell r="AC660">
            <v>909</v>
          </cell>
          <cell r="AD660">
            <v>6</v>
          </cell>
          <cell r="AE660" t="str">
            <v>everyone</v>
          </cell>
        </row>
        <row r="661">
          <cell r="A661" t="str">
            <v>39001_4</v>
          </cell>
          <cell r="B661">
            <v>3</v>
          </cell>
          <cell r="C661">
            <v>39001</v>
          </cell>
          <cell r="D661" t="str">
            <v>雪の歌姫</v>
          </cell>
          <cell r="E661" t="str">
            <v>コラボクエスト</v>
          </cell>
          <cell r="F661">
            <v>4</v>
          </cell>
          <cell r="G661" t="str">
            <v>ja</v>
          </cell>
          <cell r="H661" t="str">
            <v>【超級】雪の歌姫</v>
          </cell>
          <cell r="I661" t="str">
            <v>超級</v>
          </cell>
          <cell r="J661">
            <v>526</v>
          </cell>
          <cell r="K661">
            <v>30</v>
          </cell>
          <cell r="L661">
            <v>3300</v>
          </cell>
          <cell r="M661">
            <v>1</v>
          </cell>
          <cell r="N661">
            <v>1</v>
          </cell>
          <cell r="O661">
            <v>1</v>
          </cell>
          <cell r="P661">
            <v>1</v>
          </cell>
          <cell r="Q661">
            <v>1</v>
          </cell>
          <cell r="R661">
            <v>3</v>
          </cell>
          <cell r="S661" t="str">
            <v>none</v>
          </cell>
          <cell r="T661">
            <v>0</v>
          </cell>
          <cell r="U661" t="str">
            <v>NULL</v>
          </cell>
          <cell r="V661" t="str">
            <v>NULL</v>
          </cell>
          <cell r="W661" t="str">
            <v/>
          </cell>
          <cell r="X661">
            <v>0</v>
          </cell>
          <cell r="Y661">
            <v>0</v>
          </cell>
          <cell r="Z661">
            <v>0</v>
          </cell>
          <cell r="AA661">
            <v>0</v>
          </cell>
          <cell r="AB661" t="str">
            <v>anytime</v>
          </cell>
          <cell r="AC661">
            <v>909</v>
          </cell>
          <cell r="AD661">
            <v>6</v>
          </cell>
          <cell r="AE661" t="str">
            <v>everyone</v>
          </cell>
        </row>
        <row r="662">
          <cell r="A662" t="str">
            <v>39001_5</v>
          </cell>
          <cell r="B662">
            <v>3</v>
          </cell>
          <cell r="C662">
            <v>39001</v>
          </cell>
          <cell r="D662" t="str">
            <v>雪の歌姫</v>
          </cell>
          <cell r="E662" t="str">
            <v>コラボクエスト</v>
          </cell>
          <cell r="F662">
            <v>5</v>
          </cell>
          <cell r="G662" t="str">
            <v>ja</v>
          </cell>
          <cell r="H662" t="str">
            <v>【超絶級】雪の歌姫</v>
          </cell>
          <cell r="I662" t="str">
            <v>超絶級</v>
          </cell>
          <cell r="J662">
            <v>526</v>
          </cell>
          <cell r="K662">
            <v>35</v>
          </cell>
          <cell r="L662">
            <v>4200</v>
          </cell>
          <cell r="M662">
            <v>1</v>
          </cell>
          <cell r="N662">
            <v>1</v>
          </cell>
          <cell r="O662">
            <v>1</v>
          </cell>
          <cell r="P662">
            <v>1</v>
          </cell>
          <cell r="Q662">
            <v>1</v>
          </cell>
          <cell r="R662">
            <v>3</v>
          </cell>
          <cell r="S662" t="str">
            <v>polygon</v>
          </cell>
          <cell r="T662">
            <v>1</v>
          </cell>
          <cell r="U662" t="str">
            <v>NULL</v>
          </cell>
          <cell r="V662" t="str">
            <v>NULL</v>
          </cell>
          <cell r="W662" t="str">
            <v/>
          </cell>
          <cell r="X662">
            <v>0</v>
          </cell>
          <cell r="Y662">
            <v>0</v>
          </cell>
          <cell r="Z662">
            <v>0</v>
          </cell>
          <cell r="AA662">
            <v>0</v>
          </cell>
          <cell r="AB662" t="str">
            <v>anytime</v>
          </cell>
          <cell r="AC662">
            <v>909</v>
          </cell>
          <cell r="AD662">
            <v>6</v>
          </cell>
          <cell r="AE662" t="str">
            <v>everyone</v>
          </cell>
        </row>
        <row r="663">
          <cell r="A663" t="str">
            <v>39002_1</v>
          </cell>
          <cell r="B663">
            <v>3</v>
          </cell>
          <cell r="C663">
            <v>39002</v>
          </cell>
          <cell r="D663" t="str">
            <v>黄巾賊の暴走を止めろ！</v>
          </cell>
          <cell r="E663" t="str">
            <v>コラボクエスト</v>
          </cell>
          <cell r="F663">
            <v>1</v>
          </cell>
          <cell r="G663" t="str">
            <v>ja</v>
          </cell>
          <cell r="H663" t="str">
            <v>【初級】黄巾賊の暴走を止めろ</v>
          </cell>
          <cell r="I663" t="str">
            <v>初級</v>
          </cell>
          <cell r="J663">
            <v>694</v>
          </cell>
          <cell r="K663">
            <v>8</v>
          </cell>
          <cell r="L663">
            <v>384</v>
          </cell>
          <cell r="M663">
            <v>1</v>
          </cell>
          <cell r="N663">
            <v>1</v>
          </cell>
          <cell r="O663">
            <v>1</v>
          </cell>
          <cell r="P663">
            <v>1</v>
          </cell>
          <cell r="Q663">
            <v>1</v>
          </cell>
          <cell r="R663">
            <v>3</v>
          </cell>
          <cell r="S663" t="str">
            <v>none</v>
          </cell>
          <cell r="T663">
            <v>0</v>
          </cell>
          <cell r="U663" t="str">
            <v>NULL</v>
          </cell>
          <cell r="V663" t="str">
            <v>NULL</v>
          </cell>
          <cell r="W663" t="str">
            <v/>
          </cell>
          <cell r="X663">
            <v>0</v>
          </cell>
          <cell r="Y663">
            <v>0</v>
          </cell>
          <cell r="Z663">
            <v>0</v>
          </cell>
          <cell r="AA663">
            <v>0</v>
          </cell>
          <cell r="AB663" t="str">
            <v>anytime</v>
          </cell>
          <cell r="AC663">
            <v>12</v>
          </cell>
          <cell r="AD663">
            <v>6</v>
          </cell>
          <cell r="AE663" t="str">
            <v>everyone</v>
          </cell>
        </row>
        <row r="664">
          <cell r="A664" t="str">
            <v>39002_2</v>
          </cell>
          <cell r="B664">
            <v>3</v>
          </cell>
          <cell r="C664">
            <v>39002</v>
          </cell>
          <cell r="D664" t="str">
            <v>黄巾賊の暴走を止めろ！</v>
          </cell>
          <cell r="E664" t="str">
            <v>コラボクエスト</v>
          </cell>
          <cell r="F664">
            <v>2</v>
          </cell>
          <cell r="G664" t="str">
            <v>ja</v>
          </cell>
          <cell r="H664" t="str">
            <v>【中級】黄巾賊の暴走を止めろ</v>
          </cell>
          <cell r="I664" t="str">
            <v>中級</v>
          </cell>
          <cell r="J664">
            <v>694</v>
          </cell>
          <cell r="K664">
            <v>15</v>
          </cell>
          <cell r="L664">
            <v>1200</v>
          </cell>
          <cell r="M664">
            <v>1</v>
          </cell>
          <cell r="N664">
            <v>1</v>
          </cell>
          <cell r="O664">
            <v>1</v>
          </cell>
          <cell r="P664">
            <v>1</v>
          </cell>
          <cell r="Q664">
            <v>1</v>
          </cell>
          <cell r="R664">
            <v>3</v>
          </cell>
          <cell r="S664" t="str">
            <v>none</v>
          </cell>
          <cell r="T664">
            <v>0</v>
          </cell>
          <cell r="U664" t="str">
            <v>NULL</v>
          </cell>
          <cell r="V664" t="str">
            <v>NULL</v>
          </cell>
          <cell r="W664" t="str">
            <v/>
          </cell>
          <cell r="X664">
            <v>0</v>
          </cell>
          <cell r="Y664">
            <v>0</v>
          </cell>
          <cell r="Z664">
            <v>0</v>
          </cell>
          <cell r="AA664">
            <v>0</v>
          </cell>
          <cell r="AB664" t="str">
            <v>anytime</v>
          </cell>
          <cell r="AC664">
            <v>12</v>
          </cell>
          <cell r="AD664">
            <v>6</v>
          </cell>
          <cell r="AE664" t="str">
            <v>everyone</v>
          </cell>
        </row>
        <row r="665">
          <cell r="A665" t="str">
            <v>39002_3</v>
          </cell>
          <cell r="B665">
            <v>3</v>
          </cell>
          <cell r="C665">
            <v>39002</v>
          </cell>
          <cell r="D665" t="str">
            <v>黄巾賊の暴走を止めろ！</v>
          </cell>
          <cell r="E665" t="str">
            <v>コラボクエスト</v>
          </cell>
          <cell r="F665">
            <v>3</v>
          </cell>
          <cell r="G665" t="str">
            <v>ja</v>
          </cell>
          <cell r="H665" t="str">
            <v>【上級】黄巾賊の暴走を止めろ</v>
          </cell>
          <cell r="I665" t="str">
            <v>上級</v>
          </cell>
          <cell r="J665">
            <v>694</v>
          </cell>
          <cell r="K665">
            <v>20</v>
          </cell>
          <cell r="L665">
            <v>2000</v>
          </cell>
          <cell r="M665">
            <v>1</v>
          </cell>
          <cell r="N665">
            <v>1</v>
          </cell>
          <cell r="O665">
            <v>1</v>
          </cell>
          <cell r="P665">
            <v>1</v>
          </cell>
          <cell r="Q665">
            <v>1</v>
          </cell>
          <cell r="R665">
            <v>3</v>
          </cell>
          <cell r="S665" t="str">
            <v>none</v>
          </cell>
          <cell r="T665">
            <v>0</v>
          </cell>
          <cell r="U665" t="str">
            <v>NULL</v>
          </cell>
          <cell r="V665" t="str">
            <v>NULL</v>
          </cell>
          <cell r="W665" t="str">
            <v/>
          </cell>
          <cell r="X665">
            <v>0</v>
          </cell>
          <cell r="Y665">
            <v>0</v>
          </cell>
          <cell r="Z665">
            <v>0</v>
          </cell>
          <cell r="AA665">
            <v>0</v>
          </cell>
          <cell r="AB665" t="str">
            <v>anytime</v>
          </cell>
          <cell r="AC665">
            <v>12</v>
          </cell>
          <cell r="AD665">
            <v>6</v>
          </cell>
          <cell r="AE665" t="str">
            <v>everyone</v>
          </cell>
        </row>
        <row r="666">
          <cell r="A666" t="str">
            <v>39002_4</v>
          </cell>
          <cell r="B666">
            <v>3</v>
          </cell>
          <cell r="C666">
            <v>39002</v>
          </cell>
          <cell r="D666" t="str">
            <v>黄巾賊の暴走を止めろ！</v>
          </cell>
          <cell r="E666" t="str">
            <v>コラボクエスト</v>
          </cell>
          <cell r="F666">
            <v>4</v>
          </cell>
          <cell r="G666" t="str">
            <v>ja</v>
          </cell>
          <cell r="H666" t="str">
            <v>【超級】黄巾賊の暴走を止めろ</v>
          </cell>
          <cell r="I666" t="str">
            <v>超級</v>
          </cell>
          <cell r="J666">
            <v>694</v>
          </cell>
          <cell r="K666">
            <v>30</v>
          </cell>
          <cell r="L666">
            <v>3300</v>
          </cell>
          <cell r="M666">
            <v>1</v>
          </cell>
          <cell r="N666">
            <v>1</v>
          </cell>
          <cell r="O666">
            <v>1</v>
          </cell>
          <cell r="P666">
            <v>1</v>
          </cell>
          <cell r="Q666">
            <v>1</v>
          </cell>
          <cell r="R666">
            <v>3</v>
          </cell>
          <cell r="S666" t="str">
            <v>polygon</v>
          </cell>
          <cell r="T666">
            <v>1</v>
          </cell>
          <cell r="U666" t="str">
            <v>NULL</v>
          </cell>
          <cell r="V666" t="str">
            <v>NULL</v>
          </cell>
          <cell r="W666" t="str">
            <v/>
          </cell>
          <cell r="X666">
            <v>0</v>
          </cell>
          <cell r="Y666">
            <v>0</v>
          </cell>
          <cell r="Z666">
            <v>0</v>
          </cell>
          <cell r="AA666">
            <v>0</v>
          </cell>
          <cell r="AB666" t="str">
            <v>anytime</v>
          </cell>
          <cell r="AC666">
            <v>12</v>
          </cell>
          <cell r="AD666">
            <v>6</v>
          </cell>
          <cell r="AE666" t="str">
            <v>everyone</v>
          </cell>
        </row>
        <row r="667">
          <cell r="A667" t="str">
            <v>39003_1</v>
          </cell>
          <cell r="B667">
            <v>3</v>
          </cell>
          <cell r="C667">
            <v>39003</v>
          </cell>
          <cell r="D667" t="str">
            <v>ブルースクウェアを追え！</v>
          </cell>
          <cell r="E667" t="str">
            <v>コラボクエスト</v>
          </cell>
          <cell r="F667">
            <v>1</v>
          </cell>
          <cell r="G667" t="str">
            <v>ja</v>
          </cell>
          <cell r="H667" t="str">
            <v>【初級】ブルースクウェアを追え！</v>
          </cell>
          <cell r="I667" t="str">
            <v>初級</v>
          </cell>
          <cell r="J667">
            <v>691</v>
          </cell>
          <cell r="K667">
            <v>8</v>
          </cell>
          <cell r="L667">
            <v>384</v>
          </cell>
          <cell r="M667">
            <v>1</v>
          </cell>
          <cell r="N667">
            <v>1</v>
          </cell>
          <cell r="O667">
            <v>1</v>
          </cell>
          <cell r="P667">
            <v>1</v>
          </cell>
          <cell r="Q667">
            <v>1</v>
          </cell>
          <cell r="R667">
            <v>3</v>
          </cell>
          <cell r="S667" t="str">
            <v>none</v>
          </cell>
          <cell r="T667">
            <v>0</v>
          </cell>
          <cell r="U667" t="str">
            <v>NULL</v>
          </cell>
          <cell r="V667" t="str">
            <v>NULL</v>
          </cell>
          <cell r="W667" t="str">
            <v/>
          </cell>
          <cell r="X667">
            <v>0</v>
          </cell>
          <cell r="Y667">
            <v>0</v>
          </cell>
          <cell r="Z667">
            <v>0</v>
          </cell>
          <cell r="AA667">
            <v>0</v>
          </cell>
          <cell r="AB667" t="str">
            <v>anytime</v>
          </cell>
          <cell r="AC667">
            <v>14</v>
          </cell>
          <cell r="AD667">
            <v>6</v>
          </cell>
          <cell r="AE667" t="str">
            <v>everyone</v>
          </cell>
        </row>
        <row r="668">
          <cell r="A668" t="str">
            <v>39003_2</v>
          </cell>
          <cell r="B668">
            <v>3</v>
          </cell>
          <cell r="C668">
            <v>39003</v>
          </cell>
          <cell r="D668" t="str">
            <v>ブルースクウェアを追え！</v>
          </cell>
          <cell r="E668" t="str">
            <v>コラボクエスト</v>
          </cell>
          <cell r="F668">
            <v>2</v>
          </cell>
          <cell r="G668" t="str">
            <v>ja</v>
          </cell>
          <cell r="H668" t="str">
            <v>【中級】ブルースクウェアを追え！</v>
          </cell>
          <cell r="I668" t="str">
            <v>中級</v>
          </cell>
          <cell r="J668">
            <v>691</v>
          </cell>
          <cell r="K668">
            <v>15</v>
          </cell>
          <cell r="L668">
            <v>1200</v>
          </cell>
          <cell r="M668">
            <v>1</v>
          </cell>
          <cell r="N668">
            <v>1</v>
          </cell>
          <cell r="O668">
            <v>1</v>
          </cell>
          <cell r="P668">
            <v>1</v>
          </cell>
          <cell r="Q668">
            <v>1</v>
          </cell>
          <cell r="R668">
            <v>3</v>
          </cell>
          <cell r="S668" t="str">
            <v>none</v>
          </cell>
          <cell r="T668">
            <v>0</v>
          </cell>
          <cell r="U668" t="str">
            <v>NULL</v>
          </cell>
          <cell r="V668" t="str">
            <v>NULL</v>
          </cell>
          <cell r="W668" t="str">
            <v/>
          </cell>
          <cell r="X668">
            <v>0</v>
          </cell>
          <cell r="Y668">
            <v>0</v>
          </cell>
          <cell r="Z668">
            <v>0</v>
          </cell>
          <cell r="AA668">
            <v>0</v>
          </cell>
          <cell r="AB668" t="str">
            <v>anytime</v>
          </cell>
          <cell r="AC668">
            <v>14</v>
          </cell>
          <cell r="AD668">
            <v>6</v>
          </cell>
          <cell r="AE668" t="str">
            <v>everyone</v>
          </cell>
        </row>
        <row r="669">
          <cell r="A669" t="str">
            <v>39003_3</v>
          </cell>
          <cell r="B669">
            <v>3</v>
          </cell>
          <cell r="C669">
            <v>39003</v>
          </cell>
          <cell r="D669" t="str">
            <v>ブルースクウェアを追え！</v>
          </cell>
          <cell r="E669" t="str">
            <v>コラボクエスト</v>
          </cell>
          <cell r="F669">
            <v>3</v>
          </cell>
          <cell r="G669" t="str">
            <v>ja</v>
          </cell>
          <cell r="H669" t="str">
            <v>【上級】ブルースクウェアを追え！</v>
          </cell>
          <cell r="I669" t="str">
            <v>上級</v>
          </cell>
          <cell r="J669">
            <v>691</v>
          </cell>
          <cell r="K669">
            <v>20</v>
          </cell>
          <cell r="L669">
            <v>2000</v>
          </cell>
          <cell r="M669">
            <v>1</v>
          </cell>
          <cell r="N669">
            <v>1</v>
          </cell>
          <cell r="O669">
            <v>1</v>
          </cell>
          <cell r="P669">
            <v>1</v>
          </cell>
          <cell r="Q669">
            <v>1</v>
          </cell>
          <cell r="R669">
            <v>3</v>
          </cell>
          <cell r="S669" t="str">
            <v>none</v>
          </cell>
          <cell r="T669">
            <v>0</v>
          </cell>
          <cell r="U669" t="str">
            <v>NULL</v>
          </cell>
          <cell r="V669" t="str">
            <v>NULL</v>
          </cell>
          <cell r="W669" t="str">
            <v/>
          </cell>
          <cell r="X669">
            <v>0</v>
          </cell>
          <cell r="Y669">
            <v>0</v>
          </cell>
          <cell r="Z669">
            <v>0</v>
          </cell>
          <cell r="AA669">
            <v>0</v>
          </cell>
          <cell r="AB669" t="str">
            <v>anytime</v>
          </cell>
          <cell r="AC669">
            <v>14</v>
          </cell>
          <cell r="AD669">
            <v>6</v>
          </cell>
          <cell r="AE669" t="str">
            <v>everyone</v>
          </cell>
        </row>
        <row r="670">
          <cell r="A670" t="str">
            <v>39003_4</v>
          </cell>
          <cell r="B670">
            <v>3</v>
          </cell>
          <cell r="C670">
            <v>39003</v>
          </cell>
          <cell r="D670" t="str">
            <v>ブルースクウェアを追え！</v>
          </cell>
          <cell r="E670" t="str">
            <v>コラボクエスト</v>
          </cell>
          <cell r="F670">
            <v>4</v>
          </cell>
          <cell r="G670" t="str">
            <v>ja</v>
          </cell>
          <cell r="H670" t="str">
            <v>【超級】ブルースクウェアを追え！</v>
          </cell>
          <cell r="I670" t="str">
            <v>超級</v>
          </cell>
          <cell r="J670">
            <v>691</v>
          </cell>
          <cell r="K670">
            <v>30</v>
          </cell>
          <cell r="L670">
            <v>3300</v>
          </cell>
          <cell r="M670">
            <v>1</v>
          </cell>
          <cell r="N670">
            <v>1</v>
          </cell>
          <cell r="O670">
            <v>1</v>
          </cell>
          <cell r="P670">
            <v>1</v>
          </cell>
          <cell r="Q670">
            <v>1</v>
          </cell>
          <cell r="R670">
            <v>3</v>
          </cell>
          <cell r="S670" t="str">
            <v>polygon</v>
          </cell>
          <cell r="T670">
            <v>1</v>
          </cell>
          <cell r="U670" t="str">
            <v>NULL</v>
          </cell>
          <cell r="V670" t="str">
            <v>NULL</v>
          </cell>
          <cell r="W670" t="str">
            <v/>
          </cell>
          <cell r="X670">
            <v>0</v>
          </cell>
          <cell r="Y670">
            <v>0</v>
          </cell>
          <cell r="Z670">
            <v>0</v>
          </cell>
          <cell r="AA670">
            <v>0</v>
          </cell>
          <cell r="AB670" t="str">
            <v>anytime</v>
          </cell>
          <cell r="AC670">
            <v>14</v>
          </cell>
          <cell r="AD670">
            <v>6</v>
          </cell>
          <cell r="AE670" t="str">
            <v>everyone</v>
          </cell>
        </row>
        <row r="671">
          <cell r="A671" t="str">
            <v>39004_1</v>
          </cell>
          <cell r="B671">
            <v>3</v>
          </cell>
          <cell r="C671">
            <v>39004</v>
          </cell>
          <cell r="D671" t="str">
            <v xml:space="preserve">ニムダのおきにいり♪ </v>
          </cell>
          <cell r="E671" t="str">
            <v>コラボクエスト</v>
          </cell>
          <cell r="F671">
            <v>1</v>
          </cell>
          <cell r="G671" t="str">
            <v>ja</v>
          </cell>
          <cell r="H671" t="str">
            <v xml:space="preserve">【初級】ニムダのおきにいり♪ </v>
          </cell>
          <cell r="I671" t="str">
            <v>初級</v>
          </cell>
          <cell r="J671">
            <v>902</v>
          </cell>
          <cell r="K671">
            <v>8</v>
          </cell>
          <cell r="L671">
            <v>384</v>
          </cell>
          <cell r="M671">
            <v>1</v>
          </cell>
          <cell r="N671">
            <v>1</v>
          </cell>
          <cell r="O671">
            <v>1</v>
          </cell>
          <cell r="P671">
            <v>1</v>
          </cell>
          <cell r="Q671">
            <v>1</v>
          </cell>
          <cell r="R671">
            <v>3</v>
          </cell>
          <cell r="S671" t="str">
            <v>none</v>
          </cell>
          <cell r="T671">
            <v>0</v>
          </cell>
          <cell r="U671" t="str">
            <v>NULL</v>
          </cell>
          <cell r="V671" t="str">
            <v>NULL</v>
          </cell>
          <cell r="W671" t="str">
            <v/>
          </cell>
          <cell r="X671">
            <v>0</v>
          </cell>
          <cell r="Y671">
            <v>0</v>
          </cell>
          <cell r="Z671">
            <v>0</v>
          </cell>
          <cell r="AA671">
            <v>0</v>
          </cell>
          <cell r="AB671" t="str">
            <v>anytime</v>
          </cell>
          <cell r="AC671">
            <v>933</v>
          </cell>
          <cell r="AD671">
            <v>6</v>
          </cell>
          <cell r="AE671" t="str">
            <v>everyone</v>
          </cell>
        </row>
        <row r="672">
          <cell r="A672" t="str">
            <v>39004_2</v>
          </cell>
          <cell r="B672">
            <v>3</v>
          </cell>
          <cell r="C672">
            <v>39004</v>
          </cell>
          <cell r="D672" t="str">
            <v xml:space="preserve">ニムダのおきにいり♪ </v>
          </cell>
          <cell r="E672" t="str">
            <v>コラボクエスト</v>
          </cell>
          <cell r="F672">
            <v>2</v>
          </cell>
          <cell r="G672" t="str">
            <v>ja</v>
          </cell>
          <cell r="H672" t="str">
            <v xml:space="preserve">【中級】ニムダのおきにいり♪ </v>
          </cell>
          <cell r="I672" t="str">
            <v>中級</v>
          </cell>
          <cell r="J672">
            <v>902</v>
          </cell>
          <cell r="K672">
            <v>15</v>
          </cell>
          <cell r="L672">
            <v>1200</v>
          </cell>
          <cell r="M672">
            <v>1</v>
          </cell>
          <cell r="N672">
            <v>1</v>
          </cell>
          <cell r="O672">
            <v>1</v>
          </cell>
          <cell r="P672">
            <v>1</v>
          </cell>
          <cell r="Q672">
            <v>1</v>
          </cell>
          <cell r="R672">
            <v>3</v>
          </cell>
          <cell r="S672" t="str">
            <v>none</v>
          </cell>
          <cell r="T672">
            <v>0</v>
          </cell>
          <cell r="U672" t="str">
            <v>NULL</v>
          </cell>
          <cell r="V672" t="str">
            <v>NULL</v>
          </cell>
          <cell r="W672" t="str">
            <v/>
          </cell>
          <cell r="X672">
            <v>0</v>
          </cell>
          <cell r="Y672">
            <v>0</v>
          </cell>
          <cell r="Z672">
            <v>0</v>
          </cell>
          <cell r="AA672">
            <v>0</v>
          </cell>
          <cell r="AB672" t="str">
            <v>anytime</v>
          </cell>
          <cell r="AC672">
            <v>933</v>
          </cell>
          <cell r="AD672">
            <v>6</v>
          </cell>
          <cell r="AE672" t="str">
            <v>everyone</v>
          </cell>
        </row>
        <row r="673">
          <cell r="A673" t="str">
            <v>39004_3</v>
          </cell>
          <cell r="B673">
            <v>3</v>
          </cell>
          <cell r="C673">
            <v>39004</v>
          </cell>
          <cell r="D673" t="str">
            <v xml:space="preserve">ニムダのおきにいり♪ </v>
          </cell>
          <cell r="E673" t="str">
            <v>コラボクエスト</v>
          </cell>
          <cell r="F673">
            <v>3</v>
          </cell>
          <cell r="G673" t="str">
            <v>ja</v>
          </cell>
          <cell r="H673" t="str">
            <v xml:space="preserve">【上級】ニムダのおきにいり♪ </v>
          </cell>
          <cell r="I673" t="str">
            <v>上級</v>
          </cell>
          <cell r="J673">
            <v>902</v>
          </cell>
          <cell r="K673">
            <v>20</v>
          </cell>
          <cell r="L673">
            <v>2000</v>
          </cell>
          <cell r="M673">
            <v>1</v>
          </cell>
          <cell r="N673">
            <v>1</v>
          </cell>
          <cell r="O673">
            <v>1</v>
          </cell>
          <cell r="P673">
            <v>1</v>
          </cell>
          <cell r="Q673">
            <v>1</v>
          </cell>
          <cell r="R673">
            <v>3</v>
          </cell>
          <cell r="S673" t="str">
            <v>none</v>
          </cell>
          <cell r="T673">
            <v>0</v>
          </cell>
          <cell r="U673" t="str">
            <v>NULL</v>
          </cell>
          <cell r="V673" t="str">
            <v>NULL</v>
          </cell>
          <cell r="W673" t="str">
            <v/>
          </cell>
          <cell r="X673">
            <v>0</v>
          </cell>
          <cell r="Y673">
            <v>0</v>
          </cell>
          <cell r="Z673">
            <v>0</v>
          </cell>
          <cell r="AA673">
            <v>0</v>
          </cell>
          <cell r="AB673" t="str">
            <v>anytime</v>
          </cell>
          <cell r="AC673">
            <v>933</v>
          </cell>
          <cell r="AD673">
            <v>6</v>
          </cell>
          <cell r="AE673" t="str">
            <v>everyone</v>
          </cell>
        </row>
        <row r="674">
          <cell r="A674" t="str">
            <v>39004_4</v>
          </cell>
          <cell r="B674">
            <v>3</v>
          </cell>
          <cell r="C674">
            <v>39004</v>
          </cell>
          <cell r="D674" t="str">
            <v xml:space="preserve">ニムダのおきにいり♪ </v>
          </cell>
          <cell r="E674" t="str">
            <v>コラボクエスト</v>
          </cell>
          <cell r="F674">
            <v>4</v>
          </cell>
          <cell r="G674" t="str">
            <v>ja</v>
          </cell>
          <cell r="H674" t="str">
            <v xml:space="preserve">【超級】ニムダのおきにいり♪ </v>
          </cell>
          <cell r="I674" t="str">
            <v>超級</v>
          </cell>
          <cell r="J674">
            <v>902</v>
          </cell>
          <cell r="K674">
            <v>30</v>
          </cell>
          <cell r="L674">
            <v>3300</v>
          </cell>
          <cell r="M674">
            <v>1</v>
          </cell>
          <cell r="N674">
            <v>1</v>
          </cell>
          <cell r="O674">
            <v>1</v>
          </cell>
          <cell r="P674">
            <v>1</v>
          </cell>
          <cell r="Q674">
            <v>1</v>
          </cell>
          <cell r="R674">
            <v>3</v>
          </cell>
          <cell r="S674" t="str">
            <v>polygon</v>
          </cell>
          <cell r="T674">
            <v>1</v>
          </cell>
          <cell r="U674" t="str">
            <v>NULL</v>
          </cell>
          <cell r="V674" t="str">
            <v>NULL</v>
          </cell>
          <cell r="W674" t="str">
            <v/>
          </cell>
          <cell r="X674">
            <v>0</v>
          </cell>
          <cell r="Y674">
            <v>0</v>
          </cell>
          <cell r="Z674">
            <v>0</v>
          </cell>
          <cell r="AA674">
            <v>0</v>
          </cell>
          <cell r="AB674" t="str">
            <v>anytime</v>
          </cell>
          <cell r="AC674">
            <v>933</v>
          </cell>
          <cell r="AD674">
            <v>6</v>
          </cell>
          <cell r="AE674" t="str">
            <v>everyone</v>
          </cell>
        </row>
        <row r="675">
          <cell r="A675" t="str">
            <v>39005_1</v>
          </cell>
          <cell r="B675">
            <v>1</v>
          </cell>
          <cell r="C675">
            <v>39005</v>
          </cell>
          <cell r="D675" t="str">
            <v xml:space="preserve">ポ </v>
          </cell>
          <cell r="E675" t="str">
            <v>コラボクエスト</v>
          </cell>
          <cell r="F675">
            <v>1</v>
          </cell>
          <cell r="G675" t="str">
            <v>ja</v>
          </cell>
          <cell r="H675" t="str">
            <v>【初級】ポ</v>
          </cell>
          <cell r="I675" t="str">
            <v>初級</v>
          </cell>
          <cell r="J675">
            <v>8029</v>
          </cell>
          <cell r="K675">
            <v>8</v>
          </cell>
          <cell r="L675">
            <v>384</v>
          </cell>
          <cell r="M675">
            <v>1</v>
          </cell>
          <cell r="N675">
            <v>1</v>
          </cell>
          <cell r="O675">
            <v>1</v>
          </cell>
          <cell r="P675">
            <v>1</v>
          </cell>
          <cell r="Q675">
            <v>1</v>
          </cell>
          <cell r="R675">
            <v>3</v>
          </cell>
          <cell r="S675" t="str">
            <v>none</v>
          </cell>
          <cell r="T675">
            <v>0</v>
          </cell>
          <cell r="U675" t="str">
            <v>NULL</v>
          </cell>
          <cell r="V675" t="str">
            <v>NULL</v>
          </cell>
          <cell r="W675" t="str">
            <v/>
          </cell>
          <cell r="X675">
            <v>0</v>
          </cell>
          <cell r="Y675">
            <v>0</v>
          </cell>
          <cell r="Z675">
            <v>0</v>
          </cell>
          <cell r="AA675">
            <v>0</v>
          </cell>
          <cell r="AB675" t="str">
            <v>anytime</v>
          </cell>
          <cell r="AC675">
            <v>909</v>
          </cell>
          <cell r="AD675">
            <v>6</v>
          </cell>
          <cell r="AE675" t="str">
            <v>everyone</v>
          </cell>
        </row>
        <row r="676">
          <cell r="A676" t="str">
            <v>39005_2</v>
          </cell>
          <cell r="B676">
            <v>1</v>
          </cell>
          <cell r="C676">
            <v>39005</v>
          </cell>
          <cell r="D676" t="str">
            <v xml:space="preserve">ポ </v>
          </cell>
          <cell r="E676" t="str">
            <v>コラボクエスト</v>
          </cell>
          <cell r="F676">
            <v>2</v>
          </cell>
          <cell r="G676" t="str">
            <v>ja</v>
          </cell>
          <cell r="H676" t="str">
            <v>【中級】ポ</v>
          </cell>
          <cell r="I676" t="str">
            <v>中級</v>
          </cell>
          <cell r="J676">
            <v>8029</v>
          </cell>
          <cell r="K676">
            <v>15</v>
          </cell>
          <cell r="L676">
            <v>1200</v>
          </cell>
          <cell r="M676">
            <v>1</v>
          </cell>
          <cell r="N676">
            <v>1</v>
          </cell>
          <cell r="O676">
            <v>1</v>
          </cell>
          <cell r="P676">
            <v>1</v>
          </cell>
          <cell r="Q676">
            <v>1</v>
          </cell>
          <cell r="R676">
            <v>3</v>
          </cell>
          <cell r="S676" t="str">
            <v>none</v>
          </cell>
          <cell r="T676">
            <v>0</v>
          </cell>
          <cell r="U676" t="str">
            <v>NULL</v>
          </cell>
          <cell r="V676" t="str">
            <v>NULL</v>
          </cell>
          <cell r="W676" t="str">
            <v/>
          </cell>
          <cell r="X676">
            <v>0</v>
          </cell>
          <cell r="Y676">
            <v>0</v>
          </cell>
          <cell r="Z676">
            <v>0</v>
          </cell>
          <cell r="AA676">
            <v>0</v>
          </cell>
          <cell r="AB676" t="str">
            <v>anytime</v>
          </cell>
          <cell r="AC676">
            <v>909</v>
          </cell>
          <cell r="AD676">
            <v>6</v>
          </cell>
          <cell r="AE676" t="str">
            <v>everyone</v>
          </cell>
        </row>
        <row r="677">
          <cell r="A677" t="str">
            <v>39005_3</v>
          </cell>
          <cell r="B677">
            <v>1</v>
          </cell>
          <cell r="C677">
            <v>39005</v>
          </cell>
          <cell r="D677" t="str">
            <v xml:space="preserve">ポ </v>
          </cell>
          <cell r="E677" t="str">
            <v>コラボクエスト</v>
          </cell>
          <cell r="F677">
            <v>3</v>
          </cell>
          <cell r="G677" t="str">
            <v>ja</v>
          </cell>
          <cell r="H677" t="str">
            <v>【上級】ポ</v>
          </cell>
          <cell r="I677" t="str">
            <v>上級</v>
          </cell>
          <cell r="J677">
            <v>8029</v>
          </cell>
          <cell r="K677">
            <v>20</v>
          </cell>
          <cell r="L677">
            <v>2000</v>
          </cell>
          <cell r="M677">
            <v>1</v>
          </cell>
          <cell r="N677">
            <v>1</v>
          </cell>
          <cell r="O677">
            <v>1</v>
          </cell>
          <cell r="P677">
            <v>1</v>
          </cell>
          <cell r="Q677">
            <v>1</v>
          </cell>
          <cell r="R677">
            <v>3</v>
          </cell>
          <cell r="S677" t="str">
            <v>none</v>
          </cell>
          <cell r="T677">
            <v>0</v>
          </cell>
          <cell r="U677" t="str">
            <v>NULL</v>
          </cell>
          <cell r="V677" t="str">
            <v>NULL</v>
          </cell>
          <cell r="W677" t="str">
            <v/>
          </cell>
          <cell r="X677">
            <v>0</v>
          </cell>
          <cell r="Y677">
            <v>0</v>
          </cell>
          <cell r="Z677">
            <v>0</v>
          </cell>
          <cell r="AA677">
            <v>0</v>
          </cell>
          <cell r="AB677" t="str">
            <v>anytime</v>
          </cell>
          <cell r="AC677">
            <v>909</v>
          </cell>
          <cell r="AD677">
            <v>6</v>
          </cell>
          <cell r="AE677" t="str">
            <v>everyone</v>
          </cell>
        </row>
        <row r="678">
          <cell r="A678" t="str">
            <v>39005_4</v>
          </cell>
          <cell r="B678">
            <v>1</v>
          </cell>
          <cell r="C678">
            <v>39005</v>
          </cell>
          <cell r="D678" t="str">
            <v xml:space="preserve">ポ </v>
          </cell>
          <cell r="E678" t="str">
            <v>コラボクエスト</v>
          </cell>
          <cell r="F678">
            <v>4</v>
          </cell>
          <cell r="G678" t="str">
            <v>ja</v>
          </cell>
          <cell r="H678" t="str">
            <v>【超級】ポ</v>
          </cell>
          <cell r="I678" t="str">
            <v>超級</v>
          </cell>
          <cell r="J678">
            <v>8029</v>
          </cell>
          <cell r="K678">
            <v>30</v>
          </cell>
          <cell r="L678">
            <v>3300</v>
          </cell>
          <cell r="M678">
            <v>1</v>
          </cell>
          <cell r="N678">
            <v>1</v>
          </cell>
          <cell r="O678">
            <v>1</v>
          </cell>
          <cell r="P678">
            <v>1</v>
          </cell>
          <cell r="Q678">
            <v>1</v>
          </cell>
          <cell r="R678">
            <v>3</v>
          </cell>
          <cell r="S678" t="str">
            <v>none</v>
          </cell>
          <cell r="T678">
            <v>0</v>
          </cell>
          <cell r="U678" t="str">
            <v>NULL</v>
          </cell>
          <cell r="V678" t="str">
            <v>NULL</v>
          </cell>
          <cell r="W678" t="str">
            <v/>
          </cell>
          <cell r="X678">
            <v>0</v>
          </cell>
          <cell r="Y678">
            <v>0</v>
          </cell>
          <cell r="Z678">
            <v>0</v>
          </cell>
          <cell r="AA678">
            <v>0</v>
          </cell>
          <cell r="AB678" t="str">
            <v>anytime</v>
          </cell>
          <cell r="AC678">
            <v>909</v>
          </cell>
          <cell r="AD678">
            <v>6</v>
          </cell>
          <cell r="AE678" t="str">
            <v>everyone</v>
          </cell>
        </row>
        <row r="679">
          <cell r="A679" t="str">
            <v>39005_5</v>
          </cell>
          <cell r="B679">
            <v>1</v>
          </cell>
          <cell r="C679">
            <v>39005</v>
          </cell>
          <cell r="D679" t="str">
            <v xml:space="preserve">ポ </v>
          </cell>
          <cell r="E679" t="str">
            <v>コラボクエスト</v>
          </cell>
          <cell r="F679">
            <v>5</v>
          </cell>
          <cell r="G679" t="str">
            <v>ja</v>
          </cell>
          <cell r="H679" t="str">
            <v>【超絶級】ポ</v>
          </cell>
          <cell r="I679" t="str">
            <v>超絶級</v>
          </cell>
          <cell r="J679">
            <v>8030</v>
          </cell>
          <cell r="K679">
            <v>35</v>
          </cell>
          <cell r="L679">
            <v>4200</v>
          </cell>
          <cell r="M679">
            <v>1</v>
          </cell>
          <cell r="N679">
            <v>1</v>
          </cell>
          <cell r="O679">
            <v>1</v>
          </cell>
          <cell r="P679">
            <v>1</v>
          </cell>
          <cell r="Q679">
            <v>1</v>
          </cell>
          <cell r="R679">
            <v>3</v>
          </cell>
          <cell r="S679" t="str">
            <v>polygon</v>
          </cell>
          <cell r="T679">
            <v>1</v>
          </cell>
          <cell r="U679" t="str">
            <v>NULL</v>
          </cell>
          <cell r="V679" t="str">
            <v>NULL</v>
          </cell>
          <cell r="W679" t="str">
            <v/>
          </cell>
          <cell r="X679">
            <v>0</v>
          </cell>
          <cell r="Y679">
            <v>0</v>
          </cell>
          <cell r="Z679">
            <v>0</v>
          </cell>
          <cell r="AA679">
            <v>0</v>
          </cell>
          <cell r="AB679" t="str">
            <v>anytime</v>
          </cell>
          <cell r="AC679">
            <v>909</v>
          </cell>
          <cell r="AD679">
            <v>6</v>
          </cell>
          <cell r="AE679" t="str">
            <v>everyone</v>
          </cell>
        </row>
        <row r="680">
          <cell r="A680" t="str">
            <v>39006_1</v>
          </cell>
          <cell r="B680">
            <v>3</v>
          </cell>
          <cell r="C680">
            <v>39006</v>
          </cell>
          <cell r="D680" t="str">
            <v>シガンシナ区攻防戦</v>
          </cell>
          <cell r="E680" t="str">
            <v>コラボクエスト</v>
          </cell>
          <cell r="F680">
            <v>1</v>
          </cell>
          <cell r="G680" t="str">
            <v>ja</v>
          </cell>
          <cell r="H680" t="str">
            <v>【初級】シガンシナ区攻防戦</v>
          </cell>
          <cell r="I680" t="str">
            <v>初級</v>
          </cell>
          <cell r="J680">
            <v>0</v>
          </cell>
          <cell r="K680">
            <v>8</v>
          </cell>
          <cell r="L680">
            <v>384</v>
          </cell>
          <cell r="M680">
            <v>1</v>
          </cell>
          <cell r="N680">
            <v>1</v>
          </cell>
          <cell r="O680">
            <v>1</v>
          </cell>
          <cell r="P680">
            <v>1</v>
          </cell>
          <cell r="Q680">
            <v>1</v>
          </cell>
          <cell r="R680">
            <v>3</v>
          </cell>
          <cell r="S680" t="str">
            <v>none</v>
          </cell>
          <cell r="T680">
            <v>0</v>
          </cell>
          <cell r="U680" t="str">
            <v>NULL</v>
          </cell>
          <cell r="V680" t="str">
            <v>NULL</v>
          </cell>
          <cell r="W680" t="str">
            <v/>
          </cell>
          <cell r="X680">
            <v>0</v>
          </cell>
          <cell r="Y680">
            <v>0</v>
          </cell>
          <cell r="Z680">
            <v>0</v>
          </cell>
          <cell r="AA680">
            <v>0</v>
          </cell>
          <cell r="AB680" t="str">
            <v>anytime</v>
          </cell>
          <cell r="AC680">
            <v>938</v>
          </cell>
          <cell r="AD680">
            <v>6</v>
          </cell>
          <cell r="AE680" t="str">
            <v>everyone</v>
          </cell>
        </row>
        <row r="681">
          <cell r="A681" t="str">
            <v>39006_2</v>
          </cell>
          <cell r="B681">
            <v>3</v>
          </cell>
          <cell r="C681">
            <v>39006</v>
          </cell>
          <cell r="D681" t="str">
            <v>シガンシナ区攻防戦</v>
          </cell>
          <cell r="E681" t="str">
            <v>コラボクエスト</v>
          </cell>
          <cell r="F681">
            <v>2</v>
          </cell>
          <cell r="G681" t="str">
            <v>ja</v>
          </cell>
          <cell r="H681" t="str">
            <v>【中級】シガンシナ区攻防戦</v>
          </cell>
          <cell r="I681" t="str">
            <v>中級</v>
          </cell>
          <cell r="J681">
            <v>0</v>
          </cell>
          <cell r="K681">
            <v>15</v>
          </cell>
          <cell r="L681">
            <v>1200</v>
          </cell>
          <cell r="M681">
            <v>1</v>
          </cell>
          <cell r="N681">
            <v>1</v>
          </cell>
          <cell r="O681">
            <v>1</v>
          </cell>
          <cell r="P681">
            <v>1</v>
          </cell>
          <cell r="Q681">
            <v>1</v>
          </cell>
          <cell r="R681">
            <v>3</v>
          </cell>
          <cell r="S681" t="str">
            <v>none</v>
          </cell>
          <cell r="T681">
            <v>0</v>
          </cell>
          <cell r="U681" t="str">
            <v>NULL</v>
          </cell>
          <cell r="V681" t="str">
            <v>NULL</v>
          </cell>
          <cell r="W681" t="str">
            <v/>
          </cell>
          <cell r="X681">
            <v>0</v>
          </cell>
          <cell r="Y681">
            <v>0</v>
          </cell>
          <cell r="Z681">
            <v>0</v>
          </cell>
          <cell r="AA681">
            <v>0</v>
          </cell>
          <cell r="AB681" t="str">
            <v>anytime</v>
          </cell>
          <cell r="AC681">
            <v>938</v>
          </cell>
          <cell r="AD681">
            <v>6</v>
          </cell>
          <cell r="AE681" t="str">
            <v>everyone</v>
          </cell>
        </row>
        <row r="682">
          <cell r="A682" t="str">
            <v>39006_3</v>
          </cell>
          <cell r="B682">
            <v>3</v>
          </cell>
          <cell r="C682">
            <v>39006</v>
          </cell>
          <cell r="D682" t="str">
            <v>シガンシナ区攻防戦</v>
          </cell>
          <cell r="E682" t="str">
            <v>コラボクエスト</v>
          </cell>
          <cell r="F682">
            <v>3</v>
          </cell>
          <cell r="G682" t="str">
            <v>ja</v>
          </cell>
          <cell r="H682" t="str">
            <v>【上級】シガンシナ区攻防戦</v>
          </cell>
          <cell r="I682" t="str">
            <v>上級</v>
          </cell>
          <cell r="J682">
            <v>0</v>
          </cell>
          <cell r="K682">
            <v>20</v>
          </cell>
          <cell r="L682">
            <v>2000</v>
          </cell>
          <cell r="M682">
            <v>1</v>
          </cell>
          <cell r="N682">
            <v>1</v>
          </cell>
          <cell r="O682">
            <v>1</v>
          </cell>
          <cell r="P682">
            <v>1</v>
          </cell>
          <cell r="Q682">
            <v>1</v>
          </cell>
          <cell r="R682">
            <v>3</v>
          </cell>
          <cell r="S682" t="str">
            <v>none</v>
          </cell>
          <cell r="T682">
            <v>0</v>
          </cell>
          <cell r="U682" t="str">
            <v>NULL</v>
          </cell>
          <cell r="V682" t="str">
            <v>NULL</v>
          </cell>
          <cell r="W682" t="str">
            <v/>
          </cell>
          <cell r="X682">
            <v>0</v>
          </cell>
          <cell r="Y682">
            <v>0</v>
          </cell>
          <cell r="Z682">
            <v>0</v>
          </cell>
          <cell r="AA682">
            <v>0</v>
          </cell>
          <cell r="AB682" t="str">
            <v>anytime</v>
          </cell>
          <cell r="AC682">
            <v>938</v>
          </cell>
          <cell r="AD682">
            <v>6</v>
          </cell>
          <cell r="AE682" t="str">
            <v>everyone</v>
          </cell>
        </row>
        <row r="683">
          <cell r="A683" t="str">
            <v>39006_4</v>
          </cell>
          <cell r="B683">
            <v>3</v>
          </cell>
          <cell r="C683">
            <v>39006</v>
          </cell>
          <cell r="D683" t="str">
            <v>シガンシナ区攻防戦</v>
          </cell>
          <cell r="E683" t="str">
            <v>コラボクエスト</v>
          </cell>
          <cell r="F683">
            <v>4</v>
          </cell>
          <cell r="G683" t="str">
            <v>ja</v>
          </cell>
          <cell r="H683" t="str">
            <v>【超級】シガンシナ区攻防戦</v>
          </cell>
          <cell r="I683" t="str">
            <v>超級</v>
          </cell>
          <cell r="J683">
            <v>0</v>
          </cell>
          <cell r="K683">
            <v>30</v>
          </cell>
          <cell r="L683">
            <v>3300</v>
          </cell>
          <cell r="M683">
            <v>1</v>
          </cell>
          <cell r="N683">
            <v>1</v>
          </cell>
          <cell r="O683">
            <v>1</v>
          </cell>
          <cell r="P683">
            <v>1</v>
          </cell>
          <cell r="Q683">
            <v>1</v>
          </cell>
          <cell r="R683">
            <v>3</v>
          </cell>
          <cell r="S683" t="str">
            <v>polygon</v>
          </cell>
          <cell r="T683">
            <v>1</v>
          </cell>
          <cell r="U683" t="str">
            <v>NULL</v>
          </cell>
          <cell r="V683" t="str">
            <v>NULL</v>
          </cell>
          <cell r="W683" t="str">
            <v/>
          </cell>
          <cell r="X683">
            <v>0</v>
          </cell>
          <cell r="Y683">
            <v>0</v>
          </cell>
          <cell r="Z683">
            <v>0</v>
          </cell>
          <cell r="AA683">
            <v>0</v>
          </cell>
          <cell r="AB683" t="str">
            <v>anytime</v>
          </cell>
          <cell r="AC683">
            <v>938</v>
          </cell>
          <cell r="AD683">
            <v>6</v>
          </cell>
          <cell r="AE683" t="str">
            <v>everyone</v>
          </cell>
        </row>
        <row r="684">
          <cell r="A684" t="str">
            <v>39007_1</v>
          </cell>
          <cell r="B684">
            <v>1</v>
          </cell>
          <cell r="C684">
            <v>39007</v>
          </cell>
          <cell r="D684" t="str">
            <v>ニムダ（台）</v>
          </cell>
          <cell r="E684" t="str">
            <v>コラボクエスト</v>
          </cell>
          <cell r="F684">
            <v>1</v>
          </cell>
          <cell r="G684" t="str">
            <v>ja</v>
          </cell>
          <cell r="H684" t="str">
            <v>【初級】ニムダ（台）</v>
          </cell>
          <cell r="I684" t="str">
            <v>初級</v>
          </cell>
          <cell r="J684">
            <v>902</v>
          </cell>
          <cell r="K684">
            <v>8</v>
          </cell>
          <cell r="L684">
            <v>384</v>
          </cell>
          <cell r="M684">
            <v>1</v>
          </cell>
          <cell r="N684">
            <v>1</v>
          </cell>
          <cell r="O684">
            <v>1</v>
          </cell>
          <cell r="P684">
            <v>1</v>
          </cell>
          <cell r="Q684">
            <v>1</v>
          </cell>
          <cell r="R684">
            <v>3</v>
          </cell>
          <cell r="S684" t="str">
            <v>none</v>
          </cell>
          <cell r="T684">
            <v>0</v>
          </cell>
          <cell r="U684" t="str">
            <v>NULL</v>
          </cell>
          <cell r="V684" t="str">
            <v>NULL</v>
          </cell>
          <cell r="W684" t="str">
            <v/>
          </cell>
          <cell r="X684">
            <v>0</v>
          </cell>
          <cell r="Y684">
            <v>0</v>
          </cell>
          <cell r="Z684">
            <v>0</v>
          </cell>
          <cell r="AA684">
            <v>0</v>
          </cell>
          <cell r="AB684" t="str">
            <v>anytime</v>
          </cell>
          <cell r="AC684">
            <v>933</v>
          </cell>
          <cell r="AD684">
            <v>6</v>
          </cell>
          <cell r="AE684" t="str">
            <v>everyone</v>
          </cell>
        </row>
        <row r="685">
          <cell r="A685" t="str">
            <v>39007_2</v>
          </cell>
          <cell r="B685">
            <v>1</v>
          </cell>
          <cell r="C685">
            <v>39007</v>
          </cell>
          <cell r="D685" t="str">
            <v>ニムダ（台）</v>
          </cell>
          <cell r="E685" t="str">
            <v>コラボクエスト</v>
          </cell>
          <cell r="F685">
            <v>2</v>
          </cell>
          <cell r="G685" t="str">
            <v>ja</v>
          </cell>
          <cell r="H685" t="str">
            <v>【中級】ニムダ（台）</v>
          </cell>
          <cell r="I685" t="str">
            <v>中級</v>
          </cell>
          <cell r="J685">
            <v>902</v>
          </cell>
          <cell r="K685">
            <v>15</v>
          </cell>
          <cell r="L685">
            <v>1200</v>
          </cell>
          <cell r="M685">
            <v>1</v>
          </cell>
          <cell r="N685">
            <v>1</v>
          </cell>
          <cell r="O685">
            <v>1</v>
          </cell>
          <cell r="P685">
            <v>1</v>
          </cell>
          <cell r="Q685">
            <v>1</v>
          </cell>
          <cell r="R685">
            <v>3</v>
          </cell>
          <cell r="S685" t="str">
            <v>none</v>
          </cell>
          <cell r="T685">
            <v>0</v>
          </cell>
          <cell r="U685" t="str">
            <v>NULL</v>
          </cell>
          <cell r="V685" t="str">
            <v>NULL</v>
          </cell>
          <cell r="W685" t="str">
            <v/>
          </cell>
          <cell r="X685">
            <v>0</v>
          </cell>
          <cell r="Y685">
            <v>0</v>
          </cell>
          <cell r="Z685">
            <v>0</v>
          </cell>
          <cell r="AA685">
            <v>0</v>
          </cell>
          <cell r="AB685" t="str">
            <v>anytime</v>
          </cell>
          <cell r="AC685">
            <v>933</v>
          </cell>
          <cell r="AD685">
            <v>6</v>
          </cell>
          <cell r="AE685" t="str">
            <v>everyone</v>
          </cell>
        </row>
        <row r="686">
          <cell r="A686" t="str">
            <v>39007_3</v>
          </cell>
          <cell r="B686">
            <v>1</v>
          </cell>
          <cell r="C686">
            <v>39007</v>
          </cell>
          <cell r="D686" t="str">
            <v>ニムダ（台）</v>
          </cell>
          <cell r="E686" t="str">
            <v>コラボクエスト</v>
          </cell>
          <cell r="F686">
            <v>3</v>
          </cell>
          <cell r="G686" t="str">
            <v>ja</v>
          </cell>
          <cell r="H686" t="str">
            <v>【上級】ニムダ（台）</v>
          </cell>
          <cell r="I686" t="str">
            <v>上級</v>
          </cell>
          <cell r="J686">
            <v>902</v>
          </cell>
          <cell r="K686">
            <v>20</v>
          </cell>
          <cell r="L686">
            <v>2000</v>
          </cell>
          <cell r="M686">
            <v>1</v>
          </cell>
          <cell r="N686">
            <v>1</v>
          </cell>
          <cell r="O686">
            <v>1</v>
          </cell>
          <cell r="P686">
            <v>1</v>
          </cell>
          <cell r="Q686">
            <v>1</v>
          </cell>
          <cell r="R686">
            <v>3</v>
          </cell>
          <cell r="S686" t="str">
            <v>none</v>
          </cell>
          <cell r="T686">
            <v>0</v>
          </cell>
          <cell r="U686" t="str">
            <v>NULL</v>
          </cell>
          <cell r="V686" t="str">
            <v>NULL</v>
          </cell>
          <cell r="W686" t="str">
            <v/>
          </cell>
          <cell r="X686">
            <v>0</v>
          </cell>
          <cell r="Y686">
            <v>0</v>
          </cell>
          <cell r="Z686">
            <v>0</v>
          </cell>
          <cell r="AA686">
            <v>0</v>
          </cell>
          <cell r="AB686" t="str">
            <v>anytime</v>
          </cell>
          <cell r="AC686">
            <v>933</v>
          </cell>
          <cell r="AD686">
            <v>6</v>
          </cell>
          <cell r="AE686" t="str">
            <v>everyone</v>
          </cell>
        </row>
        <row r="687">
          <cell r="A687" t="str">
            <v>39007_4</v>
          </cell>
          <cell r="B687">
            <v>1</v>
          </cell>
          <cell r="C687">
            <v>39007</v>
          </cell>
          <cell r="D687" t="str">
            <v>ニムダ（台）</v>
          </cell>
          <cell r="E687" t="str">
            <v>コラボクエスト</v>
          </cell>
          <cell r="F687">
            <v>4</v>
          </cell>
          <cell r="G687" t="str">
            <v>ja</v>
          </cell>
          <cell r="H687" t="str">
            <v>【超級】ニムダ（台）</v>
          </cell>
          <cell r="I687" t="str">
            <v>超級</v>
          </cell>
          <cell r="J687">
            <v>902</v>
          </cell>
          <cell r="K687">
            <v>30</v>
          </cell>
          <cell r="L687">
            <v>3300</v>
          </cell>
          <cell r="M687">
            <v>1</v>
          </cell>
          <cell r="N687">
            <v>1</v>
          </cell>
          <cell r="O687">
            <v>1</v>
          </cell>
          <cell r="P687">
            <v>1</v>
          </cell>
          <cell r="Q687">
            <v>1</v>
          </cell>
          <cell r="R687">
            <v>3</v>
          </cell>
          <cell r="S687" t="str">
            <v>polygon</v>
          </cell>
          <cell r="T687">
            <v>1</v>
          </cell>
          <cell r="U687" t="str">
            <v>NULL</v>
          </cell>
          <cell r="V687" t="str">
            <v>NULL</v>
          </cell>
          <cell r="W687" t="str">
            <v/>
          </cell>
          <cell r="X687">
            <v>0</v>
          </cell>
          <cell r="Y687">
            <v>0</v>
          </cell>
          <cell r="Z687">
            <v>0</v>
          </cell>
          <cell r="AA687">
            <v>0</v>
          </cell>
          <cell r="AB687" t="str">
            <v>anytime</v>
          </cell>
          <cell r="AC687">
            <v>933</v>
          </cell>
          <cell r="AD687">
            <v>6</v>
          </cell>
          <cell r="AE687" t="str">
            <v>everyone</v>
          </cell>
        </row>
        <row r="688">
          <cell r="A688" t="str">
            <v>39008_1</v>
          </cell>
          <cell r="B688">
            <v>3</v>
          </cell>
          <cell r="C688">
            <v>39008</v>
          </cell>
          <cell r="D688" t="str">
            <v>雪の歌姫</v>
          </cell>
          <cell r="E688" t="str">
            <v>復刻コラボクエスト</v>
          </cell>
          <cell r="F688">
            <v>1</v>
          </cell>
          <cell r="G688" t="str">
            <v>ja</v>
          </cell>
          <cell r="H688" t="str">
            <v>【初級】雪の歌姫</v>
          </cell>
          <cell r="I688" t="str">
            <v>初級</v>
          </cell>
          <cell r="J688">
            <v>525</v>
          </cell>
          <cell r="K688">
            <v>5</v>
          </cell>
          <cell r="L688">
            <v>384</v>
          </cell>
          <cell r="M688">
            <v>1</v>
          </cell>
          <cell r="N688">
            <v>1</v>
          </cell>
          <cell r="O688">
            <v>1</v>
          </cell>
          <cell r="P688">
            <v>1</v>
          </cell>
          <cell r="Q688">
            <v>1</v>
          </cell>
          <cell r="R688">
            <v>3</v>
          </cell>
          <cell r="S688" t="str">
            <v>none</v>
          </cell>
          <cell r="T688">
            <v>0</v>
          </cell>
          <cell r="U688" t="str">
            <v>NULL</v>
          </cell>
          <cell r="V688" t="str">
            <v>NULL</v>
          </cell>
          <cell r="W688" t="str">
            <v/>
          </cell>
          <cell r="X688">
            <v>0</v>
          </cell>
          <cell r="Y688">
            <v>0</v>
          </cell>
          <cell r="Z688">
            <v>0</v>
          </cell>
          <cell r="AA688">
            <v>0</v>
          </cell>
          <cell r="AB688" t="str">
            <v>anytime</v>
          </cell>
          <cell r="AC688">
            <v>910</v>
          </cell>
          <cell r="AD688">
            <v>6</v>
          </cell>
          <cell r="AE688" t="str">
            <v>everyone</v>
          </cell>
        </row>
        <row r="689">
          <cell r="A689" t="str">
            <v>39008_2</v>
          </cell>
          <cell r="B689">
            <v>3</v>
          </cell>
          <cell r="C689">
            <v>39008</v>
          </cell>
          <cell r="D689" t="str">
            <v>雪の歌姫</v>
          </cell>
          <cell r="E689" t="str">
            <v>復刻コラボクエスト</v>
          </cell>
          <cell r="F689">
            <v>2</v>
          </cell>
          <cell r="G689" t="str">
            <v>ja</v>
          </cell>
          <cell r="H689" t="str">
            <v>【中級】雪の歌姫</v>
          </cell>
          <cell r="I689" t="str">
            <v>中級</v>
          </cell>
          <cell r="J689">
            <v>525</v>
          </cell>
          <cell r="K689">
            <v>9</v>
          </cell>
          <cell r="L689">
            <v>1200</v>
          </cell>
          <cell r="M689">
            <v>1</v>
          </cell>
          <cell r="N689">
            <v>1</v>
          </cell>
          <cell r="O689">
            <v>1</v>
          </cell>
          <cell r="P689">
            <v>1</v>
          </cell>
          <cell r="Q689">
            <v>1</v>
          </cell>
          <cell r="R689">
            <v>3</v>
          </cell>
          <cell r="S689" t="str">
            <v>none</v>
          </cell>
          <cell r="T689">
            <v>0</v>
          </cell>
          <cell r="U689" t="str">
            <v>NULL</v>
          </cell>
          <cell r="V689" t="str">
            <v>NULL</v>
          </cell>
          <cell r="W689" t="str">
            <v/>
          </cell>
          <cell r="X689">
            <v>0</v>
          </cell>
          <cell r="Y689">
            <v>0</v>
          </cell>
          <cell r="Z689">
            <v>0</v>
          </cell>
          <cell r="AA689">
            <v>0</v>
          </cell>
          <cell r="AB689" t="str">
            <v>anytime</v>
          </cell>
          <cell r="AC689">
            <v>910</v>
          </cell>
          <cell r="AD689">
            <v>6</v>
          </cell>
          <cell r="AE689" t="str">
            <v>everyone</v>
          </cell>
        </row>
        <row r="690">
          <cell r="A690" t="str">
            <v>39008_3</v>
          </cell>
          <cell r="B690">
            <v>3</v>
          </cell>
          <cell r="C690">
            <v>39008</v>
          </cell>
          <cell r="D690" t="str">
            <v>雪の歌姫</v>
          </cell>
          <cell r="E690" t="str">
            <v>復刻コラボクエスト</v>
          </cell>
          <cell r="F690">
            <v>3</v>
          </cell>
          <cell r="G690" t="str">
            <v>ja</v>
          </cell>
          <cell r="H690" t="str">
            <v>【上級】雪の歌姫</v>
          </cell>
          <cell r="I690" t="str">
            <v>上級</v>
          </cell>
          <cell r="J690">
            <v>525</v>
          </cell>
          <cell r="K690">
            <v>14</v>
          </cell>
          <cell r="L690">
            <v>2000</v>
          </cell>
          <cell r="M690">
            <v>1</v>
          </cell>
          <cell r="N690">
            <v>1</v>
          </cell>
          <cell r="O690">
            <v>1</v>
          </cell>
          <cell r="P690">
            <v>1</v>
          </cell>
          <cell r="Q690">
            <v>1</v>
          </cell>
          <cell r="R690">
            <v>3</v>
          </cell>
          <cell r="S690" t="str">
            <v>none</v>
          </cell>
          <cell r="T690">
            <v>0</v>
          </cell>
          <cell r="U690" t="str">
            <v>NULL</v>
          </cell>
          <cell r="V690" t="str">
            <v>NULL</v>
          </cell>
          <cell r="W690" t="str">
            <v/>
          </cell>
          <cell r="X690">
            <v>0</v>
          </cell>
          <cell r="Y690">
            <v>0</v>
          </cell>
          <cell r="Z690">
            <v>0</v>
          </cell>
          <cell r="AA690">
            <v>0</v>
          </cell>
          <cell r="AB690" t="str">
            <v>anytime</v>
          </cell>
          <cell r="AC690">
            <v>910</v>
          </cell>
          <cell r="AD690">
            <v>6</v>
          </cell>
          <cell r="AE690" t="str">
            <v>everyone</v>
          </cell>
        </row>
        <row r="691">
          <cell r="A691" t="str">
            <v>39008_4</v>
          </cell>
          <cell r="B691">
            <v>3</v>
          </cell>
          <cell r="C691">
            <v>39008</v>
          </cell>
          <cell r="D691" t="str">
            <v>雪の歌姫</v>
          </cell>
          <cell r="E691" t="str">
            <v>復刻コラボクエスト</v>
          </cell>
          <cell r="F691">
            <v>4</v>
          </cell>
          <cell r="G691" t="str">
            <v>ja</v>
          </cell>
          <cell r="H691" t="str">
            <v>【超級】雪の歌姫</v>
          </cell>
          <cell r="I691" t="str">
            <v>超級</v>
          </cell>
          <cell r="J691">
            <v>526</v>
          </cell>
          <cell r="K691">
            <v>20</v>
          </cell>
          <cell r="L691">
            <v>3300</v>
          </cell>
          <cell r="M691">
            <v>1</v>
          </cell>
          <cell r="N691">
            <v>1</v>
          </cell>
          <cell r="O691">
            <v>1</v>
          </cell>
          <cell r="P691">
            <v>1</v>
          </cell>
          <cell r="Q691">
            <v>1</v>
          </cell>
          <cell r="R691">
            <v>3</v>
          </cell>
          <cell r="S691" t="str">
            <v>none</v>
          </cell>
          <cell r="T691">
            <v>0</v>
          </cell>
          <cell r="U691" t="str">
            <v>NULL</v>
          </cell>
          <cell r="V691" t="str">
            <v>NULL</v>
          </cell>
          <cell r="W691" t="str">
            <v/>
          </cell>
          <cell r="X691">
            <v>0</v>
          </cell>
          <cell r="Y691">
            <v>0</v>
          </cell>
          <cell r="Z691">
            <v>0</v>
          </cell>
          <cell r="AA691">
            <v>0</v>
          </cell>
          <cell r="AB691" t="str">
            <v>anytime</v>
          </cell>
          <cell r="AC691">
            <v>910</v>
          </cell>
          <cell r="AD691">
            <v>6</v>
          </cell>
          <cell r="AE691" t="str">
            <v>everyone</v>
          </cell>
        </row>
        <row r="692">
          <cell r="A692" t="str">
            <v>39008_5</v>
          </cell>
          <cell r="B692">
            <v>3</v>
          </cell>
          <cell r="C692">
            <v>39008</v>
          </cell>
          <cell r="D692" t="str">
            <v>雪の歌姫</v>
          </cell>
          <cell r="E692" t="str">
            <v>復刻コラボクエスト</v>
          </cell>
          <cell r="F692">
            <v>5</v>
          </cell>
          <cell r="G692" t="str">
            <v>ja</v>
          </cell>
          <cell r="H692" t="str">
            <v>【超絶級】雪の歌姫</v>
          </cell>
          <cell r="I692" t="str">
            <v>超絶級</v>
          </cell>
          <cell r="J692">
            <v>526</v>
          </cell>
          <cell r="K692">
            <v>25</v>
          </cell>
          <cell r="L692">
            <v>4200</v>
          </cell>
          <cell r="M692">
            <v>1</v>
          </cell>
          <cell r="N692">
            <v>1</v>
          </cell>
          <cell r="O692">
            <v>1</v>
          </cell>
          <cell r="P692">
            <v>1</v>
          </cell>
          <cell r="Q692">
            <v>1</v>
          </cell>
          <cell r="R692">
            <v>3</v>
          </cell>
          <cell r="S692" t="str">
            <v>polygon</v>
          </cell>
          <cell r="T692">
            <v>1</v>
          </cell>
          <cell r="U692" t="str">
            <v>NULL</v>
          </cell>
          <cell r="V692" t="str">
            <v>NULL</v>
          </cell>
          <cell r="W692" t="str">
            <v/>
          </cell>
          <cell r="X692">
            <v>0</v>
          </cell>
          <cell r="Y692">
            <v>0</v>
          </cell>
          <cell r="Z692">
            <v>0</v>
          </cell>
          <cell r="AA692">
            <v>0</v>
          </cell>
          <cell r="AB692" t="str">
            <v>anytime</v>
          </cell>
          <cell r="AC692">
            <v>910</v>
          </cell>
          <cell r="AD692">
            <v>6</v>
          </cell>
          <cell r="AE692" t="str">
            <v>everyone</v>
          </cell>
        </row>
        <row r="693">
          <cell r="A693" t="str">
            <v>39009_1</v>
          </cell>
          <cell r="B693">
            <v>3</v>
          </cell>
          <cell r="C693">
            <v>39009</v>
          </cell>
          <cell r="D693" t="str">
            <v>星空の歌姫</v>
          </cell>
          <cell r="E693" t="str">
            <v>コラボクエスト</v>
          </cell>
          <cell r="F693">
            <v>1</v>
          </cell>
          <cell r="G693" t="str">
            <v>ja</v>
          </cell>
          <cell r="H693" t="str">
            <v>【初級】星空の歌姫</v>
          </cell>
          <cell r="I693" t="str">
            <v>初級</v>
          </cell>
          <cell r="J693">
            <v>1298</v>
          </cell>
          <cell r="K693">
            <v>5</v>
          </cell>
          <cell r="L693">
            <v>384</v>
          </cell>
          <cell r="M693">
            <v>1</v>
          </cell>
          <cell r="N693">
            <v>1</v>
          </cell>
          <cell r="O693">
            <v>1</v>
          </cell>
          <cell r="P693">
            <v>1</v>
          </cell>
          <cell r="Q693">
            <v>1</v>
          </cell>
          <cell r="R693">
            <v>3</v>
          </cell>
          <cell r="S693" t="str">
            <v>none</v>
          </cell>
          <cell r="T693">
            <v>0</v>
          </cell>
          <cell r="U693" t="str">
            <v>NULL</v>
          </cell>
          <cell r="V693" t="str">
            <v>NULL</v>
          </cell>
          <cell r="W693" t="str">
            <v/>
          </cell>
          <cell r="X693">
            <v>0</v>
          </cell>
          <cell r="Y693">
            <v>0</v>
          </cell>
          <cell r="Z693">
            <v>0</v>
          </cell>
          <cell r="AA693">
            <v>0</v>
          </cell>
          <cell r="AB693" t="str">
            <v>anytime</v>
          </cell>
          <cell r="AC693">
            <v>910</v>
          </cell>
          <cell r="AD693">
            <v>6</v>
          </cell>
          <cell r="AE693" t="str">
            <v>everyone</v>
          </cell>
        </row>
        <row r="694">
          <cell r="A694" t="str">
            <v>39009_2</v>
          </cell>
          <cell r="B694">
            <v>3</v>
          </cell>
          <cell r="C694">
            <v>39009</v>
          </cell>
          <cell r="D694" t="str">
            <v>星空の歌姫</v>
          </cell>
          <cell r="E694" t="str">
            <v>コラボクエスト</v>
          </cell>
          <cell r="F694">
            <v>2</v>
          </cell>
          <cell r="G694" t="str">
            <v>ja</v>
          </cell>
          <cell r="H694" t="str">
            <v>【中級】星空の歌姫</v>
          </cell>
          <cell r="I694" t="str">
            <v>中級</v>
          </cell>
          <cell r="J694">
            <v>1298</v>
          </cell>
          <cell r="K694">
            <v>9</v>
          </cell>
          <cell r="L694">
            <v>1200</v>
          </cell>
          <cell r="M694">
            <v>1</v>
          </cell>
          <cell r="N694">
            <v>1</v>
          </cell>
          <cell r="O694">
            <v>1</v>
          </cell>
          <cell r="P694">
            <v>1</v>
          </cell>
          <cell r="Q694">
            <v>1</v>
          </cell>
          <cell r="R694">
            <v>3</v>
          </cell>
          <cell r="S694" t="str">
            <v>none</v>
          </cell>
          <cell r="T694">
            <v>0</v>
          </cell>
          <cell r="U694" t="str">
            <v>NULL</v>
          </cell>
          <cell r="V694" t="str">
            <v>NULL</v>
          </cell>
          <cell r="W694" t="str">
            <v/>
          </cell>
          <cell r="X694">
            <v>0</v>
          </cell>
          <cell r="Y694">
            <v>0</v>
          </cell>
          <cell r="Z694">
            <v>0</v>
          </cell>
          <cell r="AA694">
            <v>0</v>
          </cell>
          <cell r="AB694" t="str">
            <v>anytime</v>
          </cell>
          <cell r="AC694">
            <v>910</v>
          </cell>
          <cell r="AD694">
            <v>6</v>
          </cell>
          <cell r="AE694" t="str">
            <v>everyone</v>
          </cell>
        </row>
        <row r="695">
          <cell r="A695" t="str">
            <v>39009_3</v>
          </cell>
          <cell r="B695">
            <v>3</v>
          </cell>
          <cell r="C695">
            <v>39009</v>
          </cell>
          <cell r="D695" t="str">
            <v>星空の歌姫</v>
          </cell>
          <cell r="E695" t="str">
            <v>コラボクエスト</v>
          </cell>
          <cell r="F695">
            <v>3</v>
          </cell>
          <cell r="G695" t="str">
            <v>ja</v>
          </cell>
          <cell r="H695" t="str">
            <v>【上級】星空の歌姫</v>
          </cell>
          <cell r="I695" t="str">
            <v>上級</v>
          </cell>
          <cell r="J695">
            <v>1298</v>
          </cell>
          <cell r="K695">
            <v>14</v>
          </cell>
          <cell r="L695">
            <v>2000</v>
          </cell>
          <cell r="M695">
            <v>1</v>
          </cell>
          <cell r="N695">
            <v>1</v>
          </cell>
          <cell r="O695">
            <v>1</v>
          </cell>
          <cell r="P695">
            <v>1</v>
          </cell>
          <cell r="Q695">
            <v>1</v>
          </cell>
          <cell r="R695">
            <v>3</v>
          </cell>
          <cell r="S695" t="str">
            <v>none</v>
          </cell>
          <cell r="T695">
            <v>0</v>
          </cell>
          <cell r="U695" t="str">
            <v>NULL</v>
          </cell>
          <cell r="V695" t="str">
            <v>NULL</v>
          </cell>
          <cell r="W695" t="str">
            <v/>
          </cell>
          <cell r="X695">
            <v>0</v>
          </cell>
          <cell r="Y695">
            <v>0</v>
          </cell>
          <cell r="Z695">
            <v>0</v>
          </cell>
          <cell r="AA695">
            <v>0</v>
          </cell>
          <cell r="AB695" t="str">
            <v>anytime</v>
          </cell>
          <cell r="AC695">
            <v>910</v>
          </cell>
          <cell r="AD695">
            <v>6</v>
          </cell>
          <cell r="AE695" t="str">
            <v>everyone</v>
          </cell>
        </row>
        <row r="696">
          <cell r="A696" t="str">
            <v>39009_4</v>
          </cell>
          <cell r="B696">
            <v>3</v>
          </cell>
          <cell r="C696">
            <v>39009</v>
          </cell>
          <cell r="D696" t="str">
            <v>星空の歌姫</v>
          </cell>
          <cell r="E696" t="str">
            <v>コラボクエスト</v>
          </cell>
          <cell r="F696">
            <v>4</v>
          </cell>
          <cell r="G696" t="str">
            <v>ja</v>
          </cell>
          <cell r="H696" t="str">
            <v>【超級】星空の歌姫</v>
          </cell>
          <cell r="I696" t="str">
            <v>超級</v>
          </cell>
          <cell r="J696">
            <v>1298</v>
          </cell>
          <cell r="K696">
            <v>20</v>
          </cell>
          <cell r="L696">
            <v>3300</v>
          </cell>
          <cell r="M696">
            <v>1</v>
          </cell>
          <cell r="N696">
            <v>1</v>
          </cell>
          <cell r="O696">
            <v>1</v>
          </cell>
          <cell r="P696">
            <v>1</v>
          </cell>
          <cell r="Q696">
            <v>1</v>
          </cell>
          <cell r="R696">
            <v>3</v>
          </cell>
          <cell r="S696" t="str">
            <v>none</v>
          </cell>
          <cell r="T696">
            <v>0</v>
          </cell>
          <cell r="U696" t="str">
            <v>NULL</v>
          </cell>
          <cell r="V696" t="str">
            <v>NULL</v>
          </cell>
          <cell r="W696" t="str">
            <v/>
          </cell>
          <cell r="X696">
            <v>0</v>
          </cell>
          <cell r="Y696">
            <v>0</v>
          </cell>
          <cell r="Z696">
            <v>0</v>
          </cell>
          <cell r="AA696">
            <v>0</v>
          </cell>
          <cell r="AB696" t="str">
            <v>anytime</v>
          </cell>
          <cell r="AC696">
            <v>910</v>
          </cell>
          <cell r="AD696">
            <v>6</v>
          </cell>
          <cell r="AE696" t="str">
            <v>everyone</v>
          </cell>
        </row>
        <row r="697">
          <cell r="A697" t="str">
            <v>39009_5</v>
          </cell>
          <cell r="B697">
            <v>3</v>
          </cell>
          <cell r="C697">
            <v>39009</v>
          </cell>
          <cell r="D697" t="str">
            <v>星空の歌姫</v>
          </cell>
          <cell r="E697" t="str">
            <v>コラボクエスト</v>
          </cell>
          <cell r="F697">
            <v>5</v>
          </cell>
          <cell r="G697" t="str">
            <v>ja</v>
          </cell>
          <cell r="H697" t="str">
            <v>【超絶級】星空の歌姫</v>
          </cell>
          <cell r="I697" t="str">
            <v>超絶級</v>
          </cell>
          <cell r="J697">
            <v>1298</v>
          </cell>
          <cell r="K697">
            <v>25</v>
          </cell>
          <cell r="L697">
            <v>4200</v>
          </cell>
          <cell r="M697">
            <v>1</v>
          </cell>
          <cell r="N697">
            <v>1</v>
          </cell>
          <cell r="O697">
            <v>1</v>
          </cell>
          <cell r="P697">
            <v>1</v>
          </cell>
          <cell r="Q697">
            <v>1</v>
          </cell>
          <cell r="R697">
            <v>3</v>
          </cell>
          <cell r="S697" t="str">
            <v>polygon</v>
          </cell>
          <cell r="T697">
            <v>1</v>
          </cell>
          <cell r="U697" t="str">
            <v>NULL</v>
          </cell>
          <cell r="V697" t="str">
            <v>NULL</v>
          </cell>
          <cell r="W697" t="str">
            <v/>
          </cell>
          <cell r="X697">
            <v>0</v>
          </cell>
          <cell r="Y697">
            <v>0</v>
          </cell>
          <cell r="Z697">
            <v>0</v>
          </cell>
          <cell r="AA697">
            <v>0</v>
          </cell>
          <cell r="AB697" t="str">
            <v>anytime</v>
          </cell>
          <cell r="AC697">
            <v>910</v>
          </cell>
          <cell r="AD697">
            <v>6</v>
          </cell>
          <cell r="AE697" t="str">
            <v>everyone</v>
          </cell>
        </row>
        <row r="698">
          <cell r="A698" t="str">
            <v>39010_1</v>
          </cell>
          <cell r="B698">
            <v>3</v>
          </cell>
          <cell r="C698">
            <v>39010</v>
          </cell>
          <cell r="D698" t="str">
            <v>黄巾賊の暴走を止めろ！</v>
          </cell>
          <cell r="E698" t="str">
            <v>コラボクエスト（復刻）</v>
          </cell>
          <cell r="F698">
            <v>1</v>
          </cell>
          <cell r="G698" t="str">
            <v>ja</v>
          </cell>
          <cell r="H698" t="str">
            <v>【初級】黄巾賊の暴走を止めろ！</v>
          </cell>
          <cell r="I698" t="str">
            <v>初級</v>
          </cell>
          <cell r="J698">
            <v>694</v>
          </cell>
          <cell r="K698">
            <v>8</v>
          </cell>
          <cell r="L698">
            <v>384</v>
          </cell>
          <cell r="M698">
            <v>1</v>
          </cell>
          <cell r="N698">
            <v>1</v>
          </cell>
          <cell r="O698">
            <v>1</v>
          </cell>
          <cell r="P698">
            <v>1</v>
          </cell>
          <cell r="Q698">
            <v>1</v>
          </cell>
          <cell r="R698">
            <v>3</v>
          </cell>
          <cell r="S698" t="str">
            <v>none</v>
          </cell>
          <cell r="T698">
            <v>0</v>
          </cell>
          <cell r="U698" t="str">
            <v>NULL</v>
          </cell>
          <cell r="V698" t="str">
            <v>NULL</v>
          </cell>
          <cell r="W698" t="str">
            <v/>
          </cell>
          <cell r="X698">
            <v>0</v>
          </cell>
          <cell r="Y698">
            <v>0</v>
          </cell>
          <cell r="Z698">
            <v>0</v>
          </cell>
          <cell r="AA698">
            <v>0</v>
          </cell>
          <cell r="AB698" t="str">
            <v>anytime</v>
          </cell>
          <cell r="AC698">
            <v>12</v>
          </cell>
          <cell r="AD698">
            <v>6</v>
          </cell>
          <cell r="AE698" t="str">
            <v>everyone</v>
          </cell>
        </row>
        <row r="699">
          <cell r="A699" t="str">
            <v>39010_2</v>
          </cell>
          <cell r="B699">
            <v>3</v>
          </cell>
          <cell r="C699">
            <v>39010</v>
          </cell>
          <cell r="D699" t="str">
            <v>黄巾賊の暴走を止めろ！</v>
          </cell>
          <cell r="E699" t="str">
            <v>コラボクエスト（復刻）</v>
          </cell>
          <cell r="F699">
            <v>2</v>
          </cell>
          <cell r="G699" t="str">
            <v>ja</v>
          </cell>
          <cell r="H699" t="str">
            <v>【中級】黄巾賊の暴走を止めろ！</v>
          </cell>
          <cell r="I699" t="str">
            <v>中級</v>
          </cell>
          <cell r="J699">
            <v>694</v>
          </cell>
          <cell r="K699">
            <v>15</v>
          </cell>
          <cell r="L699">
            <v>1200</v>
          </cell>
          <cell r="M699">
            <v>1</v>
          </cell>
          <cell r="N699">
            <v>1</v>
          </cell>
          <cell r="O699">
            <v>1</v>
          </cell>
          <cell r="P699">
            <v>1</v>
          </cell>
          <cell r="Q699">
            <v>1</v>
          </cell>
          <cell r="R699">
            <v>3</v>
          </cell>
          <cell r="S699" t="str">
            <v>none</v>
          </cell>
          <cell r="T699">
            <v>0</v>
          </cell>
          <cell r="U699" t="str">
            <v>NULL</v>
          </cell>
          <cell r="V699" t="str">
            <v>NULL</v>
          </cell>
          <cell r="W699" t="str">
            <v/>
          </cell>
          <cell r="X699">
            <v>0</v>
          </cell>
          <cell r="Y699">
            <v>0</v>
          </cell>
          <cell r="Z699">
            <v>0</v>
          </cell>
          <cell r="AA699">
            <v>0</v>
          </cell>
          <cell r="AB699" t="str">
            <v>anytime</v>
          </cell>
          <cell r="AC699">
            <v>12</v>
          </cell>
          <cell r="AD699">
            <v>6</v>
          </cell>
          <cell r="AE699" t="str">
            <v>everyone</v>
          </cell>
        </row>
        <row r="700">
          <cell r="A700" t="str">
            <v>39010_3</v>
          </cell>
          <cell r="B700">
            <v>3</v>
          </cell>
          <cell r="C700">
            <v>39010</v>
          </cell>
          <cell r="D700" t="str">
            <v>黄巾賊の暴走を止めろ！</v>
          </cell>
          <cell r="E700" t="str">
            <v>コラボクエスト（復刻）</v>
          </cell>
          <cell r="F700">
            <v>3</v>
          </cell>
          <cell r="G700" t="str">
            <v>ja</v>
          </cell>
          <cell r="H700" t="str">
            <v>【上級】黄巾賊の暴走を止めろ！</v>
          </cell>
          <cell r="I700" t="str">
            <v>上級</v>
          </cell>
          <cell r="J700">
            <v>694</v>
          </cell>
          <cell r="K700">
            <v>20</v>
          </cell>
          <cell r="L700">
            <v>2000</v>
          </cell>
          <cell r="M700">
            <v>1</v>
          </cell>
          <cell r="N700">
            <v>1</v>
          </cell>
          <cell r="O700">
            <v>1</v>
          </cell>
          <cell r="P700">
            <v>1</v>
          </cell>
          <cell r="Q700">
            <v>1</v>
          </cell>
          <cell r="R700">
            <v>3</v>
          </cell>
          <cell r="S700" t="str">
            <v>none</v>
          </cell>
          <cell r="T700">
            <v>0</v>
          </cell>
          <cell r="U700" t="str">
            <v>NULL</v>
          </cell>
          <cell r="V700" t="str">
            <v>NULL</v>
          </cell>
          <cell r="W700" t="str">
            <v/>
          </cell>
          <cell r="X700">
            <v>0</v>
          </cell>
          <cell r="Y700">
            <v>0</v>
          </cell>
          <cell r="Z700">
            <v>0</v>
          </cell>
          <cell r="AA700">
            <v>0</v>
          </cell>
          <cell r="AB700" t="str">
            <v>anytime</v>
          </cell>
          <cell r="AC700">
            <v>12</v>
          </cell>
          <cell r="AD700">
            <v>6</v>
          </cell>
          <cell r="AE700" t="str">
            <v>everyone</v>
          </cell>
        </row>
        <row r="701">
          <cell r="A701" t="str">
            <v>39010_4</v>
          </cell>
          <cell r="B701">
            <v>3</v>
          </cell>
          <cell r="C701">
            <v>39010</v>
          </cell>
          <cell r="D701" t="str">
            <v>黄巾賊の暴走を止めろ！</v>
          </cell>
          <cell r="E701" t="str">
            <v>コラボクエスト（復刻）</v>
          </cell>
          <cell r="F701">
            <v>4</v>
          </cell>
          <cell r="G701" t="str">
            <v>ja</v>
          </cell>
          <cell r="H701" t="str">
            <v>【超級】黄巾賊の暴走を止めろ！</v>
          </cell>
          <cell r="I701" t="str">
            <v>超級</v>
          </cell>
          <cell r="J701">
            <v>694</v>
          </cell>
          <cell r="K701">
            <v>30</v>
          </cell>
          <cell r="L701">
            <v>3300</v>
          </cell>
          <cell r="M701">
            <v>1</v>
          </cell>
          <cell r="N701">
            <v>1</v>
          </cell>
          <cell r="O701">
            <v>1</v>
          </cell>
          <cell r="P701">
            <v>1</v>
          </cell>
          <cell r="Q701">
            <v>1</v>
          </cell>
          <cell r="R701">
            <v>3</v>
          </cell>
          <cell r="S701" t="str">
            <v>polygon</v>
          </cell>
          <cell r="T701">
            <v>1</v>
          </cell>
          <cell r="U701" t="str">
            <v>NULL</v>
          </cell>
          <cell r="V701" t="str">
            <v>NULL</v>
          </cell>
          <cell r="W701" t="str">
            <v/>
          </cell>
          <cell r="X701">
            <v>0</v>
          </cell>
          <cell r="Y701">
            <v>0</v>
          </cell>
          <cell r="Z701">
            <v>0</v>
          </cell>
          <cell r="AA701">
            <v>0</v>
          </cell>
          <cell r="AB701" t="str">
            <v>anytime</v>
          </cell>
          <cell r="AC701">
            <v>12</v>
          </cell>
          <cell r="AD701">
            <v>6</v>
          </cell>
          <cell r="AE701" t="str">
            <v>everyone</v>
          </cell>
        </row>
        <row r="702">
          <cell r="A702" t="str">
            <v>39011_1</v>
          </cell>
          <cell r="B702">
            <v>3</v>
          </cell>
          <cell r="C702">
            <v>39011</v>
          </cell>
          <cell r="D702" t="str">
            <v>ブルースクウェアを追え！</v>
          </cell>
          <cell r="E702" t="str">
            <v>コラボクエスト（復刻）</v>
          </cell>
          <cell r="F702">
            <v>1</v>
          </cell>
          <cell r="G702" t="str">
            <v>ja</v>
          </cell>
          <cell r="H702" t="str">
            <v>【初級】ブルースクウェアを追え！</v>
          </cell>
          <cell r="I702" t="str">
            <v>初級</v>
          </cell>
          <cell r="J702">
            <v>691</v>
          </cell>
          <cell r="K702">
            <v>8</v>
          </cell>
          <cell r="L702">
            <v>384</v>
          </cell>
          <cell r="M702">
            <v>1</v>
          </cell>
          <cell r="N702">
            <v>1</v>
          </cell>
          <cell r="O702">
            <v>1</v>
          </cell>
          <cell r="P702">
            <v>1</v>
          </cell>
          <cell r="Q702">
            <v>1</v>
          </cell>
          <cell r="R702">
            <v>3</v>
          </cell>
          <cell r="S702" t="str">
            <v>none</v>
          </cell>
          <cell r="T702">
            <v>0</v>
          </cell>
          <cell r="U702" t="str">
            <v>NULL</v>
          </cell>
          <cell r="V702" t="str">
            <v>NULL</v>
          </cell>
          <cell r="W702" t="str">
            <v/>
          </cell>
          <cell r="X702">
            <v>0</v>
          </cell>
          <cell r="Y702">
            <v>0</v>
          </cell>
          <cell r="Z702">
            <v>0</v>
          </cell>
          <cell r="AA702">
            <v>0</v>
          </cell>
          <cell r="AB702" t="str">
            <v>anytime</v>
          </cell>
          <cell r="AC702">
            <v>14</v>
          </cell>
          <cell r="AD702">
            <v>6</v>
          </cell>
          <cell r="AE702" t="str">
            <v>everyone</v>
          </cell>
        </row>
        <row r="703">
          <cell r="A703" t="str">
            <v>39011_2</v>
          </cell>
          <cell r="B703">
            <v>3</v>
          </cell>
          <cell r="C703">
            <v>39011</v>
          </cell>
          <cell r="D703" t="str">
            <v>ブルースクウェアを追え！</v>
          </cell>
          <cell r="E703" t="str">
            <v>コラボクエスト（復刻）</v>
          </cell>
          <cell r="F703">
            <v>2</v>
          </cell>
          <cell r="G703" t="str">
            <v>ja</v>
          </cell>
          <cell r="H703" t="str">
            <v>【中級】ブルースクウェアを追え！</v>
          </cell>
          <cell r="I703" t="str">
            <v>中級</v>
          </cell>
          <cell r="J703">
            <v>691</v>
          </cell>
          <cell r="K703">
            <v>15</v>
          </cell>
          <cell r="L703">
            <v>1200</v>
          </cell>
          <cell r="M703">
            <v>1</v>
          </cell>
          <cell r="N703">
            <v>1</v>
          </cell>
          <cell r="O703">
            <v>1</v>
          </cell>
          <cell r="P703">
            <v>1</v>
          </cell>
          <cell r="Q703">
            <v>1</v>
          </cell>
          <cell r="R703">
            <v>3</v>
          </cell>
          <cell r="S703" t="str">
            <v>none</v>
          </cell>
          <cell r="T703">
            <v>0</v>
          </cell>
          <cell r="U703" t="str">
            <v>NULL</v>
          </cell>
          <cell r="V703" t="str">
            <v>NULL</v>
          </cell>
          <cell r="W703" t="str">
            <v/>
          </cell>
          <cell r="X703">
            <v>0</v>
          </cell>
          <cell r="Y703">
            <v>0</v>
          </cell>
          <cell r="Z703">
            <v>0</v>
          </cell>
          <cell r="AA703">
            <v>0</v>
          </cell>
          <cell r="AB703" t="str">
            <v>anytime</v>
          </cell>
          <cell r="AC703">
            <v>14</v>
          </cell>
          <cell r="AD703">
            <v>6</v>
          </cell>
          <cell r="AE703" t="str">
            <v>everyone</v>
          </cell>
        </row>
        <row r="704">
          <cell r="A704" t="str">
            <v>39011_3</v>
          </cell>
          <cell r="B704">
            <v>3</v>
          </cell>
          <cell r="C704">
            <v>39011</v>
          </cell>
          <cell r="D704" t="str">
            <v>ブルースクウェアを追え！</v>
          </cell>
          <cell r="E704" t="str">
            <v>コラボクエスト（復刻）</v>
          </cell>
          <cell r="F704">
            <v>3</v>
          </cell>
          <cell r="G704" t="str">
            <v>ja</v>
          </cell>
          <cell r="H704" t="str">
            <v>【上級】ブルースクウェアを追え！</v>
          </cell>
          <cell r="I704" t="str">
            <v>上級</v>
          </cell>
          <cell r="J704">
            <v>691</v>
          </cell>
          <cell r="K704">
            <v>20</v>
          </cell>
          <cell r="L704">
            <v>2000</v>
          </cell>
          <cell r="M704">
            <v>1</v>
          </cell>
          <cell r="N704">
            <v>1</v>
          </cell>
          <cell r="O704">
            <v>1</v>
          </cell>
          <cell r="P704">
            <v>1</v>
          </cell>
          <cell r="Q704">
            <v>1</v>
          </cell>
          <cell r="R704">
            <v>3</v>
          </cell>
          <cell r="S704" t="str">
            <v>none</v>
          </cell>
          <cell r="T704">
            <v>0</v>
          </cell>
          <cell r="U704" t="str">
            <v>NULL</v>
          </cell>
          <cell r="V704" t="str">
            <v>NULL</v>
          </cell>
          <cell r="W704" t="str">
            <v/>
          </cell>
          <cell r="X704">
            <v>0</v>
          </cell>
          <cell r="Y704">
            <v>0</v>
          </cell>
          <cell r="Z704">
            <v>0</v>
          </cell>
          <cell r="AA704">
            <v>0</v>
          </cell>
          <cell r="AB704" t="str">
            <v>anytime</v>
          </cell>
          <cell r="AC704">
            <v>14</v>
          </cell>
          <cell r="AD704">
            <v>6</v>
          </cell>
          <cell r="AE704" t="str">
            <v>everyone</v>
          </cell>
        </row>
        <row r="705">
          <cell r="A705" t="str">
            <v>39011_4</v>
          </cell>
          <cell r="B705">
            <v>3</v>
          </cell>
          <cell r="C705">
            <v>39011</v>
          </cell>
          <cell r="D705" t="str">
            <v>ブルースクウェアを追え！</v>
          </cell>
          <cell r="E705" t="str">
            <v>コラボクエスト（復刻）</v>
          </cell>
          <cell r="F705">
            <v>4</v>
          </cell>
          <cell r="G705" t="str">
            <v>ja</v>
          </cell>
          <cell r="H705" t="str">
            <v>【超級】ブルースクウェアを追え！</v>
          </cell>
          <cell r="I705" t="str">
            <v>超級</v>
          </cell>
          <cell r="J705">
            <v>691</v>
          </cell>
          <cell r="K705">
            <v>30</v>
          </cell>
          <cell r="L705">
            <v>3300</v>
          </cell>
          <cell r="M705">
            <v>1</v>
          </cell>
          <cell r="N705">
            <v>1</v>
          </cell>
          <cell r="O705">
            <v>1</v>
          </cell>
          <cell r="P705">
            <v>1</v>
          </cell>
          <cell r="Q705">
            <v>1</v>
          </cell>
          <cell r="R705">
            <v>3</v>
          </cell>
          <cell r="S705" t="str">
            <v>polygon</v>
          </cell>
          <cell r="T705">
            <v>1</v>
          </cell>
          <cell r="U705" t="str">
            <v>NULL</v>
          </cell>
          <cell r="V705" t="str">
            <v>NULL</v>
          </cell>
          <cell r="W705" t="str">
            <v/>
          </cell>
          <cell r="X705">
            <v>0</v>
          </cell>
          <cell r="Y705">
            <v>0</v>
          </cell>
          <cell r="Z705">
            <v>0</v>
          </cell>
          <cell r="AA705">
            <v>0</v>
          </cell>
          <cell r="AB705" t="str">
            <v>anytime</v>
          </cell>
          <cell r="AC705">
            <v>14</v>
          </cell>
          <cell r="AD705">
            <v>6</v>
          </cell>
          <cell r="AE705" t="str">
            <v>everyone</v>
          </cell>
        </row>
        <row r="706">
          <cell r="A706" t="str">
            <v>39012_1</v>
          </cell>
          <cell r="B706">
            <v>1</v>
          </cell>
          <cell r="C706">
            <v>39012</v>
          </cell>
          <cell r="D706" t="str">
            <v>C絶</v>
          </cell>
          <cell r="E706" t="str">
            <v>コラボクエスト</v>
          </cell>
          <cell r="F706">
            <v>1</v>
          </cell>
          <cell r="G706" t="str">
            <v>ja</v>
          </cell>
          <cell r="H706" t="str">
            <v>【初級】C</v>
          </cell>
          <cell r="I706" t="str">
            <v>初級</v>
          </cell>
          <cell r="J706">
            <v>1506</v>
          </cell>
          <cell r="K706">
            <v>8</v>
          </cell>
          <cell r="L706">
            <v>384</v>
          </cell>
          <cell r="M706">
            <v>1</v>
          </cell>
          <cell r="N706">
            <v>1</v>
          </cell>
          <cell r="O706">
            <v>1</v>
          </cell>
          <cell r="P706">
            <v>1</v>
          </cell>
          <cell r="Q706">
            <v>1</v>
          </cell>
          <cell r="R706">
            <v>3</v>
          </cell>
          <cell r="S706" t="str">
            <v>polygon</v>
          </cell>
          <cell r="T706">
            <v>1</v>
          </cell>
          <cell r="U706" t="str">
            <v>NULL</v>
          </cell>
          <cell r="V706" t="str">
            <v>NULL</v>
          </cell>
          <cell r="W706" t="str">
            <v/>
          </cell>
          <cell r="X706">
            <v>0</v>
          </cell>
          <cell r="Y706">
            <v>0</v>
          </cell>
          <cell r="Z706">
            <v>0</v>
          </cell>
          <cell r="AA706">
            <v>0</v>
          </cell>
          <cell r="AB706" t="str">
            <v>anytime</v>
          </cell>
          <cell r="AC706">
            <v>14</v>
          </cell>
          <cell r="AD706">
            <v>6</v>
          </cell>
          <cell r="AE706" t="str">
            <v>everyone</v>
          </cell>
        </row>
        <row r="707">
          <cell r="A707" t="str">
            <v>39012_2</v>
          </cell>
          <cell r="B707">
            <v>1</v>
          </cell>
          <cell r="C707">
            <v>39012</v>
          </cell>
          <cell r="D707" t="str">
            <v>C絶</v>
          </cell>
          <cell r="E707" t="str">
            <v>コラボクエスト</v>
          </cell>
          <cell r="F707">
            <v>2</v>
          </cell>
          <cell r="G707" t="str">
            <v>ja</v>
          </cell>
          <cell r="H707" t="str">
            <v>【中級】C</v>
          </cell>
          <cell r="I707" t="str">
            <v>中級</v>
          </cell>
          <cell r="J707">
            <v>1507</v>
          </cell>
          <cell r="K707">
            <v>15</v>
          </cell>
          <cell r="L707">
            <v>1200</v>
          </cell>
          <cell r="M707">
            <v>1</v>
          </cell>
          <cell r="N707">
            <v>1</v>
          </cell>
          <cell r="O707">
            <v>1</v>
          </cell>
          <cell r="P707">
            <v>1</v>
          </cell>
          <cell r="Q707">
            <v>1</v>
          </cell>
          <cell r="R707">
            <v>3</v>
          </cell>
          <cell r="S707" t="str">
            <v>polygon</v>
          </cell>
          <cell r="T707">
            <v>1</v>
          </cell>
          <cell r="U707" t="str">
            <v>NULL</v>
          </cell>
          <cell r="V707" t="str">
            <v>NULL</v>
          </cell>
          <cell r="W707" t="str">
            <v/>
          </cell>
          <cell r="X707">
            <v>0</v>
          </cell>
          <cell r="Y707">
            <v>0</v>
          </cell>
          <cell r="Z707">
            <v>0</v>
          </cell>
          <cell r="AA707">
            <v>0</v>
          </cell>
          <cell r="AB707" t="str">
            <v>anytime</v>
          </cell>
          <cell r="AC707">
            <v>14</v>
          </cell>
          <cell r="AD707">
            <v>6</v>
          </cell>
          <cell r="AE707" t="str">
            <v>everyone</v>
          </cell>
        </row>
        <row r="708">
          <cell r="A708" t="str">
            <v>39012_3</v>
          </cell>
          <cell r="B708">
            <v>1</v>
          </cell>
          <cell r="C708">
            <v>39012</v>
          </cell>
          <cell r="D708" t="str">
            <v>C絶</v>
          </cell>
          <cell r="E708" t="str">
            <v>コラボクエスト</v>
          </cell>
          <cell r="F708">
            <v>3</v>
          </cell>
          <cell r="G708" t="str">
            <v>ja</v>
          </cell>
          <cell r="H708" t="str">
            <v>【上級】C</v>
          </cell>
          <cell r="I708" t="str">
            <v>上級</v>
          </cell>
          <cell r="J708">
            <v>1508</v>
          </cell>
          <cell r="K708">
            <v>20</v>
          </cell>
          <cell r="L708">
            <v>2000</v>
          </cell>
          <cell r="M708">
            <v>1</v>
          </cell>
          <cell r="N708">
            <v>1</v>
          </cell>
          <cell r="O708">
            <v>1</v>
          </cell>
          <cell r="P708">
            <v>1</v>
          </cell>
          <cell r="Q708">
            <v>1</v>
          </cell>
          <cell r="R708">
            <v>3</v>
          </cell>
          <cell r="S708" t="str">
            <v>polygon</v>
          </cell>
          <cell r="T708">
            <v>1</v>
          </cell>
          <cell r="U708" t="str">
            <v>NULL</v>
          </cell>
          <cell r="V708" t="str">
            <v>NULL</v>
          </cell>
          <cell r="W708" t="str">
            <v/>
          </cell>
          <cell r="X708">
            <v>0</v>
          </cell>
          <cell r="Y708">
            <v>0</v>
          </cell>
          <cell r="Z708">
            <v>0</v>
          </cell>
          <cell r="AA708">
            <v>0</v>
          </cell>
          <cell r="AB708" t="str">
            <v>anytime</v>
          </cell>
          <cell r="AC708">
            <v>14</v>
          </cell>
          <cell r="AD708">
            <v>6</v>
          </cell>
          <cell r="AE708" t="str">
            <v>everyone</v>
          </cell>
        </row>
        <row r="709">
          <cell r="A709" t="str">
            <v>39012_4</v>
          </cell>
          <cell r="B709">
            <v>1</v>
          </cell>
          <cell r="C709">
            <v>39012</v>
          </cell>
          <cell r="D709" t="str">
            <v>C絶</v>
          </cell>
          <cell r="E709" t="str">
            <v>コラボクエスト</v>
          </cell>
          <cell r="F709">
            <v>4</v>
          </cell>
          <cell r="G709" t="str">
            <v>ja</v>
          </cell>
          <cell r="H709" t="str">
            <v>【超級】C</v>
          </cell>
          <cell r="I709" t="str">
            <v>超級</v>
          </cell>
          <cell r="J709">
            <v>1509</v>
          </cell>
          <cell r="K709">
            <v>30</v>
          </cell>
          <cell r="L709">
            <v>3300</v>
          </cell>
          <cell r="M709">
            <v>1</v>
          </cell>
          <cell r="N709">
            <v>1</v>
          </cell>
          <cell r="O709">
            <v>1</v>
          </cell>
          <cell r="P709">
            <v>1</v>
          </cell>
          <cell r="Q709">
            <v>1</v>
          </cell>
          <cell r="R709">
            <v>3</v>
          </cell>
          <cell r="S709" t="str">
            <v>polygon</v>
          </cell>
          <cell r="T709">
            <v>1</v>
          </cell>
          <cell r="U709" t="str">
            <v>NULL</v>
          </cell>
          <cell r="V709" t="str">
            <v>NULL</v>
          </cell>
          <cell r="W709" t="str">
            <v/>
          </cell>
          <cell r="X709">
            <v>0</v>
          </cell>
          <cell r="Y709">
            <v>0</v>
          </cell>
          <cell r="Z709">
            <v>0</v>
          </cell>
          <cell r="AA709">
            <v>0</v>
          </cell>
          <cell r="AB709" t="str">
            <v>anytime</v>
          </cell>
          <cell r="AC709">
            <v>14</v>
          </cell>
          <cell r="AD709">
            <v>6</v>
          </cell>
          <cell r="AE709" t="str">
            <v>everyone</v>
          </cell>
        </row>
        <row r="710">
          <cell r="A710" t="str">
            <v>39012_5</v>
          </cell>
          <cell r="B710">
            <v>1</v>
          </cell>
          <cell r="C710">
            <v>39012</v>
          </cell>
          <cell r="D710" t="str">
            <v>C絶</v>
          </cell>
          <cell r="E710" t="str">
            <v>コラボクエスト</v>
          </cell>
          <cell r="F710">
            <v>5</v>
          </cell>
          <cell r="G710" t="str">
            <v>ja</v>
          </cell>
          <cell r="H710" t="str">
            <v>【超絶級】C</v>
          </cell>
          <cell r="I710" t="str">
            <v>超絶級</v>
          </cell>
          <cell r="J710">
            <v>1510</v>
          </cell>
          <cell r="K710">
            <v>35</v>
          </cell>
          <cell r="L710">
            <v>4200</v>
          </cell>
          <cell r="M710">
            <v>1</v>
          </cell>
          <cell r="N710">
            <v>1</v>
          </cell>
          <cell r="O710">
            <v>1</v>
          </cell>
          <cell r="P710">
            <v>1</v>
          </cell>
          <cell r="Q710">
            <v>1</v>
          </cell>
          <cell r="R710">
            <v>3</v>
          </cell>
          <cell r="S710" t="str">
            <v>polygon</v>
          </cell>
          <cell r="T710">
            <v>1</v>
          </cell>
          <cell r="U710" t="str">
            <v>NULL</v>
          </cell>
          <cell r="V710" t="str">
            <v>NULL</v>
          </cell>
          <cell r="W710" t="str">
            <v/>
          </cell>
          <cell r="X710">
            <v>0</v>
          </cell>
          <cell r="Y710">
            <v>0</v>
          </cell>
          <cell r="Z710">
            <v>0</v>
          </cell>
          <cell r="AA710">
            <v>0</v>
          </cell>
          <cell r="AB710" t="str">
            <v>anytime</v>
          </cell>
          <cell r="AC710">
            <v>14</v>
          </cell>
          <cell r="AD710">
            <v>6</v>
          </cell>
          <cell r="AE710" t="str">
            <v>everyone</v>
          </cell>
        </row>
        <row r="711">
          <cell r="A711" t="str">
            <v>40001_1</v>
          </cell>
          <cell r="B711">
            <v>1</v>
          </cell>
          <cell r="C711">
            <v>40001</v>
          </cell>
          <cell r="D711" t="str">
            <v>アマテラス襲来！</v>
          </cell>
          <cell r="E711" t="str">
            <v>降臨1</v>
          </cell>
          <cell r="F711">
            <v>1</v>
          </cell>
          <cell r="G711" t="str">
            <v>ja</v>
          </cell>
          <cell r="H711" t="str">
            <v xml:space="preserve">【ウィザード級】アマテラス襲来 </v>
          </cell>
          <cell r="I711" t="str">
            <v>地獄級</v>
          </cell>
          <cell r="J711">
            <v>278</v>
          </cell>
          <cell r="K711">
            <v>35</v>
          </cell>
          <cell r="L711">
            <v>4200</v>
          </cell>
          <cell r="M711">
            <v>1</v>
          </cell>
          <cell r="N711">
            <v>1</v>
          </cell>
          <cell r="O711">
            <v>1</v>
          </cell>
          <cell r="P711">
            <v>1</v>
          </cell>
          <cell r="Q711">
            <v>1</v>
          </cell>
          <cell r="R711">
            <v>3</v>
          </cell>
          <cell r="S711" t="str">
            <v>none</v>
          </cell>
          <cell r="T711">
            <v>0</v>
          </cell>
          <cell r="U711" t="str">
            <v>NULL</v>
          </cell>
          <cell r="V711" t="str">
            <v>NULL</v>
          </cell>
          <cell r="W711" t="str">
            <v/>
          </cell>
          <cell r="X711">
            <v>0</v>
          </cell>
          <cell r="Y711">
            <v>0</v>
          </cell>
          <cell r="Z711">
            <v>0</v>
          </cell>
          <cell r="AA711">
            <v>0</v>
          </cell>
          <cell r="AB711" t="str">
            <v>anytime</v>
          </cell>
          <cell r="AC711">
            <v>901</v>
          </cell>
          <cell r="AD711">
            <v>6</v>
          </cell>
          <cell r="AE711" t="str">
            <v>everyone</v>
          </cell>
        </row>
        <row r="712">
          <cell r="A712" t="str">
            <v>40002_1</v>
          </cell>
          <cell r="B712">
            <v>1</v>
          </cell>
          <cell r="C712">
            <v>40002</v>
          </cell>
          <cell r="D712" t="str">
            <v>アザゼル襲来！</v>
          </cell>
          <cell r="E712" t="str">
            <v>降臨2</v>
          </cell>
          <cell r="F712">
            <v>1</v>
          </cell>
          <cell r="G712" t="str">
            <v>ja</v>
          </cell>
          <cell r="H712" t="str">
            <v xml:space="preserve">【超級】アザゼル襲来 </v>
          </cell>
          <cell r="I712" t="str">
            <v>超級</v>
          </cell>
          <cell r="J712">
            <v>296</v>
          </cell>
          <cell r="K712">
            <v>25</v>
          </cell>
          <cell r="L712">
            <v>2000</v>
          </cell>
          <cell r="M712">
            <v>1</v>
          </cell>
          <cell r="N712">
            <v>1</v>
          </cell>
          <cell r="O712">
            <v>1</v>
          </cell>
          <cell r="P712">
            <v>1</v>
          </cell>
          <cell r="Q712">
            <v>1</v>
          </cell>
          <cell r="R712">
            <v>3</v>
          </cell>
          <cell r="S712" t="str">
            <v>none</v>
          </cell>
          <cell r="T712">
            <v>0</v>
          </cell>
          <cell r="U712" t="str">
            <v>NULL</v>
          </cell>
          <cell r="V712" t="str">
            <v>NULL</v>
          </cell>
          <cell r="W712" t="str">
            <v/>
          </cell>
          <cell r="X712">
            <v>0</v>
          </cell>
          <cell r="Y712">
            <v>0</v>
          </cell>
          <cell r="Z712">
            <v>0</v>
          </cell>
          <cell r="AA712">
            <v>0</v>
          </cell>
          <cell r="AB712" t="str">
            <v>anytime</v>
          </cell>
          <cell r="AC712">
            <v>902</v>
          </cell>
          <cell r="AD712">
            <v>6</v>
          </cell>
          <cell r="AE712" t="str">
            <v>everyone</v>
          </cell>
        </row>
        <row r="713">
          <cell r="A713" t="str">
            <v>40002_2</v>
          </cell>
          <cell r="B713">
            <v>1</v>
          </cell>
          <cell r="C713">
            <v>40002</v>
          </cell>
          <cell r="D713" t="str">
            <v>アザゼル襲来！</v>
          </cell>
          <cell r="E713" t="str">
            <v>降臨2</v>
          </cell>
          <cell r="F713">
            <v>2</v>
          </cell>
          <cell r="G713" t="str">
            <v>ja</v>
          </cell>
          <cell r="H713" t="str">
            <v>【超絶級】アザゼル襲来</v>
          </cell>
          <cell r="I713" t="str">
            <v>超絶級</v>
          </cell>
          <cell r="J713">
            <v>297</v>
          </cell>
          <cell r="K713">
            <v>30</v>
          </cell>
          <cell r="L713">
            <v>3300</v>
          </cell>
          <cell r="M713">
            <v>1</v>
          </cell>
          <cell r="N713">
            <v>1</v>
          </cell>
          <cell r="O713">
            <v>1</v>
          </cell>
          <cell r="P713">
            <v>1</v>
          </cell>
          <cell r="Q713">
            <v>1</v>
          </cell>
          <cell r="R713">
            <v>3</v>
          </cell>
          <cell r="S713" t="str">
            <v>none</v>
          </cell>
          <cell r="T713">
            <v>0</v>
          </cell>
          <cell r="U713" t="str">
            <v>NULL</v>
          </cell>
          <cell r="V713" t="str">
            <v>NULL</v>
          </cell>
          <cell r="W713" t="str">
            <v/>
          </cell>
          <cell r="X713">
            <v>0</v>
          </cell>
          <cell r="Y713">
            <v>0</v>
          </cell>
          <cell r="Z713">
            <v>0</v>
          </cell>
          <cell r="AA713">
            <v>0</v>
          </cell>
          <cell r="AB713" t="str">
            <v>anytime</v>
          </cell>
          <cell r="AC713">
            <v>902</v>
          </cell>
          <cell r="AD713">
            <v>6</v>
          </cell>
          <cell r="AE713" t="str">
            <v>everyone</v>
          </cell>
        </row>
        <row r="714">
          <cell r="A714" t="str">
            <v>40002_3</v>
          </cell>
          <cell r="B714">
            <v>1</v>
          </cell>
          <cell r="C714">
            <v>40002</v>
          </cell>
          <cell r="D714" t="str">
            <v>アザゼル襲来！</v>
          </cell>
          <cell r="E714" t="str">
            <v>降臨2</v>
          </cell>
          <cell r="F714">
            <v>3</v>
          </cell>
          <cell r="G714" t="str">
            <v>ja</v>
          </cell>
          <cell r="H714" t="str">
            <v xml:space="preserve">【ウィザード級】アザゼル襲来 </v>
          </cell>
          <cell r="I714" t="str">
            <v>地獄級</v>
          </cell>
          <cell r="J714">
            <v>297</v>
          </cell>
          <cell r="K714">
            <v>35</v>
          </cell>
          <cell r="L714">
            <v>4200</v>
          </cell>
          <cell r="M714">
            <v>1</v>
          </cell>
          <cell r="N714">
            <v>1</v>
          </cell>
          <cell r="O714">
            <v>1</v>
          </cell>
          <cell r="P714">
            <v>1</v>
          </cell>
          <cell r="Q714">
            <v>1</v>
          </cell>
          <cell r="R714">
            <v>3</v>
          </cell>
          <cell r="S714" t="str">
            <v>character</v>
          </cell>
          <cell r="T714">
            <v>296</v>
          </cell>
          <cell r="U714" t="str">
            <v>NULL</v>
          </cell>
          <cell r="V714" t="str">
            <v>NULL</v>
          </cell>
          <cell r="W714" t="str">
            <v/>
          </cell>
          <cell r="X714">
            <v>0</v>
          </cell>
          <cell r="Y714">
            <v>0</v>
          </cell>
          <cell r="Z714">
            <v>0</v>
          </cell>
          <cell r="AA714">
            <v>0</v>
          </cell>
          <cell r="AB714" t="str">
            <v>anytime</v>
          </cell>
          <cell r="AC714">
            <v>902</v>
          </cell>
          <cell r="AD714">
            <v>6</v>
          </cell>
          <cell r="AE714" t="str">
            <v>everyone</v>
          </cell>
        </row>
        <row r="715">
          <cell r="A715" t="str">
            <v>40003_1</v>
          </cell>
          <cell r="B715">
            <v>1</v>
          </cell>
          <cell r="C715">
            <v>40003</v>
          </cell>
          <cell r="D715" t="str">
            <v>ジャンヌ襲来！</v>
          </cell>
          <cell r="E715" t="str">
            <v>降臨3</v>
          </cell>
          <cell r="F715">
            <v>1</v>
          </cell>
          <cell r="G715" t="str">
            <v>ja</v>
          </cell>
          <cell r="H715" t="str">
            <v xml:space="preserve">【ウィザード級】ジャンヌ襲来 </v>
          </cell>
          <cell r="I715" t="str">
            <v>地獄級</v>
          </cell>
          <cell r="J715">
            <v>315</v>
          </cell>
          <cell r="K715">
            <v>35</v>
          </cell>
          <cell r="L715">
            <v>4200</v>
          </cell>
          <cell r="M715">
            <v>1</v>
          </cell>
          <cell r="N715">
            <v>1</v>
          </cell>
          <cell r="O715">
            <v>1</v>
          </cell>
          <cell r="P715">
            <v>1</v>
          </cell>
          <cell r="Q715">
            <v>1</v>
          </cell>
          <cell r="R715">
            <v>3</v>
          </cell>
          <cell r="S715" t="str">
            <v>character</v>
          </cell>
          <cell r="T715">
            <v>314</v>
          </cell>
          <cell r="U715" t="str">
            <v>NULL</v>
          </cell>
          <cell r="V715" t="str">
            <v>NULL</v>
          </cell>
          <cell r="W715" t="str">
            <v/>
          </cell>
          <cell r="X715">
            <v>0</v>
          </cell>
          <cell r="Y715">
            <v>0</v>
          </cell>
          <cell r="Z715">
            <v>0</v>
          </cell>
          <cell r="AA715">
            <v>0</v>
          </cell>
          <cell r="AB715" t="str">
            <v>anytime</v>
          </cell>
          <cell r="AC715">
            <v>903</v>
          </cell>
          <cell r="AD715">
            <v>6</v>
          </cell>
          <cell r="AE715" t="str">
            <v>everyone</v>
          </cell>
        </row>
        <row r="716">
          <cell r="A716" t="str">
            <v>40004_1</v>
          </cell>
          <cell r="B716">
            <v>1</v>
          </cell>
          <cell r="C716">
            <v>40004</v>
          </cell>
          <cell r="D716" t="str">
            <v>宮本武蔵襲来！</v>
          </cell>
          <cell r="E716" t="str">
            <v>降臨4</v>
          </cell>
          <cell r="F716">
            <v>1</v>
          </cell>
          <cell r="G716" t="str">
            <v>ja</v>
          </cell>
          <cell r="H716" t="str">
            <v xml:space="preserve">【ウィザード級】宮本武蔵襲来 </v>
          </cell>
          <cell r="I716" t="str">
            <v>地獄級</v>
          </cell>
          <cell r="J716">
            <v>427</v>
          </cell>
          <cell r="K716">
            <v>35</v>
          </cell>
          <cell r="L716">
            <v>4200</v>
          </cell>
          <cell r="M716">
            <v>1</v>
          </cell>
          <cell r="N716">
            <v>1</v>
          </cell>
          <cell r="O716">
            <v>1</v>
          </cell>
          <cell r="P716">
            <v>1</v>
          </cell>
          <cell r="Q716">
            <v>1</v>
          </cell>
          <cell r="R716">
            <v>3</v>
          </cell>
          <cell r="S716" t="str">
            <v>character</v>
          </cell>
          <cell r="T716">
            <v>426</v>
          </cell>
          <cell r="U716" t="str">
            <v>NULL</v>
          </cell>
          <cell r="V716" t="str">
            <v>NULL</v>
          </cell>
          <cell r="W716" t="str">
            <v/>
          </cell>
          <cell r="X716">
            <v>0</v>
          </cell>
          <cell r="Y716">
            <v>0</v>
          </cell>
          <cell r="Z716">
            <v>0</v>
          </cell>
          <cell r="AA716">
            <v>0</v>
          </cell>
          <cell r="AB716" t="str">
            <v>anytime</v>
          </cell>
          <cell r="AC716">
            <v>904</v>
          </cell>
          <cell r="AD716">
            <v>6</v>
          </cell>
          <cell r="AE716" t="str">
            <v>everyone</v>
          </cell>
        </row>
        <row r="717">
          <cell r="A717" t="str">
            <v>40005_1</v>
          </cell>
          <cell r="B717">
            <v>1</v>
          </cell>
          <cell r="C717">
            <v>40005</v>
          </cell>
          <cell r="D717" t="str">
            <v>オズ襲来！</v>
          </cell>
          <cell r="E717" t="str">
            <v>降臨5</v>
          </cell>
          <cell r="F717">
            <v>1</v>
          </cell>
          <cell r="G717" t="str">
            <v>ja</v>
          </cell>
          <cell r="H717" t="str">
            <v xml:space="preserve">【ウィザード級】オズ襲来 </v>
          </cell>
          <cell r="I717" t="str">
            <v>地獄級</v>
          </cell>
          <cell r="J717">
            <v>461</v>
          </cell>
          <cell r="K717">
            <v>35</v>
          </cell>
          <cell r="L717">
            <v>4200</v>
          </cell>
          <cell r="M717">
            <v>1</v>
          </cell>
          <cell r="N717">
            <v>1</v>
          </cell>
          <cell r="O717">
            <v>1</v>
          </cell>
          <cell r="P717">
            <v>1</v>
          </cell>
          <cell r="Q717">
            <v>1</v>
          </cell>
          <cell r="R717">
            <v>3</v>
          </cell>
          <cell r="S717" t="str">
            <v>character</v>
          </cell>
          <cell r="T717">
            <v>460</v>
          </cell>
          <cell r="U717" t="str">
            <v>NULL</v>
          </cell>
          <cell r="V717" t="str">
            <v>NULL</v>
          </cell>
          <cell r="W717" t="str">
            <v/>
          </cell>
          <cell r="X717">
            <v>0</v>
          </cell>
          <cell r="Y717">
            <v>0</v>
          </cell>
          <cell r="Z717">
            <v>0</v>
          </cell>
          <cell r="AA717">
            <v>0</v>
          </cell>
          <cell r="AB717" t="str">
            <v>anytime</v>
          </cell>
          <cell r="AC717">
            <v>906</v>
          </cell>
          <cell r="AD717">
            <v>6</v>
          </cell>
          <cell r="AE717" t="str">
            <v>everyone</v>
          </cell>
        </row>
        <row r="718">
          <cell r="A718" t="str">
            <v>40006_1</v>
          </cell>
          <cell r="B718">
            <v>1</v>
          </cell>
          <cell r="C718">
            <v>40006</v>
          </cell>
          <cell r="D718" t="str">
            <v>アーサー襲来！</v>
          </cell>
          <cell r="E718" t="str">
            <v>降臨6</v>
          </cell>
          <cell r="F718">
            <v>1</v>
          </cell>
          <cell r="G718" t="str">
            <v>ja</v>
          </cell>
          <cell r="H718" t="str">
            <v xml:space="preserve">【ウィザード級】アーサー襲来 </v>
          </cell>
          <cell r="I718" t="str">
            <v>地獄級</v>
          </cell>
          <cell r="J718">
            <v>473</v>
          </cell>
          <cell r="K718">
            <v>35</v>
          </cell>
          <cell r="L718">
            <v>4200</v>
          </cell>
          <cell r="M718">
            <v>1</v>
          </cell>
          <cell r="N718">
            <v>1</v>
          </cell>
          <cell r="O718">
            <v>1</v>
          </cell>
          <cell r="P718">
            <v>1</v>
          </cell>
          <cell r="Q718">
            <v>1</v>
          </cell>
          <cell r="R718">
            <v>3</v>
          </cell>
          <cell r="S718" t="str">
            <v>character</v>
          </cell>
          <cell r="T718">
            <v>472</v>
          </cell>
          <cell r="U718" t="str">
            <v>NULL</v>
          </cell>
          <cell r="V718" t="str">
            <v>NULL</v>
          </cell>
          <cell r="W718" t="str">
            <v/>
          </cell>
          <cell r="X718">
            <v>0</v>
          </cell>
          <cell r="Y718">
            <v>0</v>
          </cell>
          <cell r="Z718">
            <v>0</v>
          </cell>
          <cell r="AA718">
            <v>0</v>
          </cell>
          <cell r="AB718" t="str">
            <v>anytime</v>
          </cell>
          <cell r="AC718">
            <v>907</v>
          </cell>
          <cell r="AD718">
            <v>6</v>
          </cell>
          <cell r="AE718" t="str">
            <v>everyone</v>
          </cell>
        </row>
        <row r="719">
          <cell r="A719" t="str">
            <v>40007_1</v>
          </cell>
          <cell r="B719">
            <v>1</v>
          </cell>
          <cell r="C719">
            <v>40007</v>
          </cell>
          <cell r="D719" t="str">
            <v>グリム襲来！</v>
          </cell>
          <cell r="E719" t="str">
            <v>降臨7</v>
          </cell>
          <cell r="F719">
            <v>1</v>
          </cell>
          <cell r="G719" t="str">
            <v>ja</v>
          </cell>
          <cell r="H719" t="str">
            <v xml:space="preserve">【ウィザード級】グリム襲来 </v>
          </cell>
          <cell r="I719" t="str">
            <v>地獄級</v>
          </cell>
          <cell r="J719">
            <v>491</v>
          </cell>
          <cell r="K719">
            <v>35</v>
          </cell>
          <cell r="L719">
            <v>4200</v>
          </cell>
          <cell r="M719">
            <v>1</v>
          </cell>
          <cell r="N719">
            <v>1</v>
          </cell>
          <cell r="O719">
            <v>1</v>
          </cell>
          <cell r="P719">
            <v>1</v>
          </cell>
          <cell r="Q719">
            <v>1</v>
          </cell>
          <cell r="R719">
            <v>3</v>
          </cell>
          <cell r="S719" t="str">
            <v>character</v>
          </cell>
          <cell r="T719">
            <v>490</v>
          </cell>
          <cell r="U719" t="str">
            <v>NULL</v>
          </cell>
          <cell r="V719" t="str">
            <v>NULL</v>
          </cell>
          <cell r="W719" t="str">
            <v/>
          </cell>
          <cell r="X719">
            <v>0</v>
          </cell>
          <cell r="Y719">
            <v>0</v>
          </cell>
          <cell r="Z719">
            <v>0</v>
          </cell>
          <cell r="AA719">
            <v>0</v>
          </cell>
          <cell r="AB719" t="str">
            <v>anytime</v>
          </cell>
          <cell r="AC719">
            <v>908</v>
          </cell>
          <cell r="AD719">
            <v>6</v>
          </cell>
          <cell r="AE719" t="str">
            <v>everyone</v>
          </cell>
        </row>
        <row r="720">
          <cell r="A720" t="str">
            <v>40008_1</v>
          </cell>
          <cell r="B720">
            <v>1</v>
          </cell>
          <cell r="C720">
            <v>40008</v>
          </cell>
          <cell r="D720" t="str">
            <v>Gスター襲来！</v>
          </cell>
          <cell r="E720" t="str">
            <v>降臨8</v>
          </cell>
          <cell r="F720">
            <v>1</v>
          </cell>
          <cell r="G720" t="str">
            <v>ja</v>
          </cell>
          <cell r="H720" t="str">
            <v xml:space="preserve">【ウィザード級】Gスター襲来 </v>
          </cell>
          <cell r="I720" t="str">
            <v>地獄級</v>
          </cell>
          <cell r="J720">
            <v>509</v>
          </cell>
          <cell r="K720">
            <v>35</v>
          </cell>
          <cell r="L720">
            <v>4200</v>
          </cell>
          <cell r="M720">
            <v>1</v>
          </cell>
          <cell r="N720">
            <v>1</v>
          </cell>
          <cell r="O720">
            <v>1</v>
          </cell>
          <cell r="P720">
            <v>1</v>
          </cell>
          <cell r="Q720">
            <v>1</v>
          </cell>
          <cell r="R720">
            <v>3</v>
          </cell>
          <cell r="S720" t="str">
            <v>character</v>
          </cell>
          <cell r="T720">
            <v>508</v>
          </cell>
          <cell r="U720" t="str">
            <v>NULL</v>
          </cell>
          <cell r="V720" t="str">
            <v>NULL</v>
          </cell>
          <cell r="W720" t="str">
            <v/>
          </cell>
          <cell r="X720">
            <v>0</v>
          </cell>
          <cell r="Y720">
            <v>0</v>
          </cell>
          <cell r="Z720">
            <v>0</v>
          </cell>
          <cell r="AA720">
            <v>0</v>
          </cell>
          <cell r="AB720" t="str">
            <v>anytime</v>
          </cell>
          <cell r="AC720">
            <v>2601</v>
          </cell>
          <cell r="AD720">
            <v>6</v>
          </cell>
          <cell r="AE720" t="str">
            <v>everyone</v>
          </cell>
        </row>
        <row r="721">
          <cell r="A721" t="str">
            <v>40009_1</v>
          </cell>
          <cell r="B721">
            <v>1</v>
          </cell>
          <cell r="C721">
            <v>40009</v>
          </cell>
          <cell r="D721" t="str">
            <v>フギンとムニン襲来！</v>
          </cell>
          <cell r="E721" t="str">
            <v>降臨9</v>
          </cell>
          <cell r="F721">
            <v>1</v>
          </cell>
          <cell r="G721" t="str">
            <v>ja</v>
          </cell>
          <cell r="H721" t="str">
            <v xml:space="preserve">【ウィザード級】フギンとムニン襲来 </v>
          </cell>
          <cell r="I721" t="str">
            <v>地獄級</v>
          </cell>
          <cell r="J721">
            <v>582</v>
          </cell>
          <cell r="K721">
            <v>35</v>
          </cell>
          <cell r="L721">
            <v>4200</v>
          </cell>
          <cell r="M721">
            <v>1</v>
          </cell>
          <cell r="N721">
            <v>1</v>
          </cell>
          <cell r="O721">
            <v>1</v>
          </cell>
          <cell r="P721">
            <v>1</v>
          </cell>
          <cell r="Q721">
            <v>1</v>
          </cell>
          <cell r="R721">
            <v>3</v>
          </cell>
          <cell r="S721" t="str">
            <v>character</v>
          </cell>
          <cell r="T721">
            <v>581</v>
          </cell>
          <cell r="U721" t="str">
            <v>NULL</v>
          </cell>
          <cell r="V721" t="str">
            <v>NULL</v>
          </cell>
          <cell r="W721" t="str">
            <v/>
          </cell>
          <cell r="X721">
            <v>0</v>
          </cell>
          <cell r="Y721">
            <v>0</v>
          </cell>
          <cell r="Z721">
            <v>0</v>
          </cell>
          <cell r="AA721">
            <v>0</v>
          </cell>
          <cell r="AB721" t="str">
            <v>anytime</v>
          </cell>
          <cell r="AC721">
            <v>25</v>
          </cell>
          <cell r="AD721">
            <v>6</v>
          </cell>
          <cell r="AE721" t="str">
            <v>everyone</v>
          </cell>
        </row>
        <row r="722">
          <cell r="A722" t="str">
            <v>40010_1</v>
          </cell>
          <cell r="B722">
            <v>1</v>
          </cell>
          <cell r="C722">
            <v>40010</v>
          </cell>
          <cell r="D722" t="str">
            <v>フレイ襲来！</v>
          </cell>
          <cell r="E722" t="str">
            <v>降臨10</v>
          </cell>
          <cell r="F722">
            <v>1</v>
          </cell>
          <cell r="G722" t="str">
            <v>ja</v>
          </cell>
          <cell r="H722" t="str">
            <v xml:space="preserve">【ウィザード級】フレイ襲来 </v>
          </cell>
          <cell r="I722" t="str">
            <v>地獄級</v>
          </cell>
          <cell r="J722">
            <v>575</v>
          </cell>
          <cell r="K722">
            <v>35</v>
          </cell>
          <cell r="L722">
            <v>4200</v>
          </cell>
          <cell r="M722">
            <v>1</v>
          </cell>
          <cell r="N722">
            <v>1</v>
          </cell>
          <cell r="O722">
            <v>1</v>
          </cell>
          <cell r="P722">
            <v>0</v>
          </cell>
          <cell r="Q722">
            <v>1</v>
          </cell>
          <cell r="R722">
            <v>3</v>
          </cell>
          <cell r="S722" t="str">
            <v>character</v>
          </cell>
          <cell r="T722">
            <v>575</v>
          </cell>
          <cell r="U722" t="str">
            <v>NULL</v>
          </cell>
          <cell r="V722" t="str">
            <v>NULL</v>
          </cell>
          <cell r="W722" t="str">
            <v/>
          </cell>
          <cell r="X722">
            <v>0</v>
          </cell>
          <cell r="Y722">
            <v>0</v>
          </cell>
          <cell r="Z722">
            <v>0</v>
          </cell>
          <cell r="AA722">
            <v>0</v>
          </cell>
          <cell r="AB722" t="str">
            <v>anytime</v>
          </cell>
          <cell r="AC722">
            <v>912</v>
          </cell>
          <cell r="AD722">
            <v>6</v>
          </cell>
          <cell r="AE722" t="str">
            <v>everyone</v>
          </cell>
        </row>
        <row r="723">
          <cell r="A723" t="str">
            <v>40011_1</v>
          </cell>
          <cell r="B723">
            <v>1</v>
          </cell>
          <cell r="C723">
            <v>40011</v>
          </cell>
          <cell r="D723" t="str">
            <v>ヨミ襲来！</v>
          </cell>
          <cell r="E723" t="str">
            <v>降臨11</v>
          </cell>
          <cell r="F723">
            <v>1</v>
          </cell>
          <cell r="G723" t="str">
            <v>ja</v>
          </cell>
          <cell r="H723" t="str">
            <v xml:space="preserve">【ウィザード級】ヨミ襲来 </v>
          </cell>
          <cell r="I723" t="str">
            <v>地獄級</v>
          </cell>
          <cell r="J723">
            <v>655</v>
          </cell>
          <cell r="K723">
            <v>35</v>
          </cell>
          <cell r="L723">
            <v>4200</v>
          </cell>
          <cell r="M723">
            <v>1</v>
          </cell>
          <cell r="N723">
            <v>1</v>
          </cell>
          <cell r="O723">
            <v>1</v>
          </cell>
          <cell r="P723">
            <v>1</v>
          </cell>
          <cell r="Q723">
            <v>1</v>
          </cell>
          <cell r="R723">
            <v>3</v>
          </cell>
          <cell r="S723" t="str">
            <v>character</v>
          </cell>
          <cell r="T723">
            <v>654</v>
          </cell>
          <cell r="U723" t="str">
            <v>NULL</v>
          </cell>
          <cell r="V723" t="str">
            <v>NULL</v>
          </cell>
          <cell r="W723" t="str">
            <v/>
          </cell>
          <cell r="X723">
            <v>0</v>
          </cell>
          <cell r="Y723">
            <v>0</v>
          </cell>
          <cell r="Z723">
            <v>0</v>
          </cell>
          <cell r="AA723">
            <v>0</v>
          </cell>
          <cell r="AB723" t="str">
            <v>anytime</v>
          </cell>
          <cell r="AC723">
            <v>913</v>
          </cell>
          <cell r="AD723">
            <v>6</v>
          </cell>
          <cell r="AE723" t="str">
            <v>everyone</v>
          </cell>
        </row>
        <row r="724">
          <cell r="A724" t="str">
            <v>40012_1</v>
          </cell>
          <cell r="B724">
            <v>1</v>
          </cell>
          <cell r="C724">
            <v>40012</v>
          </cell>
          <cell r="D724" t="str">
            <v>ショウキ襲来！</v>
          </cell>
          <cell r="E724" t="str">
            <v>降臨12</v>
          </cell>
          <cell r="F724">
            <v>1</v>
          </cell>
          <cell r="G724" t="str">
            <v>ja</v>
          </cell>
          <cell r="H724" t="str">
            <v xml:space="preserve">【ウィザード級】ショウキ襲来 </v>
          </cell>
          <cell r="I724" t="str">
            <v>地獄級</v>
          </cell>
          <cell r="J724">
            <v>645</v>
          </cell>
          <cell r="K724">
            <v>35</v>
          </cell>
          <cell r="L724">
            <v>4200</v>
          </cell>
          <cell r="M724">
            <v>1</v>
          </cell>
          <cell r="N724">
            <v>1</v>
          </cell>
          <cell r="O724">
            <v>1</v>
          </cell>
          <cell r="P724">
            <v>1</v>
          </cell>
          <cell r="Q724">
            <v>1</v>
          </cell>
          <cell r="R724">
            <v>3</v>
          </cell>
          <cell r="S724" t="str">
            <v>character</v>
          </cell>
          <cell r="T724">
            <v>644</v>
          </cell>
          <cell r="U724" t="str">
            <v>NULL</v>
          </cell>
          <cell r="V724" t="str">
            <v>NULL</v>
          </cell>
          <cell r="W724" t="str">
            <v/>
          </cell>
          <cell r="X724">
            <v>0</v>
          </cell>
          <cell r="Y724">
            <v>0</v>
          </cell>
          <cell r="Z724">
            <v>0</v>
          </cell>
          <cell r="AA724">
            <v>0</v>
          </cell>
          <cell r="AB724" t="str">
            <v>anytime</v>
          </cell>
          <cell r="AC724">
            <v>915</v>
          </cell>
          <cell r="AD724">
            <v>6</v>
          </cell>
          <cell r="AE724" t="str">
            <v>everyone</v>
          </cell>
        </row>
        <row r="725">
          <cell r="A725" t="str">
            <v>40013_1</v>
          </cell>
          <cell r="B725">
            <v>1</v>
          </cell>
          <cell r="C725">
            <v>40013</v>
          </cell>
          <cell r="D725" t="str">
            <v>カーマ襲来！</v>
          </cell>
          <cell r="E725" t="str">
            <v>降臨13</v>
          </cell>
          <cell r="F725">
            <v>1</v>
          </cell>
          <cell r="G725" t="str">
            <v>ja</v>
          </cell>
          <cell r="H725" t="str">
            <v xml:space="preserve">【ウィザード級】カーマ襲来 </v>
          </cell>
          <cell r="I725" t="str">
            <v>地獄級</v>
          </cell>
          <cell r="J725">
            <v>643</v>
          </cell>
          <cell r="K725">
            <v>35</v>
          </cell>
          <cell r="L725">
            <v>4200</v>
          </cell>
          <cell r="M725">
            <v>1</v>
          </cell>
          <cell r="N725">
            <v>1</v>
          </cell>
          <cell r="O725">
            <v>1</v>
          </cell>
          <cell r="P725">
            <v>1</v>
          </cell>
          <cell r="Q725">
            <v>0</v>
          </cell>
          <cell r="R725">
            <v>3</v>
          </cell>
          <cell r="S725" t="str">
            <v>character</v>
          </cell>
          <cell r="T725">
            <v>642</v>
          </cell>
          <cell r="U725" t="str">
            <v>NULL</v>
          </cell>
          <cell r="V725" t="str">
            <v>NULL</v>
          </cell>
          <cell r="W725" t="str">
            <v/>
          </cell>
          <cell r="X725">
            <v>0</v>
          </cell>
          <cell r="Y725">
            <v>0</v>
          </cell>
          <cell r="Z725">
            <v>0</v>
          </cell>
          <cell r="AA725">
            <v>0</v>
          </cell>
          <cell r="AB725" t="str">
            <v>anytime</v>
          </cell>
          <cell r="AC725">
            <v>916</v>
          </cell>
          <cell r="AD725">
            <v>6</v>
          </cell>
          <cell r="AE725" t="str">
            <v>everyone</v>
          </cell>
        </row>
        <row r="726">
          <cell r="A726" t="str">
            <v>40014_1</v>
          </cell>
          <cell r="B726">
            <v>1</v>
          </cell>
          <cell r="C726">
            <v>40014</v>
          </cell>
          <cell r="D726" t="str">
            <v>シヴァ襲来！</v>
          </cell>
          <cell r="E726" t="str">
            <v>降臨14</v>
          </cell>
          <cell r="F726">
            <v>1</v>
          </cell>
          <cell r="G726" t="str">
            <v>ja</v>
          </cell>
          <cell r="H726" t="str">
            <v xml:space="preserve">【ウィザード級】シヴァ襲来 </v>
          </cell>
          <cell r="I726" t="str">
            <v>地獄級</v>
          </cell>
          <cell r="J726">
            <v>657</v>
          </cell>
          <cell r="K726">
            <v>35</v>
          </cell>
          <cell r="L726">
            <v>4200</v>
          </cell>
          <cell r="M726">
            <v>1</v>
          </cell>
          <cell r="N726">
            <v>1</v>
          </cell>
          <cell r="O726">
            <v>1</v>
          </cell>
          <cell r="P726">
            <v>1</v>
          </cell>
          <cell r="Q726">
            <v>1</v>
          </cell>
          <cell r="R726">
            <v>3</v>
          </cell>
          <cell r="S726" t="str">
            <v>character</v>
          </cell>
          <cell r="T726">
            <v>656</v>
          </cell>
          <cell r="U726" t="str">
            <v>NULL</v>
          </cell>
          <cell r="V726" t="str">
            <v>NULL</v>
          </cell>
          <cell r="W726" t="str">
            <v/>
          </cell>
          <cell r="X726">
            <v>0</v>
          </cell>
          <cell r="Y726">
            <v>0</v>
          </cell>
          <cell r="Z726">
            <v>0</v>
          </cell>
          <cell r="AA726">
            <v>0</v>
          </cell>
          <cell r="AB726" t="str">
            <v>anytime</v>
          </cell>
          <cell r="AC726">
            <v>916</v>
          </cell>
          <cell r="AD726">
            <v>6</v>
          </cell>
          <cell r="AE726" t="str">
            <v>everyone</v>
          </cell>
        </row>
        <row r="727">
          <cell r="A727" t="str">
            <v>40015_1</v>
          </cell>
          <cell r="B727">
            <v>1</v>
          </cell>
          <cell r="C727">
            <v>40015</v>
          </cell>
          <cell r="D727" t="str">
            <v>ガレス襲来！</v>
          </cell>
          <cell r="E727" t="str">
            <v>降臨15</v>
          </cell>
          <cell r="F727">
            <v>1</v>
          </cell>
          <cell r="G727" t="str">
            <v>ja</v>
          </cell>
          <cell r="H727" t="str">
            <v xml:space="preserve">【ウィザード級】ガレス襲来 </v>
          </cell>
          <cell r="I727" t="str">
            <v>地獄級</v>
          </cell>
          <cell r="J727">
            <v>769</v>
          </cell>
          <cell r="K727">
            <v>35</v>
          </cell>
          <cell r="L727">
            <v>4200</v>
          </cell>
          <cell r="M727">
            <v>1</v>
          </cell>
          <cell r="N727">
            <v>1</v>
          </cell>
          <cell r="O727">
            <v>1</v>
          </cell>
          <cell r="P727">
            <v>1</v>
          </cell>
          <cell r="Q727">
            <v>1</v>
          </cell>
          <cell r="R727">
            <v>3</v>
          </cell>
          <cell r="S727" t="str">
            <v>character</v>
          </cell>
          <cell r="T727">
            <v>768</v>
          </cell>
          <cell r="U727" t="str">
            <v>NULL</v>
          </cell>
          <cell r="V727" t="str">
            <v>NULL</v>
          </cell>
          <cell r="W727" t="str">
            <v/>
          </cell>
          <cell r="X727">
            <v>0</v>
          </cell>
          <cell r="Y727">
            <v>0</v>
          </cell>
          <cell r="Z727">
            <v>0</v>
          </cell>
          <cell r="AA727">
            <v>0</v>
          </cell>
          <cell r="AB727" t="str">
            <v>anytime</v>
          </cell>
          <cell r="AC727">
            <v>907</v>
          </cell>
          <cell r="AD727">
            <v>6</v>
          </cell>
          <cell r="AE727" t="str">
            <v>everyone</v>
          </cell>
        </row>
        <row r="728">
          <cell r="A728" t="str">
            <v>40016_1</v>
          </cell>
          <cell r="B728">
            <v>3</v>
          </cell>
          <cell r="C728">
            <v>40016</v>
          </cell>
          <cell r="D728" t="str">
            <v>武田信玄襲来！</v>
          </cell>
          <cell r="E728" t="str">
            <v>降臨16</v>
          </cell>
          <cell r="F728">
            <v>1</v>
          </cell>
          <cell r="G728" t="str">
            <v>ja</v>
          </cell>
          <cell r="H728" t="str">
            <v xml:space="preserve">【ウィザード級】武田信玄襲来 </v>
          </cell>
          <cell r="I728" t="str">
            <v>地獄級</v>
          </cell>
          <cell r="J728">
            <v>725</v>
          </cell>
          <cell r="K728">
            <v>40</v>
          </cell>
          <cell r="L728">
            <v>4500</v>
          </cell>
          <cell r="M728">
            <v>1</v>
          </cell>
          <cell r="N728">
            <v>1</v>
          </cell>
          <cell r="O728">
            <v>1</v>
          </cell>
          <cell r="P728">
            <v>1</v>
          </cell>
          <cell r="Q728">
            <v>1</v>
          </cell>
          <cell r="R728">
            <v>3</v>
          </cell>
          <cell r="S728" t="str">
            <v>polygon</v>
          </cell>
          <cell r="T728">
            <v>1</v>
          </cell>
          <cell r="U728" t="str">
            <v>NULL</v>
          </cell>
          <cell r="V728" t="str">
            <v>NULL</v>
          </cell>
          <cell r="W728" t="str">
            <v/>
          </cell>
          <cell r="X728">
            <v>0</v>
          </cell>
          <cell r="Y728">
            <v>0</v>
          </cell>
          <cell r="Z728">
            <v>0</v>
          </cell>
          <cell r="AA728">
            <v>0</v>
          </cell>
          <cell r="AB728" t="str">
            <v>anytime</v>
          </cell>
          <cell r="AC728">
            <v>919</v>
          </cell>
          <cell r="AD728">
            <v>6</v>
          </cell>
          <cell r="AE728" t="str">
            <v>everyone</v>
          </cell>
        </row>
        <row r="729">
          <cell r="A729" t="str">
            <v>40016_2</v>
          </cell>
          <cell r="B729">
            <v>1</v>
          </cell>
          <cell r="C729">
            <v>40016</v>
          </cell>
          <cell r="D729" t="str">
            <v>武田信玄襲来！</v>
          </cell>
          <cell r="E729" t="str">
            <v>降臨16</v>
          </cell>
          <cell r="F729">
            <v>2</v>
          </cell>
          <cell r="G729" t="str">
            <v>ja</v>
          </cell>
          <cell r="H729" t="str">
            <v xml:space="preserve">【ノーコンテニュー】武田信玄襲来 </v>
          </cell>
          <cell r="I729" t="str">
            <v>地獄級</v>
          </cell>
          <cell r="J729">
            <v>725</v>
          </cell>
          <cell r="K729">
            <v>40</v>
          </cell>
          <cell r="L729">
            <v>4500</v>
          </cell>
          <cell r="M729">
            <v>1</v>
          </cell>
          <cell r="N729">
            <v>1</v>
          </cell>
          <cell r="O729">
            <v>1</v>
          </cell>
          <cell r="P729">
            <v>1</v>
          </cell>
          <cell r="Q729">
            <v>1</v>
          </cell>
          <cell r="R729">
            <v>3</v>
          </cell>
          <cell r="S729" t="str">
            <v>polygon</v>
          </cell>
          <cell r="T729">
            <v>1</v>
          </cell>
          <cell r="U729" t="str">
            <v>NULL</v>
          </cell>
          <cell r="V729" t="str">
            <v>NULL</v>
          </cell>
          <cell r="W729" t="str">
            <v/>
          </cell>
          <cell r="X729">
            <v>0</v>
          </cell>
          <cell r="Y729">
            <v>0</v>
          </cell>
          <cell r="Z729">
            <v>0</v>
          </cell>
          <cell r="AA729">
            <v>0</v>
          </cell>
          <cell r="AB729" t="str">
            <v>anytime</v>
          </cell>
          <cell r="AC729">
            <v>919</v>
          </cell>
          <cell r="AD729">
            <v>6</v>
          </cell>
          <cell r="AE729" t="str">
            <v>everyone</v>
          </cell>
        </row>
        <row r="730">
          <cell r="A730" t="str">
            <v>40017_1</v>
          </cell>
          <cell r="B730">
            <v>3</v>
          </cell>
          <cell r="C730">
            <v>40017</v>
          </cell>
          <cell r="D730" t="str">
            <v>ベルゼブブ襲来！</v>
          </cell>
          <cell r="E730" t="str">
            <v>降臨17</v>
          </cell>
          <cell r="F730">
            <v>1</v>
          </cell>
          <cell r="G730" t="str">
            <v>ja</v>
          </cell>
          <cell r="H730" t="str">
            <v xml:space="preserve">【超絶級】ベルゼブブ襲来 </v>
          </cell>
          <cell r="I730" t="str">
            <v>地獄級</v>
          </cell>
          <cell r="J730">
            <v>845</v>
          </cell>
          <cell r="K730">
            <v>35</v>
          </cell>
          <cell r="L730">
            <v>4200</v>
          </cell>
          <cell r="M730">
            <v>1</v>
          </cell>
          <cell r="N730">
            <v>1</v>
          </cell>
          <cell r="O730">
            <v>1</v>
          </cell>
          <cell r="P730">
            <v>1</v>
          </cell>
          <cell r="Q730">
            <v>1</v>
          </cell>
          <cell r="R730">
            <v>3</v>
          </cell>
          <cell r="S730" t="str">
            <v>polygon</v>
          </cell>
          <cell r="T730">
            <v>1</v>
          </cell>
          <cell r="U730" t="str">
            <v>NULL</v>
          </cell>
          <cell r="V730" t="str">
            <v>NULL</v>
          </cell>
          <cell r="W730" t="str">
            <v/>
          </cell>
          <cell r="X730">
            <v>0</v>
          </cell>
          <cell r="Y730">
            <v>0</v>
          </cell>
          <cell r="Z730">
            <v>0</v>
          </cell>
          <cell r="AA730">
            <v>0</v>
          </cell>
          <cell r="AB730" t="str">
            <v>anytime</v>
          </cell>
          <cell r="AC730">
            <v>927</v>
          </cell>
          <cell r="AD730">
            <v>6</v>
          </cell>
          <cell r="AE730" t="str">
            <v>everyone</v>
          </cell>
        </row>
        <row r="731">
          <cell r="A731" t="str">
            <v>40017_2</v>
          </cell>
          <cell r="B731">
            <v>3</v>
          </cell>
          <cell r="C731">
            <v>40017</v>
          </cell>
          <cell r="D731" t="str">
            <v>ベルゼブブ襲来！</v>
          </cell>
          <cell r="E731" t="str">
            <v>降臨17</v>
          </cell>
          <cell r="F731">
            <v>2</v>
          </cell>
          <cell r="G731" t="str">
            <v>ja</v>
          </cell>
          <cell r="H731" t="str">
            <v>【ウィザード級】ベルゼブブ襲来</v>
          </cell>
          <cell r="I731" t="str">
            <v>地獄級</v>
          </cell>
          <cell r="J731">
            <v>845</v>
          </cell>
          <cell r="K731">
            <v>40</v>
          </cell>
          <cell r="L731">
            <v>4500</v>
          </cell>
          <cell r="M731">
            <v>1</v>
          </cell>
          <cell r="N731">
            <v>1</v>
          </cell>
          <cell r="O731">
            <v>1</v>
          </cell>
          <cell r="P731">
            <v>1</v>
          </cell>
          <cell r="Q731">
            <v>1</v>
          </cell>
          <cell r="R731">
            <v>3</v>
          </cell>
          <cell r="S731" t="str">
            <v>polygon</v>
          </cell>
          <cell r="T731">
            <v>1</v>
          </cell>
          <cell r="U731" t="str">
            <v>NULL</v>
          </cell>
          <cell r="V731" t="str">
            <v>NULL</v>
          </cell>
          <cell r="W731" t="str">
            <v/>
          </cell>
          <cell r="X731">
            <v>0</v>
          </cell>
          <cell r="Y731">
            <v>0</v>
          </cell>
          <cell r="Z731">
            <v>0</v>
          </cell>
          <cell r="AA731">
            <v>0</v>
          </cell>
          <cell r="AB731" t="str">
            <v>anytime</v>
          </cell>
          <cell r="AC731">
            <v>927</v>
          </cell>
          <cell r="AD731">
            <v>6</v>
          </cell>
          <cell r="AE731" t="str">
            <v>everyone</v>
          </cell>
        </row>
        <row r="732">
          <cell r="A732" t="str">
            <v>40017_3</v>
          </cell>
          <cell r="B732">
            <v>1</v>
          </cell>
          <cell r="C732">
            <v>40017</v>
          </cell>
          <cell r="D732" t="str">
            <v>ベルゼブブ襲来！</v>
          </cell>
          <cell r="E732" t="str">
            <v>降臨17</v>
          </cell>
          <cell r="F732">
            <v>3</v>
          </cell>
          <cell r="G732" t="str">
            <v>ja</v>
          </cell>
          <cell r="H732" t="str">
            <v>【ノーコンテニュー】ベルゼブブ襲来</v>
          </cell>
          <cell r="I732" t="str">
            <v>地獄級</v>
          </cell>
          <cell r="J732">
            <v>845</v>
          </cell>
          <cell r="K732">
            <v>40</v>
          </cell>
          <cell r="L732">
            <v>4500</v>
          </cell>
          <cell r="M732">
            <v>1</v>
          </cell>
          <cell r="N732">
            <v>1</v>
          </cell>
          <cell r="O732">
            <v>1</v>
          </cell>
          <cell r="P732">
            <v>1</v>
          </cell>
          <cell r="Q732">
            <v>1</v>
          </cell>
          <cell r="R732">
            <v>3</v>
          </cell>
          <cell r="S732" t="str">
            <v>polygon</v>
          </cell>
          <cell r="T732">
            <v>1</v>
          </cell>
          <cell r="U732" t="str">
            <v>NULL</v>
          </cell>
          <cell r="V732" t="str">
            <v>NULL</v>
          </cell>
          <cell r="W732" t="str">
            <v/>
          </cell>
          <cell r="X732">
            <v>0</v>
          </cell>
          <cell r="Y732">
            <v>0</v>
          </cell>
          <cell r="Z732">
            <v>0</v>
          </cell>
          <cell r="AA732">
            <v>0</v>
          </cell>
          <cell r="AB732" t="str">
            <v>anytime</v>
          </cell>
          <cell r="AC732">
            <v>927</v>
          </cell>
          <cell r="AD732">
            <v>6</v>
          </cell>
          <cell r="AE732" t="str">
            <v>everyone</v>
          </cell>
        </row>
        <row r="733">
          <cell r="A733" t="str">
            <v>40018_1</v>
          </cell>
          <cell r="B733">
            <v>3</v>
          </cell>
          <cell r="C733">
            <v>40018</v>
          </cell>
          <cell r="D733" t="str">
            <v>ジーナ襲来！</v>
          </cell>
          <cell r="E733" t="str">
            <v>降臨18</v>
          </cell>
          <cell r="F733">
            <v>1</v>
          </cell>
          <cell r="G733" t="str">
            <v>ja</v>
          </cell>
          <cell r="H733" t="str">
            <v xml:space="preserve">【超絶級】ジーナ襲来 </v>
          </cell>
          <cell r="I733" t="str">
            <v>地獄級</v>
          </cell>
          <cell r="J733">
            <v>861</v>
          </cell>
          <cell r="K733">
            <v>35</v>
          </cell>
          <cell r="L733">
            <v>4200</v>
          </cell>
          <cell r="M733">
            <v>1</v>
          </cell>
          <cell r="N733">
            <v>1</v>
          </cell>
          <cell r="O733">
            <v>1</v>
          </cell>
          <cell r="P733">
            <v>1</v>
          </cell>
          <cell r="Q733">
            <v>1</v>
          </cell>
          <cell r="R733">
            <v>3</v>
          </cell>
          <cell r="S733" t="str">
            <v>polygon</v>
          </cell>
          <cell r="T733">
            <v>1</v>
          </cell>
          <cell r="U733" t="str">
            <v>NULL</v>
          </cell>
          <cell r="V733" t="str">
            <v>NULL</v>
          </cell>
          <cell r="W733" t="str">
            <v/>
          </cell>
          <cell r="X733">
            <v>0</v>
          </cell>
          <cell r="Y733">
            <v>0</v>
          </cell>
          <cell r="Z733">
            <v>0</v>
          </cell>
          <cell r="AA733">
            <v>0</v>
          </cell>
          <cell r="AB733" t="str">
            <v>anytime</v>
          </cell>
          <cell r="AC733">
            <v>929</v>
          </cell>
          <cell r="AD733">
            <v>6</v>
          </cell>
          <cell r="AE733" t="str">
            <v>everyone</v>
          </cell>
        </row>
        <row r="734">
          <cell r="A734" t="str">
            <v>40018_2</v>
          </cell>
          <cell r="B734">
            <v>3</v>
          </cell>
          <cell r="C734">
            <v>40018</v>
          </cell>
          <cell r="D734" t="str">
            <v>ジーナ襲来！</v>
          </cell>
          <cell r="E734" t="str">
            <v>降臨18</v>
          </cell>
          <cell r="F734">
            <v>2</v>
          </cell>
          <cell r="G734" t="str">
            <v>ja</v>
          </cell>
          <cell r="H734" t="str">
            <v>【ウィザード級】ジーナ襲来</v>
          </cell>
          <cell r="I734" t="str">
            <v>地獄級</v>
          </cell>
          <cell r="J734">
            <v>861</v>
          </cell>
          <cell r="K734">
            <v>40</v>
          </cell>
          <cell r="L734">
            <v>4500</v>
          </cell>
          <cell r="M734">
            <v>1</v>
          </cell>
          <cell r="N734">
            <v>1</v>
          </cell>
          <cell r="O734">
            <v>1</v>
          </cell>
          <cell r="P734">
            <v>1</v>
          </cell>
          <cell r="Q734">
            <v>1</v>
          </cell>
          <cell r="R734">
            <v>3</v>
          </cell>
          <cell r="S734" t="str">
            <v>polygon</v>
          </cell>
          <cell r="T734">
            <v>1</v>
          </cell>
          <cell r="U734" t="str">
            <v>NULL</v>
          </cell>
          <cell r="V734" t="str">
            <v>NULL</v>
          </cell>
          <cell r="W734" t="str">
            <v/>
          </cell>
          <cell r="X734">
            <v>0</v>
          </cell>
          <cell r="Y734">
            <v>0</v>
          </cell>
          <cell r="Z734">
            <v>0</v>
          </cell>
          <cell r="AA734">
            <v>0</v>
          </cell>
          <cell r="AB734" t="str">
            <v>anytime</v>
          </cell>
          <cell r="AC734">
            <v>929</v>
          </cell>
          <cell r="AD734">
            <v>6</v>
          </cell>
          <cell r="AE734" t="str">
            <v>everyone</v>
          </cell>
        </row>
        <row r="735">
          <cell r="A735" t="str">
            <v>40018_3</v>
          </cell>
          <cell r="B735">
            <v>1</v>
          </cell>
          <cell r="C735">
            <v>40018</v>
          </cell>
          <cell r="D735" t="str">
            <v>ジーナ襲来！</v>
          </cell>
          <cell r="E735" t="str">
            <v>降臨18</v>
          </cell>
          <cell r="F735">
            <v>3</v>
          </cell>
          <cell r="G735" t="str">
            <v>ja</v>
          </cell>
          <cell r="H735" t="str">
            <v>【ノーコンテニュー】ジーナ襲来</v>
          </cell>
          <cell r="I735" t="str">
            <v>地獄級</v>
          </cell>
          <cell r="J735">
            <v>861</v>
          </cell>
          <cell r="K735">
            <v>40</v>
          </cell>
          <cell r="L735">
            <v>4500</v>
          </cell>
          <cell r="M735">
            <v>1</v>
          </cell>
          <cell r="N735">
            <v>1</v>
          </cell>
          <cell r="O735">
            <v>1</v>
          </cell>
          <cell r="P735">
            <v>1</v>
          </cell>
          <cell r="Q735">
            <v>1</v>
          </cell>
          <cell r="R735">
            <v>3</v>
          </cell>
          <cell r="S735" t="str">
            <v>polygon</v>
          </cell>
          <cell r="T735">
            <v>1</v>
          </cell>
          <cell r="U735" t="str">
            <v>NULL</v>
          </cell>
          <cell r="V735" t="str">
            <v>NULL</v>
          </cell>
          <cell r="W735" t="str">
            <v/>
          </cell>
          <cell r="X735">
            <v>0</v>
          </cell>
          <cell r="Y735">
            <v>0</v>
          </cell>
          <cell r="Z735">
            <v>0</v>
          </cell>
          <cell r="AA735">
            <v>0</v>
          </cell>
          <cell r="AB735" t="str">
            <v>anytime</v>
          </cell>
          <cell r="AC735">
            <v>929</v>
          </cell>
          <cell r="AD735">
            <v>6</v>
          </cell>
          <cell r="AE735" t="str">
            <v>everyone</v>
          </cell>
        </row>
        <row r="736">
          <cell r="A736" t="str">
            <v>40019_1</v>
          </cell>
          <cell r="B736">
            <v>3</v>
          </cell>
          <cell r="C736">
            <v>40019</v>
          </cell>
          <cell r="D736" t="str">
            <v>テュポーン襲来！</v>
          </cell>
          <cell r="E736" t="str">
            <v>降臨19</v>
          </cell>
          <cell r="F736">
            <v>1</v>
          </cell>
          <cell r="G736" t="str">
            <v>ja</v>
          </cell>
          <cell r="H736" t="str">
            <v xml:space="preserve">【超絶級】テュポーン襲来 </v>
          </cell>
          <cell r="I736" t="str">
            <v>超絶級</v>
          </cell>
          <cell r="J736">
            <v>741</v>
          </cell>
          <cell r="K736">
            <v>35</v>
          </cell>
          <cell r="L736">
            <v>4200</v>
          </cell>
          <cell r="M736">
            <v>1</v>
          </cell>
          <cell r="N736">
            <v>1</v>
          </cell>
          <cell r="O736">
            <v>1</v>
          </cell>
          <cell r="P736">
            <v>1</v>
          </cell>
          <cell r="Q736">
            <v>1</v>
          </cell>
          <cell r="R736">
            <v>3</v>
          </cell>
          <cell r="S736" t="str">
            <v>polygon</v>
          </cell>
          <cell r="T736">
            <v>1</v>
          </cell>
          <cell r="U736" t="str">
            <v>NULL</v>
          </cell>
          <cell r="V736" t="str">
            <v>NULL</v>
          </cell>
          <cell r="W736" t="str">
            <v/>
          </cell>
          <cell r="X736">
            <v>0</v>
          </cell>
          <cell r="Y736">
            <v>0</v>
          </cell>
          <cell r="Z736">
            <v>0</v>
          </cell>
          <cell r="AA736">
            <v>0</v>
          </cell>
          <cell r="AB736" t="str">
            <v>anytime</v>
          </cell>
          <cell r="AC736">
            <v>921</v>
          </cell>
          <cell r="AD736">
            <v>6</v>
          </cell>
          <cell r="AE736" t="str">
            <v>everyone</v>
          </cell>
        </row>
        <row r="737">
          <cell r="A737" t="str">
            <v>40019_2</v>
          </cell>
          <cell r="B737">
            <v>3</v>
          </cell>
          <cell r="C737">
            <v>40019</v>
          </cell>
          <cell r="D737" t="str">
            <v>テュポーン襲来！</v>
          </cell>
          <cell r="E737" t="str">
            <v>降臨19</v>
          </cell>
          <cell r="F737">
            <v>2</v>
          </cell>
          <cell r="G737" t="str">
            <v>ja</v>
          </cell>
          <cell r="H737" t="str">
            <v>【ウィザード級】テュポーン襲来</v>
          </cell>
          <cell r="I737" t="str">
            <v>地獄級</v>
          </cell>
          <cell r="J737">
            <v>741</v>
          </cell>
          <cell r="K737">
            <v>40</v>
          </cell>
          <cell r="L737">
            <v>4500</v>
          </cell>
          <cell r="M737">
            <v>1</v>
          </cell>
          <cell r="N737">
            <v>1</v>
          </cell>
          <cell r="O737">
            <v>1</v>
          </cell>
          <cell r="P737">
            <v>1</v>
          </cell>
          <cell r="Q737">
            <v>1</v>
          </cell>
          <cell r="R737">
            <v>3</v>
          </cell>
          <cell r="S737" t="str">
            <v>polygon</v>
          </cell>
          <cell r="T737">
            <v>1</v>
          </cell>
          <cell r="U737" t="str">
            <v>NULL</v>
          </cell>
          <cell r="V737" t="str">
            <v>NULL</v>
          </cell>
          <cell r="W737" t="str">
            <v/>
          </cell>
          <cell r="X737">
            <v>0</v>
          </cell>
          <cell r="Y737">
            <v>0</v>
          </cell>
          <cell r="Z737">
            <v>0</v>
          </cell>
          <cell r="AA737">
            <v>0</v>
          </cell>
          <cell r="AB737" t="str">
            <v>anytime</v>
          </cell>
          <cell r="AC737">
            <v>921</v>
          </cell>
          <cell r="AD737">
            <v>6</v>
          </cell>
          <cell r="AE737" t="str">
            <v>everyone</v>
          </cell>
        </row>
        <row r="738">
          <cell r="A738" t="str">
            <v>40019_3</v>
          </cell>
          <cell r="B738">
            <v>1</v>
          </cell>
          <cell r="C738">
            <v>40019</v>
          </cell>
          <cell r="D738" t="str">
            <v>テュポーン襲来！</v>
          </cell>
          <cell r="E738" t="str">
            <v>降臨19</v>
          </cell>
          <cell r="F738">
            <v>3</v>
          </cell>
          <cell r="G738" t="str">
            <v>ja</v>
          </cell>
          <cell r="H738" t="str">
            <v>【ノーコンテニュー】テュポーン襲来</v>
          </cell>
          <cell r="I738" t="str">
            <v>地獄級</v>
          </cell>
          <cell r="J738">
            <v>741</v>
          </cell>
          <cell r="K738">
            <v>40</v>
          </cell>
          <cell r="L738">
            <v>4500</v>
          </cell>
          <cell r="M738">
            <v>1</v>
          </cell>
          <cell r="N738">
            <v>1</v>
          </cell>
          <cell r="O738">
            <v>1</v>
          </cell>
          <cell r="P738">
            <v>1</v>
          </cell>
          <cell r="Q738">
            <v>1</v>
          </cell>
          <cell r="R738">
            <v>3</v>
          </cell>
          <cell r="S738" t="str">
            <v>polygon</v>
          </cell>
          <cell r="T738">
            <v>1</v>
          </cell>
          <cell r="U738" t="str">
            <v>NULL</v>
          </cell>
          <cell r="V738" t="str">
            <v>NULL</v>
          </cell>
          <cell r="W738" t="str">
            <v/>
          </cell>
          <cell r="X738">
            <v>0</v>
          </cell>
          <cell r="Y738">
            <v>0</v>
          </cell>
          <cell r="Z738">
            <v>0</v>
          </cell>
          <cell r="AA738">
            <v>0</v>
          </cell>
          <cell r="AB738" t="str">
            <v>anytime</v>
          </cell>
          <cell r="AC738">
            <v>921</v>
          </cell>
          <cell r="AD738">
            <v>6</v>
          </cell>
          <cell r="AE738" t="str">
            <v>everyone</v>
          </cell>
        </row>
        <row r="739">
          <cell r="A739" t="str">
            <v>40021_1</v>
          </cell>
          <cell r="B739">
            <v>3</v>
          </cell>
          <cell r="C739">
            <v>40021</v>
          </cell>
          <cell r="D739" t="str">
            <v>ルイ16世襲来！</v>
          </cell>
          <cell r="E739" t="str">
            <v>降臨21</v>
          </cell>
          <cell r="F739">
            <v>1</v>
          </cell>
          <cell r="G739" t="str">
            <v>ja</v>
          </cell>
          <cell r="H739" t="str">
            <v xml:space="preserve">【超絶級】ルイ16世襲来 </v>
          </cell>
          <cell r="I739" t="str">
            <v>超絶級</v>
          </cell>
          <cell r="J739">
            <v>936</v>
          </cell>
          <cell r="K739">
            <v>35</v>
          </cell>
          <cell r="L739">
            <v>4200</v>
          </cell>
          <cell r="M739">
            <v>1</v>
          </cell>
          <cell r="N739">
            <v>1</v>
          </cell>
          <cell r="O739">
            <v>1</v>
          </cell>
          <cell r="P739">
            <v>1</v>
          </cell>
          <cell r="Q739">
            <v>1</v>
          </cell>
          <cell r="R739">
            <v>3</v>
          </cell>
          <cell r="S739" t="str">
            <v>polygon</v>
          </cell>
          <cell r="T739">
            <v>1</v>
          </cell>
          <cell r="U739" t="str">
            <v>NULL</v>
          </cell>
          <cell r="V739" t="str">
            <v>NULL</v>
          </cell>
          <cell r="W739" t="str">
            <v/>
          </cell>
          <cell r="X739">
            <v>0</v>
          </cell>
          <cell r="Y739">
            <v>0</v>
          </cell>
          <cell r="Z739">
            <v>0</v>
          </cell>
          <cell r="AA739">
            <v>0</v>
          </cell>
          <cell r="AB739" t="str">
            <v>anytime</v>
          </cell>
          <cell r="AC739">
            <v>936</v>
          </cell>
          <cell r="AD739">
            <v>6</v>
          </cell>
          <cell r="AE739" t="str">
            <v>everyone</v>
          </cell>
        </row>
        <row r="740">
          <cell r="A740" t="str">
            <v>40021_2</v>
          </cell>
          <cell r="B740">
            <v>3</v>
          </cell>
          <cell r="C740">
            <v>40021</v>
          </cell>
          <cell r="D740" t="str">
            <v>ルイ16世襲来！</v>
          </cell>
          <cell r="E740" t="str">
            <v>降臨21</v>
          </cell>
          <cell r="F740">
            <v>2</v>
          </cell>
          <cell r="G740" t="str">
            <v>ja</v>
          </cell>
          <cell r="H740" t="str">
            <v>【ウィザード級】ルイ16世襲来</v>
          </cell>
          <cell r="I740" t="str">
            <v>地獄級</v>
          </cell>
          <cell r="J740">
            <v>936</v>
          </cell>
          <cell r="K740">
            <v>40</v>
          </cell>
          <cell r="L740">
            <v>4500</v>
          </cell>
          <cell r="M740">
            <v>1</v>
          </cell>
          <cell r="N740">
            <v>1</v>
          </cell>
          <cell r="O740">
            <v>1</v>
          </cell>
          <cell r="P740">
            <v>1</v>
          </cell>
          <cell r="Q740">
            <v>1</v>
          </cell>
          <cell r="R740">
            <v>3</v>
          </cell>
          <cell r="S740" t="str">
            <v>polygon</v>
          </cell>
          <cell r="T740">
            <v>1</v>
          </cell>
          <cell r="U740" t="str">
            <v>NULL</v>
          </cell>
          <cell r="V740" t="str">
            <v>NULL</v>
          </cell>
          <cell r="W740" t="str">
            <v/>
          </cell>
          <cell r="X740">
            <v>0</v>
          </cell>
          <cell r="Y740">
            <v>0</v>
          </cell>
          <cell r="Z740">
            <v>0</v>
          </cell>
          <cell r="AA740">
            <v>0</v>
          </cell>
          <cell r="AB740" t="str">
            <v>anytime</v>
          </cell>
          <cell r="AC740">
            <v>936</v>
          </cell>
          <cell r="AD740">
            <v>6</v>
          </cell>
          <cell r="AE740" t="str">
            <v>everyone</v>
          </cell>
        </row>
        <row r="741">
          <cell r="A741" t="str">
            <v>40022_1</v>
          </cell>
          <cell r="B741">
            <v>3</v>
          </cell>
          <cell r="C741">
            <v>40022</v>
          </cell>
          <cell r="D741" t="str">
            <v>オシリス襲来！</v>
          </cell>
          <cell r="E741" t="str">
            <v>降臨22</v>
          </cell>
          <cell r="F741">
            <v>1</v>
          </cell>
          <cell r="G741" t="str">
            <v>ja</v>
          </cell>
          <cell r="H741" t="str">
            <v xml:space="preserve">【超絶級】オシリス襲来 </v>
          </cell>
          <cell r="I741" t="str">
            <v>超絶級</v>
          </cell>
          <cell r="J741">
            <v>1009</v>
          </cell>
          <cell r="K741">
            <v>35</v>
          </cell>
          <cell r="L741">
            <v>4200</v>
          </cell>
          <cell r="M741">
            <v>1</v>
          </cell>
          <cell r="N741">
            <v>1</v>
          </cell>
          <cell r="O741">
            <v>1</v>
          </cell>
          <cell r="P741">
            <v>0</v>
          </cell>
          <cell r="Q741">
            <v>1</v>
          </cell>
          <cell r="R741">
            <v>3</v>
          </cell>
          <cell r="S741" t="str">
            <v>polygon</v>
          </cell>
          <cell r="T741">
            <v>1</v>
          </cell>
          <cell r="U741" t="str">
            <v>NULL</v>
          </cell>
          <cell r="V741" t="str">
            <v>NULL</v>
          </cell>
          <cell r="W741" t="str">
            <v/>
          </cell>
          <cell r="X741">
            <v>0</v>
          </cell>
          <cell r="Y741">
            <v>0</v>
          </cell>
          <cell r="Z741">
            <v>0</v>
          </cell>
          <cell r="AA741">
            <v>0</v>
          </cell>
          <cell r="AB741" t="str">
            <v>anytime</v>
          </cell>
          <cell r="AC741">
            <v>940</v>
          </cell>
          <cell r="AD741">
            <v>6</v>
          </cell>
          <cell r="AE741" t="str">
            <v>everyone</v>
          </cell>
        </row>
        <row r="742">
          <cell r="A742" t="str">
            <v>40022_2</v>
          </cell>
          <cell r="B742">
            <v>3</v>
          </cell>
          <cell r="C742">
            <v>40022</v>
          </cell>
          <cell r="D742" t="str">
            <v>オシリス襲来！</v>
          </cell>
          <cell r="E742" t="str">
            <v>降臨22</v>
          </cell>
          <cell r="F742">
            <v>2</v>
          </cell>
          <cell r="G742" t="str">
            <v>ja</v>
          </cell>
          <cell r="H742" t="str">
            <v>【ウィザード級】オシリス襲来</v>
          </cell>
          <cell r="I742" t="str">
            <v>地獄級</v>
          </cell>
          <cell r="J742">
            <v>1009</v>
          </cell>
          <cell r="K742">
            <v>40</v>
          </cell>
          <cell r="L742">
            <v>4500</v>
          </cell>
          <cell r="M742">
            <v>1</v>
          </cell>
          <cell r="N742">
            <v>1</v>
          </cell>
          <cell r="O742">
            <v>1</v>
          </cell>
          <cell r="P742">
            <v>0</v>
          </cell>
          <cell r="Q742">
            <v>1</v>
          </cell>
          <cell r="R742">
            <v>3</v>
          </cell>
          <cell r="S742" t="str">
            <v>polygon</v>
          </cell>
          <cell r="T742">
            <v>1</v>
          </cell>
          <cell r="U742" t="str">
            <v>NULL</v>
          </cell>
          <cell r="V742" t="str">
            <v>NULL</v>
          </cell>
          <cell r="W742" t="str">
            <v/>
          </cell>
          <cell r="X742">
            <v>0</v>
          </cell>
          <cell r="Y742">
            <v>0</v>
          </cell>
          <cell r="Z742">
            <v>0</v>
          </cell>
          <cell r="AA742">
            <v>0</v>
          </cell>
          <cell r="AB742" t="str">
            <v>anytime</v>
          </cell>
          <cell r="AC742">
            <v>940</v>
          </cell>
          <cell r="AD742">
            <v>6</v>
          </cell>
          <cell r="AE742" t="str">
            <v>everyone</v>
          </cell>
        </row>
        <row r="743">
          <cell r="A743" t="str">
            <v>40023_1</v>
          </cell>
          <cell r="B743">
            <v>3</v>
          </cell>
          <cell r="C743">
            <v>40023</v>
          </cell>
          <cell r="D743" t="str">
            <v>武蔵坊弁慶襲来！</v>
          </cell>
          <cell r="E743" t="str">
            <v>降臨23</v>
          </cell>
          <cell r="F743">
            <v>1</v>
          </cell>
          <cell r="G743" t="str">
            <v>ja</v>
          </cell>
          <cell r="H743" t="str">
            <v xml:space="preserve">【超絶級】武蔵坊弁慶襲来 </v>
          </cell>
          <cell r="I743" t="str">
            <v>超絶級</v>
          </cell>
          <cell r="J743">
            <v>1025</v>
          </cell>
          <cell r="K743">
            <v>35</v>
          </cell>
          <cell r="L743">
            <v>4200</v>
          </cell>
          <cell r="M743">
            <v>1</v>
          </cell>
          <cell r="N743">
            <v>1</v>
          </cell>
          <cell r="O743">
            <v>1</v>
          </cell>
          <cell r="P743">
            <v>1</v>
          </cell>
          <cell r="Q743">
            <v>1</v>
          </cell>
          <cell r="R743">
            <v>3</v>
          </cell>
          <cell r="S743" t="str">
            <v>polygon</v>
          </cell>
          <cell r="T743">
            <v>1</v>
          </cell>
          <cell r="U743" t="str">
            <v>NULL</v>
          </cell>
          <cell r="V743" t="str">
            <v>NULL</v>
          </cell>
          <cell r="W743" t="str">
            <v/>
          </cell>
          <cell r="X743">
            <v>0</v>
          </cell>
          <cell r="Y743">
            <v>0</v>
          </cell>
          <cell r="Z743">
            <v>0</v>
          </cell>
          <cell r="AA743">
            <v>0</v>
          </cell>
          <cell r="AB743" t="str">
            <v>anytime</v>
          </cell>
          <cell r="AC743">
            <v>941</v>
          </cell>
          <cell r="AD743">
            <v>6</v>
          </cell>
          <cell r="AE743" t="str">
            <v>everyone</v>
          </cell>
        </row>
        <row r="744">
          <cell r="A744" t="str">
            <v>40023_2</v>
          </cell>
          <cell r="B744">
            <v>3</v>
          </cell>
          <cell r="C744">
            <v>40023</v>
          </cell>
          <cell r="D744" t="str">
            <v>武蔵坊弁慶襲来！</v>
          </cell>
          <cell r="E744" t="str">
            <v>降臨23</v>
          </cell>
          <cell r="F744">
            <v>2</v>
          </cell>
          <cell r="G744" t="str">
            <v>ja</v>
          </cell>
          <cell r="H744" t="str">
            <v>【ウィザード級】武蔵坊弁慶襲来</v>
          </cell>
          <cell r="I744" t="str">
            <v>地獄級</v>
          </cell>
          <cell r="J744">
            <v>1025</v>
          </cell>
          <cell r="K744">
            <v>40</v>
          </cell>
          <cell r="L744">
            <v>4500</v>
          </cell>
          <cell r="M744">
            <v>1</v>
          </cell>
          <cell r="N744">
            <v>1</v>
          </cell>
          <cell r="O744">
            <v>1</v>
          </cell>
          <cell r="P744">
            <v>1</v>
          </cell>
          <cell r="Q744">
            <v>1</v>
          </cell>
          <cell r="R744">
            <v>3</v>
          </cell>
          <cell r="S744" t="str">
            <v>polygon</v>
          </cell>
          <cell r="T744">
            <v>1</v>
          </cell>
          <cell r="U744" t="str">
            <v>NULL</v>
          </cell>
          <cell r="V744" t="str">
            <v>NULL</v>
          </cell>
          <cell r="W744" t="str">
            <v/>
          </cell>
          <cell r="X744">
            <v>0</v>
          </cell>
          <cell r="Y744">
            <v>0</v>
          </cell>
          <cell r="Z744">
            <v>0</v>
          </cell>
          <cell r="AA744">
            <v>0</v>
          </cell>
          <cell r="AB744" t="str">
            <v>anytime</v>
          </cell>
          <cell r="AC744">
            <v>941</v>
          </cell>
          <cell r="AD744">
            <v>6</v>
          </cell>
          <cell r="AE744" t="str">
            <v>everyone</v>
          </cell>
        </row>
        <row r="745">
          <cell r="A745" t="str">
            <v>40024_1</v>
          </cell>
          <cell r="B745">
            <v>3</v>
          </cell>
          <cell r="C745">
            <v>40024</v>
          </cell>
          <cell r="D745" t="str">
            <v>アトラス襲来！</v>
          </cell>
          <cell r="E745" t="str">
            <v>降臨24</v>
          </cell>
          <cell r="F745">
            <v>1</v>
          </cell>
          <cell r="G745" t="str">
            <v>ja</v>
          </cell>
          <cell r="H745" t="str">
            <v>【超絶級】アトラス襲来</v>
          </cell>
          <cell r="I745" t="str">
            <v>超絶級</v>
          </cell>
          <cell r="J745">
            <v>789</v>
          </cell>
          <cell r="K745">
            <v>35</v>
          </cell>
          <cell r="L745">
            <v>4200</v>
          </cell>
          <cell r="M745">
            <v>1</v>
          </cell>
          <cell r="N745">
            <v>1</v>
          </cell>
          <cell r="O745">
            <v>1</v>
          </cell>
          <cell r="P745">
            <v>1</v>
          </cell>
          <cell r="Q745">
            <v>1</v>
          </cell>
          <cell r="R745">
            <v>3</v>
          </cell>
          <cell r="S745" t="str">
            <v>polygon</v>
          </cell>
          <cell r="T745">
            <v>1</v>
          </cell>
          <cell r="U745" t="str">
            <v>NULL</v>
          </cell>
          <cell r="V745" t="str">
            <v>NULL</v>
          </cell>
          <cell r="W745" t="str">
            <v/>
          </cell>
          <cell r="X745">
            <v>0</v>
          </cell>
          <cell r="Y745">
            <v>0</v>
          </cell>
          <cell r="Z745">
            <v>0</v>
          </cell>
          <cell r="AA745">
            <v>0</v>
          </cell>
          <cell r="AB745" t="str">
            <v>anytime</v>
          </cell>
          <cell r="AC745">
            <v>20</v>
          </cell>
          <cell r="AD745">
            <v>6</v>
          </cell>
          <cell r="AE745" t="str">
            <v>everyone</v>
          </cell>
        </row>
        <row r="746">
          <cell r="A746" t="str">
            <v>40024_2</v>
          </cell>
          <cell r="B746">
            <v>3</v>
          </cell>
          <cell r="C746">
            <v>40024</v>
          </cell>
          <cell r="D746" t="str">
            <v>アトラス襲来！</v>
          </cell>
          <cell r="E746" t="str">
            <v>降臨24</v>
          </cell>
          <cell r="F746">
            <v>2</v>
          </cell>
          <cell r="G746" t="str">
            <v>ja</v>
          </cell>
          <cell r="H746" t="str">
            <v>【ウィザード級】アトラス襲来</v>
          </cell>
          <cell r="I746" t="str">
            <v>地獄級</v>
          </cell>
          <cell r="J746">
            <v>789</v>
          </cell>
          <cell r="K746">
            <v>40</v>
          </cell>
          <cell r="L746">
            <v>4500</v>
          </cell>
          <cell r="M746">
            <v>1</v>
          </cell>
          <cell r="N746">
            <v>1</v>
          </cell>
          <cell r="O746">
            <v>1</v>
          </cell>
          <cell r="P746">
            <v>1</v>
          </cell>
          <cell r="Q746">
            <v>1</v>
          </cell>
          <cell r="R746">
            <v>3</v>
          </cell>
          <cell r="S746" t="str">
            <v>polygon</v>
          </cell>
          <cell r="T746">
            <v>1</v>
          </cell>
          <cell r="U746" t="str">
            <v>NULL</v>
          </cell>
          <cell r="V746" t="str">
            <v>NULL</v>
          </cell>
          <cell r="W746" t="str">
            <v/>
          </cell>
          <cell r="X746">
            <v>0</v>
          </cell>
          <cell r="Y746">
            <v>0</v>
          </cell>
          <cell r="Z746">
            <v>0</v>
          </cell>
          <cell r="AA746">
            <v>0</v>
          </cell>
          <cell r="AB746" t="str">
            <v>anytime</v>
          </cell>
          <cell r="AC746">
            <v>20</v>
          </cell>
          <cell r="AD746">
            <v>6</v>
          </cell>
          <cell r="AE746" t="str">
            <v>everyone</v>
          </cell>
        </row>
        <row r="747">
          <cell r="A747" t="str">
            <v>40025_1</v>
          </cell>
          <cell r="B747">
            <v>3</v>
          </cell>
          <cell r="C747">
            <v>40025</v>
          </cell>
          <cell r="D747" t="str">
            <v>ティアマト襲来！</v>
          </cell>
          <cell r="E747" t="str">
            <v>降臨25</v>
          </cell>
          <cell r="F747">
            <v>1</v>
          </cell>
          <cell r="G747" t="str">
            <v>ja</v>
          </cell>
          <cell r="H747" t="str">
            <v>【超絶級】ティアマト襲来</v>
          </cell>
          <cell r="I747" t="str">
            <v>超絶級</v>
          </cell>
          <cell r="J747">
            <v>1064</v>
          </cell>
          <cell r="K747">
            <v>35</v>
          </cell>
          <cell r="L747">
            <v>4200</v>
          </cell>
          <cell r="M747">
            <v>1</v>
          </cell>
          <cell r="N747">
            <v>1</v>
          </cell>
          <cell r="O747">
            <v>1</v>
          </cell>
          <cell r="P747">
            <v>1</v>
          </cell>
          <cell r="Q747">
            <v>1</v>
          </cell>
          <cell r="R747">
            <v>3</v>
          </cell>
          <cell r="S747" t="str">
            <v>polygon</v>
          </cell>
          <cell r="T747">
            <v>1</v>
          </cell>
          <cell r="U747" t="str">
            <v>NULL</v>
          </cell>
          <cell r="V747" t="str">
            <v>NULL</v>
          </cell>
          <cell r="W747" t="str">
            <v/>
          </cell>
          <cell r="X747">
            <v>0</v>
          </cell>
          <cell r="Y747">
            <v>0</v>
          </cell>
          <cell r="Z747">
            <v>0</v>
          </cell>
          <cell r="AA747">
            <v>0</v>
          </cell>
          <cell r="AB747" t="str">
            <v>anytime</v>
          </cell>
          <cell r="AC747">
            <v>944</v>
          </cell>
          <cell r="AD747">
            <v>6</v>
          </cell>
          <cell r="AE747" t="str">
            <v>everyone</v>
          </cell>
        </row>
        <row r="748">
          <cell r="A748" t="str">
            <v>40025_2</v>
          </cell>
          <cell r="B748">
            <v>3</v>
          </cell>
          <cell r="C748">
            <v>40025</v>
          </cell>
          <cell r="D748" t="str">
            <v>ティアマト襲来！</v>
          </cell>
          <cell r="E748" t="str">
            <v>降臨25</v>
          </cell>
          <cell r="F748">
            <v>2</v>
          </cell>
          <cell r="G748" t="str">
            <v>ja</v>
          </cell>
          <cell r="H748" t="str">
            <v>【ウィザード級】ティアマト襲来</v>
          </cell>
          <cell r="I748" t="str">
            <v>地獄級</v>
          </cell>
          <cell r="J748">
            <v>1064</v>
          </cell>
          <cell r="K748">
            <v>40</v>
          </cell>
          <cell r="L748">
            <v>4500</v>
          </cell>
          <cell r="M748">
            <v>1</v>
          </cell>
          <cell r="N748">
            <v>1</v>
          </cell>
          <cell r="O748">
            <v>1</v>
          </cell>
          <cell r="P748">
            <v>1</v>
          </cell>
          <cell r="Q748">
            <v>1</v>
          </cell>
          <cell r="R748">
            <v>3</v>
          </cell>
          <cell r="S748" t="str">
            <v>polygon</v>
          </cell>
          <cell r="T748">
            <v>1</v>
          </cell>
          <cell r="U748" t="str">
            <v>NULL</v>
          </cell>
          <cell r="V748" t="str">
            <v>NULL</v>
          </cell>
          <cell r="W748" t="str">
            <v/>
          </cell>
          <cell r="X748">
            <v>0</v>
          </cell>
          <cell r="Y748">
            <v>0</v>
          </cell>
          <cell r="Z748">
            <v>0</v>
          </cell>
          <cell r="AA748">
            <v>0</v>
          </cell>
          <cell r="AB748" t="str">
            <v>anytime</v>
          </cell>
          <cell r="AC748">
            <v>944</v>
          </cell>
          <cell r="AD748">
            <v>6</v>
          </cell>
          <cell r="AE748" t="str">
            <v>everyone</v>
          </cell>
        </row>
        <row r="749">
          <cell r="A749" t="str">
            <v>40026_1</v>
          </cell>
          <cell r="B749">
            <v>3</v>
          </cell>
          <cell r="C749">
            <v>40026</v>
          </cell>
          <cell r="D749" t="str">
            <v>ミケランジェロ襲来！</v>
          </cell>
          <cell r="E749" t="str">
            <v>降臨26</v>
          </cell>
          <cell r="F749">
            <v>1</v>
          </cell>
          <cell r="G749" t="str">
            <v>ja</v>
          </cell>
          <cell r="H749" t="str">
            <v>【超絶級】ミケランジェロ襲来</v>
          </cell>
          <cell r="I749" t="str">
            <v>超絶級</v>
          </cell>
          <cell r="J749">
            <v>1089</v>
          </cell>
          <cell r="K749">
            <v>35</v>
          </cell>
          <cell r="L749">
            <v>4200</v>
          </cell>
          <cell r="M749">
            <v>1</v>
          </cell>
          <cell r="N749">
            <v>1</v>
          </cell>
          <cell r="O749">
            <v>1</v>
          </cell>
          <cell r="P749">
            <v>1</v>
          </cell>
          <cell r="Q749">
            <v>1</v>
          </cell>
          <cell r="R749">
            <v>3</v>
          </cell>
          <cell r="S749" t="str">
            <v>polygon</v>
          </cell>
          <cell r="T749">
            <v>1</v>
          </cell>
          <cell r="U749" t="str">
            <v>NULL</v>
          </cell>
          <cell r="V749" t="str">
            <v>NULL</v>
          </cell>
          <cell r="W749" t="str">
            <v/>
          </cell>
          <cell r="X749">
            <v>0</v>
          </cell>
          <cell r="Y749">
            <v>0</v>
          </cell>
          <cell r="Z749">
            <v>0</v>
          </cell>
          <cell r="AA749">
            <v>0</v>
          </cell>
          <cell r="AB749" t="str">
            <v>anytime</v>
          </cell>
          <cell r="AC749">
            <v>26</v>
          </cell>
          <cell r="AD749">
            <v>6</v>
          </cell>
          <cell r="AE749" t="str">
            <v>everyone</v>
          </cell>
        </row>
        <row r="750">
          <cell r="A750" t="str">
            <v>40026_2</v>
          </cell>
          <cell r="B750">
            <v>3</v>
          </cell>
          <cell r="C750">
            <v>40026</v>
          </cell>
          <cell r="D750" t="str">
            <v>ミケランジェロ襲来！</v>
          </cell>
          <cell r="E750" t="str">
            <v>降臨26</v>
          </cell>
          <cell r="F750">
            <v>2</v>
          </cell>
          <cell r="G750" t="str">
            <v>ja</v>
          </cell>
          <cell r="H750" t="str">
            <v>【ウィザード級】ミケランジェロ襲来</v>
          </cell>
          <cell r="I750" t="str">
            <v>地獄級</v>
          </cell>
          <cell r="J750">
            <v>1089</v>
          </cell>
          <cell r="K750">
            <v>40</v>
          </cell>
          <cell r="L750">
            <v>4500</v>
          </cell>
          <cell r="M750">
            <v>1</v>
          </cell>
          <cell r="N750">
            <v>1</v>
          </cell>
          <cell r="O750">
            <v>1</v>
          </cell>
          <cell r="P750">
            <v>1</v>
          </cell>
          <cell r="Q750">
            <v>1</v>
          </cell>
          <cell r="R750">
            <v>3</v>
          </cell>
          <cell r="S750" t="str">
            <v>polygon</v>
          </cell>
          <cell r="T750">
            <v>1</v>
          </cell>
          <cell r="U750" t="str">
            <v>NULL</v>
          </cell>
          <cell r="V750" t="str">
            <v>NULL</v>
          </cell>
          <cell r="W750" t="str">
            <v/>
          </cell>
          <cell r="X750">
            <v>0</v>
          </cell>
          <cell r="Y750">
            <v>0</v>
          </cell>
          <cell r="Z750">
            <v>0</v>
          </cell>
          <cell r="AA750">
            <v>0</v>
          </cell>
          <cell r="AB750" t="str">
            <v>anytime</v>
          </cell>
          <cell r="AC750">
            <v>26</v>
          </cell>
          <cell r="AD750">
            <v>6</v>
          </cell>
          <cell r="AE750" t="str">
            <v>everyone</v>
          </cell>
        </row>
        <row r="751">
          <cell r="A751" t="str">
            <v>40027_1</v>
          </cell>
          <cell r="B751">
            <v>3</v>
          </cell>
          <cell r="C751">
            <v>40027</v>
          </cell>
          <cell r="D751" t="str">
            <v>コルキス襲来！</v>
          </cell>
          <cell r="E751" t="str">
            <v>降臨27</v>
          </cell>
          <cell r="F751">
            <v>1</v>
          </cell>
          <cell r="G751" t="str">
            <v>ja</v>
          </cell>
          <cell r="H751" t="str">
            <v>【超絶級】コルキス襲来</v>
          </cell>
          <cell r="I751" t="str">
            <v>超絶級</v>
          </cell>
          <cell r="J751">
            <v>892</v>
          </cell>
          <cell r="K751">
            <v>35</v>
          </cell>
          <cell r="L751">
            <v>4200</v>
          </cell>
          <cell r="M751">
            <v>1</v>
          </cell>
          <cell r="N751">
            <v>1</v>
          </cell>
          <cell r="O751">
            <v>0</v>
          </cell>
          <cell r="P751">
            <v>1</v>
          </cell>
          <cell r="Q751">
            <v>1</v>
          </cell>
          <cell r="R751">
            <v>3</v>
          </cell>
          <cell r="S751" t="str">
            <v>polygon</v>
          </cell>
          <cell r="T751">
            <v>1</v>
          </cell>
          <cell r="U751" t="str">
            <v>NULL</v>
          </cell>
          <cell r="V751" t="str">
            <v>NULL</v>
          </cell>
          <cell r="W751" t="str">
            <v/>
          </cell>
          <cell r="X751">
            <v>0</v>
          </cell>
          <cell r="Y751">
            <v>0</v>
          </cell>
          <cell r="Z751">
            <v>0</v>
          </cell>
          <cell r="AA751">
            <v>0</v>
          </cell>
          <cell r="AB751" t="str">
            <v>anytime</v>
          </cell>
          <cell r="AC751">
            <v>11</v>
          </cell>
          <cell r="AD751">
            <v>6</v>
          </cell>
          <cell r="AE751" t="str">
            <v>everyone</v>
          </cell>
        </row>
        <row r="752">
          <cell r="A752" t="str">
            <v>40027_2</v>
          </cell>
          <cell r="B752">
            <v>3</v>
          </cell>
          <cell r="C752">
            <v>40027</v>
          </cell>
          <cell r="D752" t="str">
            <v>コルキス襲来！</v>
          </cell>
          <cell r="E752" t="str">
            <v>降臨27</v>
          </cell>
          <cell r="F752">
            <v>2</v>
          </cell>
          <cell r="G752" t="str">
            <v>ja</v>
          </cell>
          <cell r="H752" t="str">
            <v>【ウィザード級】コルキス襲来</v>
          </cell>
          <cell r="I752" t="str">
            <v>地獄級</v>
          </cell>
          <cell r="J752">
            <v>892</v>
          </cell>
          <cell r="K752">
            <v>40</v>
          </cell>
          <cell r="L752">
            <v>4500</v>
          </cell>
          <cell r="M752">
            <v>1</v>
          </cell>
          <cell r="N752">
            <v>1</v>
          </cell>
          <cell r="O752">
            <v>0</v>
          </cell>
          <cell r="P752">
            <v>1</v>
          </cell>
          <cell r="Q752">
            <v>1</v>
          </cell>
          <cell r="R752">
            <v>3</v>
          </cell>
          <cell r="S752" t="str">
            <v>polygon</v>
          </cell>
          <cell r="T752">
            <v>1</v>
          </cell>
          <cell r="U752" t="str">
            <v>NULL</v>
          </cell>
          <cell r="V752" t="str">
            <v>NULL</v>
          </cell>
          <cell r="W752" t="str">
            <v/>
          </cell>
          <cell r="X752">
            <v>0</v>
          </cell>
          <cell r="Y752">
            <v>0</v>
          </cell>
          <cell r="Z752">
            <v>0</v>
          </cell>
          <cell r="AA752">
            <v>0</v>
          </cell>
          <cell r="AB752" t="str">
            <v>anytime</v>
          </cell>
          <cell r="AC752">
            <v>11</v>
          </cell>
          <cell r="AD752">
            <v>6</v>
          </cell>
          <cell r="AE752" t="str">
            <v>everyone</v>
          </cell>
        </row>
        <row r="753">
          <cell r="A753" t="str">
            <v>40028_1</v>
          </cell>
          <cell r="B753">
            <v>3</v>
          </cell>
          <cell r="C753">
            <v>40028</v>
          </cell>
          <cell r="D753" t="str">
            <v>ルピカ襲来！</v>
          </cell>
          <cell r="E753" t="str">
            <v>降臨28</v>
          </cell>
          <cell r="F753">
            <v>1</v>
          </cell>
          <cell r="G753" t="str">
            <v>ja</v>
          </cell>
          <cell r="H753" t="str">
            <v>【超絶級】ルピカ襲来</v>
          </cell>
          <cell r="I753" t="str">
            <v>超絶級</v>
          </cell>
          <cell r="J753">
            <v>1098</v>
          </cell>
          <cell r="K753">
            <v>35</v>
          </cell>
          <cell r="L753">
            <v>4200</v>
          </cell>
          <cell r="M753">
            <v>1</v>
          </cell>
          <cell r="N753">
            <v>1</v>
          </cell>
          <cell r="O753">
            <v>1</v>
          </cell>
          <cell r="P753">
            <v>1</v>
          </cell>
          <cell r="Q753">
            <v>1</v>
          </cell>
          <cell r="R753">
            <v>3</v>
          </cell>
          <cell r="S753" t="str">
            <v>polygon</v>
          </cell>
          <cell r="T753">
            <v>1</v>
          </cell>
          <cell r="U753" t="str">
            <v>NULL</v>
          </cell>
          <cell r="V753" t="str">
            <v>NULL</v>
          </cell>
          <cell r="W753" t="str">
            <v/>
          </cell>
          <cell r="X753">
            <v>0</v>
          </cell>
          <cell r="Y753">
            <v>0</v>
          </cell>
          <cell r="Z753">
            <v>0</v>
          </cell>
          <cell r="AA753">
            <v>0</v>
          </cell>
          <cell r="AB753" t="str">
            <v>anytime</v>
          </cell>
          <cell r="AC753">
            <v>947</v>
          </cell>
          <cell r="AD753">
            <v>6</v>
          </cell>
          <cell r="AE753" t="str">
            <v>everyone</v>
          </cell>
        </row>
        <row r="754">
          <cell r="A754" t="str">
            <v>40028_2</v>
          </cell>
          <cell r="B754">
            <v>3</v>
          </cell>
          <cell r="C754">
            <v>40028</v>
          </cell>
          <cell r="D754" t="str">
            <v>ルピカ襲来！</v>
          </cell>
          <cell r="E754" t="str">
            <v>降臨28</v>
          </cell>
          <cell r="F754">
            <v>2</v>
          </cell>
          <cell r="G754" t="str">
            <v>ja</v>
          </cell>
          <cell r="H754" t="str">
            <v>【ウィザード級】ルピカ襲来</v>
          </cell>
          <cell r="I754" t="str">
            <v>地獄級</v>
          </cell>
          <cell r="J754">
            <v>1099</v>
          </cell>
          <cell r="K754">
            <v>40</v>
          </cell>
          <cell r="L754">
            <v>4500</v>
          </cell>
          <cell r="M754">
            <v>1</v>
          </cell>
          <cell r="N754">
            <v>1</v>
          </cell>
          <cell r="O754">
            <v>1</v>
          </cell>
          <cell r="P754">
            <v>1</v>
          </cell>
          <cell r="Q754">
            <v>1</v>
          </cell>
          <cell r="R754">
            <v>3</v>
          </cell>
          <cell r="S754" t="str">
            <v>polygon</v>
          </cell>
          <cell r="T754">
            <v>1</v>
          </cell>
          <cell r="U754" t="str">
            <v>NULL</v>
          </cell>
          <cell r="V754" t="str">
            <v>NULL</v>
          </cell>
          <cell r="W754" t="str">
            <v/>
          </cell>
          <cell r="X754">
            <v>0</v>
          </cell>
          <cell r="Y754">
            <v>0</v>
          </cell>
          <cell r="Z754">
            <v>0</v>
          </cell>
          <cell r="AA754">
            <v>0</v>
          </cell>
          <cell r="AB754" t="str">
            <v>anytime</v>
          </cell>
          <cell r="AC754">
            <v>947</v>
          </cell>
          <cell r="AD754">
            <v>6</v>
          </cell>
          <cell r="AE754" t="str">
            <v>everyone</v>
          </cell>
        </row>
        <row r="755">
          <cell r="A755" t="str">
            <v>40029_1</v>
          </cell>
          <cell r="B755">
            <v>3</v>
          </cell>
          <cell r="C755">
            <v>40029</v>
          </cell>
          <cell r="D755" t="str">
            <v>カスケード襲来！</v>
          </cell>
          <cell r="E755" t="str">
            <v>降臨29</v>
          </cell>
          <cell r="F755">
            <v>1</v>
          </cell>
          <cell r="G755" t="str">
            <v>ja</v>
          </cell>
          <cell r="H755" t="str">
            <v>【超絶級】カスケード襲来</v>
          </cell>
          <cell r="I755" t="str">
            <v>超絶級</v>
          </cell>
          <cell r="J755">
            <v>781</v>
          </cell>
          <cell r="K755">
            <v>35</v>
          </cell>
          <cell r="L755">
            <v>4200</v>
          </cell>
          <cell r="M755">
            <v>1</v>
          </cell>
          <cell r="N755">
            <v>1</v>
          </cell>
          <cell r="O755">
            <v>1</v>
          </cell>
          <cell r="P755">
            <v>1</v>
          </cell>
          <cell r="Q755">
            <v>1</v>
          </cell>
          <cell r="R755">
            <v>3</v>
          </cell>
          <cell r="S755" t="str">
            <v>polygon</v>
          </cell>
          <cell r="T755">
            <v>1</v>
          </cell>
          <cell r="U755" t="str">
            <v>NULL</v>
          </cell>
          <cell r="V755" t="str">
            <v>NULL</v>
          </cell>
          <cell r="W755" t="str">
            <v/>
          </cell>
          <cell r="X755">
            <v>0</v>
          </cell>
          <cell r="Y755">
            <v>0</v>
          </cell>
          <cell r="Z755">
            <v>0</v>
          </cell>
          <cell r="AA755">
            <v>0</v>
          </cell>
          <cell r="AB755" t="str">
            <v>anytime</v>
          </cell>
          <cell r="AC755">
            <v>12</v>
          </cell>
          <cell r="AD755">
            <v>6</v>
          </cell>
          <cell r="AE755" t="str">
            <v>everyone</v>
          </cell>
        </row>
        <row r="756">
          <cell r="A756" t="str">
            <v>40029_2</v>
          </cell>
          <cell r="B756">
            <v>3</v>
          </cell>
          <cell r="C756">
            <v>40029</v>
          </cell>
          <cell r="D756" t="str">
            <v>カスケード襲来！</v>
          </cell>
          <cell r="E756" t="str">
            <v>降臨29</v>
          </cell>
          <cell r="F756">
            <v>2</v>
          </cell>
          <cell r="G756" t="str">
            <v>ja</v>
          </cell>
          <cell r="H756" t="str">
            <v>【ウィザード級】カスケード襲来</v>
          </cell>
          <cell r="I756" t="str">
            <v>地獄級</v>
          </cell>
          <cell r="J756">
            <v>781</v>
          </cell>
          <cell r="K756">
            <v>40</v>
          </cell>
          <cell r="L756">
            <v>4500</v>
          </cell>
          <cell r="M756">
            <v>1</v>
          </cell>
          <cell r="N756">
            <v>1</v>
          </cell>
          <cell r="O756">
            <v>1</v>
          </cell>
          <cell r="P756">
            <v>1</v>
          </cell>
          <cell r="Q756">
            <v>1</v>
          </cell>
          <cell r="R756">
            <v>3</v>
          </cell>
          <cell r="S756" t="str">
            <v>polygon</v>
          </cell>
          <cell r="T756">
            <v>1</v>
          </cell>
          <cell r="U756" t="str">
            <v>NULL</v>
          </cell>
          <cell r="V756" t="str">
            <v>NULL</v>
          </cell>
          <cell r="W756" t="str">
            <v/>
          </cell>
          <cell r="X756">
            <v>0</v>
          </cell>
          <cell r="Y756">
            <v>0</v>
          </cell>
          <cell r="Z756">
            <v>0</v>
          </cell>
          <cell r="AA756">
            <v>0</v>
          </cell>
          <cell r="AB756" t="str">
            <v>anytime</v>
          </cell>
          <cell r="AC756">
            <v>12</v>
          </cell>
          <cell r="AD756">
            <v>6</v>
          </cell>
          <cell r="AE756" t="str">
            <v>everyone</v>
          </cell>
        </row>
        <row r="757">
          <cell r="A757" t="str">
            <v>40030_1</v>
          </cell>
          <cell r="B757">
            <v>3</v>
          </cell>
          <cell r="C757">
            <v>40030</v>
          </cell>
          <cell r="D757" t="str">
            <v>エリス襲来！</v>
          </cell>
          <cell r="E757" t="str">
            <v>降臨30</v>
          </cell>
          <cell r="F757">
            <v>1</v>
          </cell>
          <cell r="G757" t="str">
            <v>ja</v>
          </cell>
          <cell r="H757" t="str">
            <v>【超絶級】エリス襲来</v>
          </cell>
          <cell r="I757" t="str">
            <v>超絶級</v>
          </cell>
          <cell r="J757">
            <v>888</v>
          </cell>
          <cell r="K757">
            <v>35</v>
          </cell>
          <cell r="L757">
            <v>4200</v>
          </cell>
          <cell r="M757">
            <v>1</v>
          </cell>
          <cell r="N757">
            <v>1</v>
          </cell>
          <cell r="O757">
            <v>1</v>
          </cell>
          <cell r="P757">
            <v>1</v>
          </cell>
          <cell r="Q757">
            <v>1</v>
          </cell>
          <cell r="R757">
            <v>3</v>
          </cell>
          <cell r="S757" t="str">
            <v>polygon</v>
          </cell>
          <cell r="T757">
            <v>1</v>
          </cell>
          <cell r="U757" t="str">
            <v>NULL</v>
          </cell>
          <cell r="V757" t="str">
            <v>NULL</v>
          </cell>
          <cell r="W757" t="str">
            <v/>
          </cell>
          <cell r="X757">
            <v>0</v>
          </cell>
          <cell r="Y757">
            <v>0</v>
          </cell>
          <cell r="Z757">
            <v>0</v>
          </cell>
          <cell r="AA757">
            <v>0</v>
          </cell>
          <cell r="AB757" t="str">
            <v>anytime</v>
          </cell>
          <cell r="AC757">
            <v>17</v>
          </cell>
          <cell r="AD757">
            <v>6</v>
          </cell>
          <cell r="AE757" t="str">
            <v>everyone</v>
          </cell>
        </row>
        <row r="758">
          <cell r="A758" t="str">
            <v>40030_2</v>
          </cell>
          <cell r="B758">
            <v>3</v>
          </cell>
          <cell r="C758">
            <v>40030</v>
          </cell>
          <cell r="D758" t="str">
            <v>エリス襲来！</v>
          </cell>
          <cell r="E758" t="str">
            <v>降臨30</v>
          </cell>
          <cell r="F758">
            <v>2</v>
          </cell>
          <cell r="G758" t="str">
            <v>ja</v>
          </cell>
          <cell r="H758" t="str">
            <v>【ウィザード級】エリス襲来</v>
          </cell>
          <cell r="I758" t="str">
            <v>地獄級</v>
          </cell>
          <cell r="J758">
            <v>888</v>
          </cell>
          <cell r="K758">
            <v>40</v>
          </cell>
          <cell r="L758">
            <v>4500</v>
          </cell>
          <cell r="M758">
            <v>1</v>
          </cell>
          <cell r="N758">
            <v>1</v>
          </cell>
          <cell r="O758">
            <v>1</v>
          </cell>
          <cell r="P758">
            <v>1</v>
          </cell>
          <cell r="Q758">
            <v>1</v>
          </cell>
          <cell r="R758">
            <v>3</v>
          </cell>
          <cell r="S758" t="str">
            <v>polygon</v>
          </cell>
          <cell r="T758">
            <v>1</v>
          </cell>
          <cell r="U758" t="str">
            <v>NULL</v>
          </cell>
          <cell r="V758" t="str">
            <v>NULL</v>
          </cell>
          <cell r="W758" t="str">
            <v/>
          </cell>
          <cell r="X758">
            <v>0</v>
          </cell>
          <cell r="Y758">
            <v>0</v>
          </cell>
          <cell r="Z758">
            <v>0</v>
          </cell>
          <cell r="AA758">
            <v>0</v>
          </cell>
          <cell r="AB758" t="str">
            <v>anytime</v>
          </cell>
          <cell r="AC758">
            <v>17</v>
          </cell>
          <cell r="AD758">
            <v>6</v>
          </cell>
          <cell r="AE758" t="str">
            <v>everyone</v>
          </cell>
        </row>
        <row r="759">
          <cell r="A759" t="str">
            <v>40031_1</v>
          </cell>
          <cell r="B759">
            <v>3</v>
          </cell>
          <cell r="C759">
            <v>40031</v>
          </cell>
          <cell r="D759" t="str">
            <v>董卓襲来！</v>
          </cell>
          <cell r="E759" t="str">
            <v>降臨31</v>
          </cell>
          <cell r="F759">
            <v>1</v>
          </cell>
          <cell r="G759" t="str">
            <v>ja</v>
          </cell>
          <cell r="H759" t="str">
            <v>【超絶級】董卓襲来</v>
          </cell>
          <cell r="I759" t="str">
            <v>超絶級</v>
          </cell>
          <cell r="J759">
            <v>1131</v>
          </cell>
          <cell r="K759">
            <v>35</v>
          </cell>
          <cell r="L759">
            <v>4200</v>
          </cell>
          <cell r="M759">
            <v>1</v>
          </cell>
          <cell r="N759">
            <v>1</v>
          </cell>
          <cell r="O759">
            <v>1</v>
          </cell>
          <cell r="P759">
            <v>1</v>
          </cell>
          <cell r="Q759">
            <v>1</v>
          </cell>
          <cell r="R759">
            <v>3</v>
          </cell>
          <cell r="S759" t="str">
            <v>polygon</v>
          </cell>
          <cell r="T759">
            <v>1</v>
          </cell>
          <cell r="U759" t="str">
            <v>NULL</v>
          </cell>
          <cell r="V759" t="str">
            <v>NULL</v>
          </cell>
          <cell r="W759" t="str">
            <v/>
          </cell>
          <cell r="X759">
            <v>0</v>
          </cell>
          <cell r="Y759">
            <v>0</v>
          </cell>
          <cell r="Z759">
            <v>0</v>
          </cell>
          <cell r="AA759">
            <v>0</v>
          </cell>
          <cell r="AB759" t="str">
            <v>anytime</v>
          </cell>
          <cell r="AC759">
            <v>949</v>
          </cell>
          <cell r="AD759">
            <v>6</v>
          </cell>
          <cell r="AE759" t="str">
            <v>everyone</v>
          </cell>
        </row>
        <row r="760">
          <cell r="A760" t="str">
            <v>40031_2</v>
          </cell>
          <cell r="B760">
            <v>3</v>
          </cell>
          <cell r="C760">
            <v>40031</v>
          </cell>
          <cell r="D760" t="str">
            <v>董卓襲来！</v>
          </cell>
          <cell r="E760" t="str">
            <v>降臨31</v>
          </cell>
          <cell r="F760">
            <v>2</v>
          </cell>
          <cell r="G760" t="str">
            <v>ja</v>
          </cell>
          <cell r="H760" t="str">
            <v>【ウィザード級】董卓襲来</v>
          </cell>
          <cell r="I760" t="str">
            <v>地獄級</v>
          </cell>
          <cell r="J760">
            <v>1132</v>
          </cell>
          <cell r="K760">
            <v>40</v>
          </cell>
          <cell r="L760">
            <v>4500</v>
          </cell>
          <cell r="M760">
            <v>1</v>
          </cell>
          <cell r="N760">
            <v>1</v>
          </cell>
          <cell r="O760">
            <v>1</v>
          </cell>
          <cell r="P760">
            <v>1</v>
          </cell>
          <cell r="Q760">
            <v>1</v>
          </cell>
          <cell r="R760">
            <v>3</v>
          </cell>
          <cell r="S760" t="str">
            <v>polygon</v>
          </cell>
          <cell r="T760">
            <v>1</v>
          </cell>
          <cell r="U760" t="str">
            <v>NULL</v>
          </cell>
          <cell r="V760" t="str">
            <v>NULL</v>
          </cell>
          <cell r="W760" t="str">
            <v/>
          </cell>
          <cell r="X760">
            <v>0</v>
          </cell>
          <cell r="Y760">
            <v>0</v>
          </cell>
          <cell r="Z760">
            <v>0</v>
          </cell>
          <cell r="AA760">
            <v>0</v>
          </cell>
          <cell r="AB760" t="str">
            <v>anytime</v>
          </cell>
          <cell r="AC760">
            <v>949</v>
          </cell>
          <cell r="AD760">
            <v>6</v>
          </cell>
          <cell r="AE760" t="str">
            <v>everyone</v>
          </cell>
        </row>
        <row r="761">
          <cell r="A761" t="str">
            <v>40032_1</v>
          </cell>
          <cell r="B761">
            <v>3</v>
          </cell>
          <cell r="C761">
            <v>40032</v>
          </cell>
          <cell r="D761" t="str">
            <v>貂蝉襲来！</v>
          </cell>
          <cell r="E761" t="str">
            <v>降臨32</v>
          </cell>
          <cell r="F761">
            <v>1</v>
          </cell>
          <cell r="G761" t="str">
            <v>ja</v>
          </cell>
          <cell r="H761" t="str">
            <v>【超絶級】貂蝉襲来</v>
          </cell>
          <cell r="I761" t="str">
            <v>超絶級</v>
          </cell>
          <cell r="J761">
            <v>1133</v>
          </cell>
          <cell r="K761">
            <v>35</v>
          </cell>
          <cell r="L761">
            <v>4200</v>
          </cell>
          <cell r="M761">
            <v>1</v>
          </cell>
          <cell r="N761">
            <v>1</v>
          </cell>
          <cell r="O761">
            <v>1</v>
          </cell>
          <cell r="P761">
            <v>1</v>
          </cell>
          <cell r="Q761">
            <v>1</v>
          </cell>
          <cell r="R761">
            <v>3</v>
          </cell>
          <cell r="S761" t="str">
            <v>polygon</v>
          </cell>
          <cell r="T761">
            <v>1</v>
          </cell>
          <cell r="U761" t="str">
            <v>NULL</v>
          </cell>
          <cell r="V761" t="str">
            <v>NULL</v>
          </cell>
          <cell r="W761" t="str">
            <v/>
          </cell>
          <cell r="X761">
            <v>0</v>
          </cell>
          <cell r="Y761">
            <v>0</v>
          </cell>
          <cell r="Z761">
            <v>0</v>
          </cell>
          <cell r="AA761">
            <v>0</v>
          </cell>
          <cell r="AB761" t="str">
            <v>anytime</v>
          </cell>
          <cell r="AC761">
            <v>949</v>
          </cell>
          <cell r="AD761">
            <v>6</v>
          </cell>
          <cell r="AE761" t="str">
            <v>everyone</v>
          </cell>
        </row>
        <row r="762">
          <cell r="A762" t="str">
            <v>40032_2</v>
          </cell>
          <cell r="B762">
            <v>3</v>
          </cell>
          <cell r="C762">
            <v>40032</v>
          </cell>
          <cell r="D762" t="str">
            <v>貂蝉襲来！</v>
          </cell>
          <cell r="E762" t="str">
            <v>降臨32</v>
          </cell>
          <cell r="F762">
            <v>2</v>
          </cell>
          <cell r="G762" t="str">
            <v>ja</v>
          </cell>
          <cell r="H762" t="str">
            <v>【ウィザード級】貂蝉襲来</v>
          </cell>
          <cell r="I762" t="str">
            <v>地獄級</v>
          </cell>
          <cell r="J762">
            <v>1134</v>
          </cell>
          <cell r="K762">
            <v>40</v>
          </cell>
          <cell r="L762">
            <v>4500</v>
          </cell>
          <cell r="M762">
            <v>1</v>
          </cell>
          <cell r="N762">
            <v>1</v>
          </cell>
          <cell r="O762">
            <v>1</v>
          </cell>
          <cell r="P762">
            <v>1</v>
          </cell>
          <cell r="Q762">
            <v>1</v>
          </cell>
          <cell r="R762">
            <v>3</v>
          </cell>
          <cell r="S762" t="str">
            <v>polygon</v>
          </cell>
          <cell r="T762">
            <v>1</v>
          </cell>
          <cell r="U762" t="str">
            <v>NULL</v>
          </cell>
          <cell r="V762" t="str">
            <v>NULL</v>
          </cell>
          <cell r="W762" t="str">
            <v/>
          </cell>
          <cell r="X762">
            <v>0</v>
          </cell>
          <cell r="Y762">
            <v>0</v>
          </cell>
          <cell r="Z762">
            <v>0</v>
          </cell>
          <cell r="AA762">
            <v>0</v>
          </cell>
          <cell r="AB762" t="str">
            <v>anytime</v>
          </cell>
          <cell r="AC762">
            <v>949</v>
          </cell>
          <cell r="AD762">
            <v>6</v>
          </cell>
          <cell r="AE762" t="str">
            <v>everyone</v>
          </cell>
        </row>
        <row r="763">
          <cell r="A763" t="str">
            <v>40033_1</v>
          </cell>
          <cell r="B763">
            <v>3</v>
          </cell>
          <cell r="C763">
            <v>40033</v>
          </cell>
          <cell r="D763" t="str">
            <v>アテナ襲来！</v>
          </cell>
          <cell r="E763" t="str">
            <v>降臨33</v>
          </cell>
          <cell r="F763">
            <v>1</v>
          </cell>
          <cell r="G763" t="str">
            <v>ja</v>
          </cell>
          <cell r="H763" t="str">
            <v>【超絶級】アテナ襲来</v>
          </cell>
          <cell r="I763" t="str">
            <v>超絶級</v>
          </cell>
          <cell r="J763">
            <v>893</v>
          </cell>
          <cell r="K763">
            <v>35</v>
          </cell>
          <cell r="L763">
            <v>4200</v>
          </cell>
          <cell r="M763">
            <v>1</v>
          </cell>
          <cell r="N763">
            <v>1</v>
          </cell>
          <cell r="O763">
            <v>1</v>
          </cell>
          <cell r="P763">
            <v>1</v>
          </cell>
          <cell r="Q763">
            <v>1</v>
          </cell>
          <cell r="R763">
            <v>3</v>
          </cell>
          <cell r="S763" t="str">
            <v>polygon</v>
          </cell>
          <cell r="T763">
            <v>1</v>
          </cell>
          <cell r="U763" t="str">
            <v>NULL</v>
          </cell>
          <cell r="V763" t="str">
            <v>NULL</v>
          </cell>
          <cell r="W763" t="str">
            <v/>
          </cell>
          <cell r="X763">
            <v>0</v>
          </cell>
          <cell r="Y763">
            <v>0</v>
          </cell>
          <cell r="Z763">
            <v>0</v>
          </cell>
          <cell r="AA763">
            <v>0</v>
          </cell>
          <cell r="AB763" t="str">
            <v>anytime</v>
          </cell>
          <cell r="AC763">
            <v>13</v>
          </cell>
          <cell r="AD763">
            <v>6</v>
          </cell>
          <cell r="AE763" t="str">
            <v>everyone</v>
          </cell>
        </row>
        <row r="764">
          <cell r="A764" t="str">
            <v>40033_2</v>
          </cell>
          <cell r="B764">
            <v>3</v>
          </cell>
          <cell r="C764">
            <v>40033</v>
          </cell>
          <cell r="D764" t="str">
            <v>アテナ襲来！</v>
          </cell>
          <cell r="E764" t="str">
            <v>降臨33</v>
          </cell>
          <cell r="F764">
            <v>2</v>
          </cell>
          <cell r="G764" t="str">
            <v>ja</v>
          </cell>
          <cell r="H764" t="str">
            <v>【ウィザード級】アテナ襲来</v>
          </cell>
          <cell r="I764" t="str">
            <v>地獄級</v>
          </cell>
          <cell r="J764">
            <v>894</v>
          </cell>
          <cell r="K764">
            <v>40</v>
          </cell>
          <cell r="L764">
            <v>4500</v>
          </cell>
          <cell r="M764">
            <v>1</v>
          </cell>
          <cell r="N764">
            <v>1</v>
          </cell>
          <cell r="O764">
            <v>1</v>
          </cell>
          <cell r="P764">
            <v>1</v>
          </cell>
          <cell r="Q764">
            <v>1</v>
          </cell>
          <cell r="R764">
            <v>3</v>
          </cell>
          <cell r="S764" t="str">
            <v>polygon</v>
          </cell>
          <cell r="T764">
            <v>1</v>
          </cell>
          <cell r="U764" t="str">
            <v>NULL</v>
          </cell>
          <cell r="V764" t="str">
            <v>NULL</v>
          </cell>
          <cell r="W764" t="str">
            <v/>
          </cell>
          <cell r="X764">
            <v>0</v>
          </cell>
          <cell r="Y764">
            <v>0</v>
          </cell>
          <cell r="Z764">
            <v>0</v>
          </cell>
          <cell r="AA764">
            <v>0</v>
          </cell>
          <cell r="AB764" t="str">
            <v>anytime</v>
          </cell>
          <cell r="AC764">
            <v>13</v>
          </cell>
          <cell r="AD764">
            <v>6</v>
          </cell>
          <cell r="AE764" t="str">
            <v>everyone</v>
          </cell>
        </row>
        <row r="765">
          <cell r="A765" t="str">
            <v>40034_1</v>
          </cell>
          <cell r="B765">
            <v>3</v>
          </cell>
          <cell r="C765">
            <v>40034</v>
          </cell>
          <cell r="D765" t="str">
            <v>カーリー襲来！</v>
          </cell>
          <cell r="E765" t="str">
            <v>降臨34</v>
          </cell>
          <cell r="F765">
            <v>1</v>
          </cell>
          <cell r="G765" t="str">
            <v>ja</v>
          </cell>
          <cell r="H765" t="str">
            <v>【超絶級】カーリー襲来</v>
          </cell>
          <cell r="I765" t="str">
            <v>超絶級</v>
          </cell>
          <cell r="J765">
            <v>1148</v>
          </cell>
          <cell r="K765">
            <v>35</v>
          </cell>
          <cell r="L765">
            <v>4200</v>
          </cell>
          <cell r="M765">
            <v>1</v>
          </cell>
          <cell r="N765">
            <v>1</v>
          </cell>
          <cell r="O765">
            <v>1</v>
          </cell>
          <cell r="P765">
            <v>1</v>
          </cell>
          <cell r="Q765">
            <v>1</v>
          </cell>
          <cell r="R765">
            <v>3</v>
          </cell>
          <cell r="S765" t="str">
            <v>polygon</v>
          </cell>
          <cell r="T765">
            <v>1</v>
          </cell>
          <cell r="U765" t="str">
            <v>NULL</v>
          </cell>
          <cell r="V765" t="str">
            <v>NULL</v>
          </cell>
          <cell r="W765" t="str">
            <v/>
          </cell>
          <cell r="X765">
            <v>0</v>
          </cell>
          <cell r="Y765">
            <v>0</v>
          </cell>
          <cell r="Z765">
            <v>0</v>
          </cell>
          <cell r="AA765">
            <v>0</v>
          </cell>
          <cell r="AB765" t="str">
            <v>anytime</v>
          </cell>
          <cell r="AC765">
            <v>951</v>
          </cell>
          <cell r="AD765">
            <v>6</v>
          </cell>
          <cell r="AE765" t="str">
            <v>everyone</v>
          </cell>
        </row>
        <row r="766">
          <cell r="A766" t="str">
            <v>40034_2</v>
          </cell>
          <cell r="B766">
            <v>3</v>
          </cell>
          <cell r="C766">
            <v>40034</v>
          </cell>
          <cell r="D766" t="str">
            <v>カーリー襲来！</v>
          </cell>
          <cell r="E766" t="str">
            <v>降臨34</v>
          </cell>
          <cell r="F766">
            <v>2</v>
          </cell>
          <cell r="G766" t="str">
            <v>ja</v>
          </cell>
          <cell r="H766" t="str">
            <v>【ウィザード級】カーリー襲来</v>
          </cell>
          <cell r="I766" t="str">
            <v>地獄級</v>
          </cell>
          <cell r="J766">
            <v>1148</v>
          </cell>
          <cell r="K766">
            <v>40</v>
          </cell>
          <cell r="L766">
            <v>4500</v>
          </cell>
          <cell r="M766">
            <v>1</v>
          </cell>
          <cell r="N766">
            <v>1</v>
          </cell>
          <cell r="O766">
            <v>1</v>
          </cell>
          <cell r="P766">
            <v>1</v>
          </cell>
          <cell r="Q766">
            <v>1</v>
          </cell>
          <cell r="R766">
            <v>3</v>
          </cell>
          <cell r="S766" t="str">
            <v>polygon</v>
          </cell>
          <cell r="T766">
            <v>1</v>
          </cell>
          <cell r="U766" t="str">
            <v>NULL</v>
          </cell>
          <cell r="V766" t="str">
            <v>NULL</v>
          </cell>
          <cell r="W766" t="str">
            <v/>
          </cell>
          <cell r="X766">
            <v>0</v>
          </cell>
          <cell r="Y766">
            <v>0</v>
          </cell>
          <cell r="Z766">
            <v>0</v>
          </cell>
          <cell r="AA766">
            <v>0</v>
          </cell>
          <cell r="AB766" t="str">
            <v>anytime</v>
          </cell>
          <cell r="AC766">
            <v>951</v>
          </cell>
          <cell r="AD766">
            <v>6</v>
          </cell>
          <cell r="AE766" t="str">
            <v>everyone</v>
          </cell>
        </row>
        <row r="767">
          <cell r="A767" t="str">
            <v>40035_1</v>
          </cell>
          <cell r="B767">
            <v>3</v>
          </cell>
          <cell r="C767">
            <v>40035</v>
          </cell>
          <cell r="D767" t="str">
            <v>ブラフマー襲来！</v>
          </cell>
          <cell r="E767" t="str">
            <v>降臨35</v>
          </cell>
          <cell r="F767">
            <v>1</v>
          </cell>
          <cell r="G767" t="str">
            <v>ja</v>
          </cell>
          <cell r="H767" t="str">
            <v>【超絶級】ブラフマー襲来</v>
          </cell>
          <cell r="I767" t="str">
            <v>超絶級</v>
          </cell>
          <cell r="J767">
            <v>1150</v>
          </cell>
          <cell r="K767">
            <v>35</v>
          </cell>
          <cell r="L767">
            <v>4200</v>
          </cell>
          <cell r="M767">
            <v>1</v>
          </cell>
          <cell r="N767">
            <v>1</v>
          </cell>
          <cell r="O767">
            <v>1</v>
          </cell>
          <cell r="P767">
            <v>1</v>
          </cell>
          <cell r="Q767">
            <v>1</v>
          </cell>
          <cell r="R767">
            <v>3</v>
          </cell>
          <cell r="S767" t="str">
            <v>polygon</v>
          </cell>
          <cell r="T767">
            <v>1</v>
          </cell>
          <cell r="U767" t="str">
            <v>NULL</v>
          </cell>
          <cell r="V767" t="str">
            <v>NULL</v>
          </cell>
          <cell r="W767" t="str">
            <v/>
          </cell>
          <cell r="X767">
            <v>0</v>
          </cell>
          <cell r="Y767">
            <v>0</v>
          </cell>
          <cell r="Z767">
            <v>0</v>
          </cell>
          <cell r="AA767">
            <v>0</v>
          </cell>
          <cell r="AB767" t="str">
            <v>anytime</v>
          </cell>
          <cell r="AC767">
            <v>951</v>
          </cell>
          <cell r="AD767">
            <v>6</v>
          </cell>
          <cell r="AE767" t="str">
            <v>everyone</v>
          </cell>
        </row>
        <row r="768">
          <cell r="A768" t="str">
            <v>40035_2</v>
          </cell>
          <cell r="B768">
            <v>3</v>
          </cell>
          <cell r="C768">
            <v>40035</v>
          </cell>
          <cell r="D768" t="str">
            <v>ブラフマー襲来！</v>
          </cell>
          <cell r="E768" t="str">
            <v>降臨35</v>
          </cell>
          <cell r="F768">
            <v>2</v>
          </cell>
          <cell r="G768" t="str">
            <v>ja</v>
          </cell>
          <cell r="H768" t="str">
            <v>【ウィザード級】ブラフマー襲来</v>
          </cell>
          <cell r="I768" t="str">
            <v>地獄級</v>
          </cell>
          <cell r="J768">
            <v>1150</v>
          </cell>
          <cell r="K768">
            <v>40</v>
          </cell>
          <cell r="L768">
            <v>4500</v>
          </cell>
          <cell r="M768">
            <v>1</v>
          </cell>
          <cell r="N768">
            <v>1</v>
          </cell>
          <cell r="O768">
            <v>1</v>
          </cell>
          <cell r="P768">
            <v>1</v>
          </cell>
          <cell r="Q768">
            <v>1</v>
          </cell>
          <cell r="R768">
            <v>3</v>
          </cell>
          <cell r="S768" t="str">
            <v>polygon</v>
          </cell>
          <cell r="T768">
            <v>1</v>
          </cell>
          <cell r="U768" t="str">
            <v>NULL</v>
          </cell>
          <cell r="V768" t="str">
            <v>NULL</v>
          </cell>
          <cell r="W768" t="str">
            <v/>
          </cell>
          <cell r="X768">
            <v>0</v>
          </cell>
          <cell r="Y768">
            <v>0</v>
          </cell>
          <cell r="Z768">
            <v>0</v>
          </cell>
          <cell r="AA768">
            <v>0</v>
          </cell>
          <cell r="AB768" t="str">
            <v>anytime</v>
          </cell>
          <cell r="AC768">
            <v>951</v>
          </cell>
          <cell r="AD768">
            <v>6</v>
          </cell>
          <cell r="AE768" t="str">
            <v>everyone</v>
          </cell>
        </row>
        <row r="769">
          <cell r="A769" t="str">
            <v>40036_1</v>
          </cell>
          <cell r="B769">
            <v>3</v>
          </cell>
          <cell r="C769">
            <v>40036</v>
          </cell>
          <cell r="D769" t="str">
            <v>ウラヌス襲来！</v>
          </cell>
          <cell r="E769" t="str">
            <v>降臨36</v>
          </cell>
          <cell r="F769">
            <v>1</v>
          </cell>
          <cell r="G769" t="str">
            <v>ja</v>
          </cell>
          <cell r="H769" t="str">
            <v>【超絶級】ウラヌス襲来</v>
          </cell>
          <cell r="I769" t="str">
            <v>超絶級</v>
          </cell>
          <cell r="J769">
            <v>1203</v>
          </cell>
          <cell r="K769">
            <v>35</v>
          </cell>
          <cell r="L769">
            <v>4200</v>
          </cell>
          <cell r="M769">
            <v>1</v>
          </cell>
          <cell r="N769">
            <v>1</v>
          </cell>
          <cell r="O769">
            <v>1</v>
          </cell>
          <cell r="P769">
            <v>1</v>
          </cell>
          <cell r="Q769">
            <v>1</v>
          </cell>
          <cell r="R769">
            <v>3</v>
          </cell>
          <cell r="S769" t="str">
            <v>polygon</v>
          </cell>
          <cell r="T769">
            <v>1</v>
          </cell>
          <cell r="U769" t="str">
            <v>NULL</v>
          </cell>
          <cell r="V769" t="str">
            <v>NULL</v>
          </cell>
          <cell r="W769" t="str">
            <v/>
          </cell>
          <cell r="X769">
            <v>0</v>
          </cell>
          <cell r="Y769">
            <v>0</v>
          </cell>
          <cell r="Z769">
            <v>0</v>
          </cell>
          <cell r="AA769">
            <v>0</v>
          </cell>
          <cell r="AB769" t="str">
            <v>anytime</v>
          </cell>
          <cell r="AC769">
            <v>954</v>
          </cell>
          <cell r="AD769">
            <v>6</v>
          </cell>
          <cell r="AE769" t="str">
            <v>everyone</v>
          </cell>
        </row>
        <row r="770">
          <cell r="A770" t="str">
            <v>40036_2</v>
          </cell>
          <cell r="B770">
            <v>3</v>
          </cell>
          <cell r="C770">
            <v>40036</v>
          </cell>
          <cell r="D770" t="str">
            <v>ウラヌス襲来！</v>
          </cell>
          <cell r="E770" t="str">
            <v>降臨36</v>
          </cell>
          <cell r="F770">
            <v>2</v>
          </cell>
          <cell r="G770" t="str">
            <v>ja</v>
          </cell>
          <cell r="H770" t="str">
            <v>【ウィザード級】ウラヌス襲来</v>
          </cell>
          <cell r="I770" t="str">
            <v>地獄級</v>
          </cell>
          <cell r="J770">
            <v>1203</v>
          </cell>
          <cell r="K770">
            <v>40</v>
          </cell>
          <cell r="L770">
            <v>4500</v>
          </cell>
          <cell r="M770">
            <v>1</v>
          </cell>
          <cell r="N770">
            <v>1</v>
          </cell>
          <cell r="O770">
            <v>1</v>
          </cell>
          <cell r="P770">
            <v>1</v>
          </cell>
          <cell r="Q770">
            <v>1</v>
          </cell>
          <cell r="R770">
            <v>3</v>
          </cell>
          <cell r="S770" t="str">
            <v>polygon</v>
          </cell>
          <cell r="T770">
            <v>1</v>
          </cell>
          <cell r="U770" t="str">
            <v>NULL</v>
          </cell>
          <cell r="V770" t="str">
            <v>NULL</v>
          </cell>
          <cell r="W770" t="str">
            <v/>
          </cell>
          <cell r="X770">
            <v>0</v>
          </cell>
          <cell r="Y770">
            <v>0</v>
          </cell>
          <cell r="Z770">
            <v>0</v>
          </cell>
          <cell r="AA770">
            <v>0</v>
          </cell>
          <cell r="AB770" t="str">
            <v>anytime</v>
          </cell>
          <cell r="AC770">
            <v>954</v>
          </cell>
          <cell r="AD770">
            <v>6</v>
          </cell>
          <cell r="AE770" t="str">
            <v>everyone</v>
          </cell>
        </row>
        <row r="771">
          <cell r="A771" t="str">
            <v>40037_1</v>
          </cell>
          <cell r="B771">
            <v>3</v>
          </cell>
          <cell r="C771">
            <v>40037</v>
          </cell>
          <cell r="D771" t="str">
            <v>デルピュネー襲来！</v>
          </cell>
          <cell r="E771" t="str">
            <v>降臨37</v>
          </cell>
          <cell r="F771">
            <v>1</v>
          </cell>
          <cell r="G771" t="str">
            <v>ja</v>
          </cell>
          <cell r="H771" t="str">
            <v>【超絶級】デルピュネー襲来</v>
          </cell>
          <cell r="I771" t="str">
            <v>超絶級</v>
          </cell>
          <cell r="J771">
            <v>1205</v>
          </cell>
          <cell r="K771">
            <v>35</v>
          </cell>
          <cell r="L771">
            <v>4200</v>
          </cell>
          <cell r="M771">
            <v>1</v>
          </cell>
          <cell r="N771">
            <v>1</v>
          </cell>
          <cell r="O771">
            <v>1</v>
          </cell>
          <cell r="P771">
            <v>1</v>
          </cell>
          <cell r="Q771">
            <v>1</v>
          </cell>
          <cell r="R771">
            <v>3</v>
          </cell>
          <cell r="S771" t="str">
            <v>polygon</v>
          </cell>
          <cell r="T771">
            <v>1</v>
          </cell>
          <cell r="U771" t="str">
            <v>NULL</v>
          </cell>
          <cell r="V771" t="str">
            <v>NULL</v>
          </cell>
          <cell r="W771" t="str">
            <v/>
          </cell>
          <cell r="X771">
            <v>0</v>
          </cell>
          <cell r="Y771">
            <v>0</v>
          </cell>
          <cell r="Z771">
            <v>0</v>
          </cell>
          <cell r="AA771">
            <v>0</v>
          </cell>
          <cell r="AB771" t="str">
            <v>anytime</v>
          </cell>
          <cell r="AC771">
            <v>954</v>
          </cell>
          <cell r="AD771">
            <v>6</v>
          </cell>
          <cell r="AE771" t="str">
            <v>everyone</v>
          </cell>
        </row>
        <row r="772">
          <cell r="A772" t="str">
            <v>40037_2</v>
          </cell>
          <cell r="B772">
            <v>3</v>
          </cell>
          <cell r="C772">
            <v>40037</v>
          </cell>
          <cell r="D772" t="str">
            <v>デルピュネー襲来！</v>
          </cell>
          <cell r="E772" t="str">
            <v>降臨37</v>
          </cell>
          <cell r="F772">
            <v>2</v>
          </cell>
          <cell r="G772" t="str">
            <v>ja</v>
          </cell>
          <cell r="H772" t="str">
            <v>【ウィザード級】デルピュネー襲来</v>
          </cell>
          <cell r="I772" t="str">
            <v>地獄級</v>
          </cell>
          <cell r="J772">
            <v>1205</v>
          </cell>
          <cell r="K772">
            <v>40</v>
          </cell>
          <cell r="L772">
            <v>4500</v>
          </cell>
          <cell r="M772">
            <v>1</v>
          </cell>
          <cell r="N772">
            <v>1</v>
          </cell>
          <cell r="O772">
            <v>1</v>
          </cell>
          <cell r="P772">
            <v>1</v>
          </cell>
          <cell r="Q772">
            <v>1</v>
          </cell>
          <cell r="R772">
            <v>3</v>
          </cell>
          <cell r="S772" t="str">
            <v>polygon</v>
          </cell>
          <cell r="T772">
            <v>1</v>
          </cell>
          <cell r="U772" t="str">
            <v>NULL</v>
          </cell>
          <cell r="V772" t="str">
            <v>NULL</v>
          </cell>
          <cell r="W772" t="str">
            <v/>
          </cell>
          <cell r="X772">
            <v>0</v>
          </cell>
          <cell r="Y772">
            <v>0</v>
          </cell>
          <cell r="Z772">
            <v>0</v>
          </cell>
          <cell r="AA772">
            <v>0</v>
          </cell>
          <cell r="AB772" t="str">
            <v>anytime</v>
          </cell>
          <cell r="AC772">
            <v>954</v>
          </cell>
          <cell r="AD772">
            <v>6</v>
          </cell>
          <cell r="AE772" t="str">
            <v>everyone</v>
          </cell>
        </row>
        <row r="773">
          <cell r="A773" t="str">
            <v>40038_1</v>
          </cell>
          <cell r="B773">
            <v>3</v>
          </cell>
          <cell r="C773">
            <v>40038</v>
          </cell>
          <cell r="D773" t="str">
            <v>太宰治襲来！</v>
          </cell>
          <cell r="E773" t="str">
            <v>降臨38</v>
          </cell>
          <cell r="F773">
            <v>1</v>
          </cell>
          <cell r="G773" t="str">
            <v>ja</v>
          </cell>
          <cell r="H773" t="str">
            <v>【超絶級】太宰治襲来</v>
          </cell>
          <cell r="I773" t="str">
            <v>超絶級</v>
          </cell>
          <cell r="J773">
            <v>1218</v>
          </cell>
          <cell r="K773">
            <v>35</v>
          </cell>
          <cell r="L773">
            <v>4200</v>
          </cell>
          <cell r="M773">
            <v>1</v>
          </cell>
          <cell r="N773">
            <v>1</v>
          </cell>
          <cell r="O773">
            <v>1</v>
          </cell>
          <cell r="P773">
            <v>1</v>
          </cell>
          <cell r="Q773">
            <v>0</v>
          </cell>
          <cell r="R773">
            <v>3</v>
          </cell>
          <cell r="S773" t="str">
            <v>polygon</v>
          </cell>
          <cell r="T773">
            <v>1</v>
          </cell>
          <cell r="U773" t="str">
            <v>NULL</v>
          </cell>
          <cell r="V773" t="str">
            <v>NULL</v>
          </cell>
          <cell r="W773" t="str">
            <v/>
          </cell>
          <cell r="X773">
            <v>0</v>
          </cell>
          <cell r="Y773">
            <v>0</v>
          </cell>
          <cell r="Z773">
            <v>0</v>
          </cell>
          <cell r="AA773">
            <v>0</v>
          </cell>
          <cell r="AB773" t="str">
            <v>anytime</v>
          </cell>
          <cell r="AC773">
            <v>956</v>
          </cell>
          <cell r="AD773">
            <v>6</v>
          </cell>
          <cell r="AE773" t="str">
            <v>everyone</v>
          </cell>
        </row>
        <row r="774">
          <cell r="A774" t="str">
            <v>40038_2</v>
          </cell>
          <cell r="B774">
            <v>3</v>
          </cell>
          <cell r="C774">
            <v>40038</v>
          </cell>
          <cell r="D774" t="str">
            <v>太宰治襲来！</v>
          </cell>
          <cell r="E774" t="str">
            <v>降臨38</v>
          </cell>
          <cell r="F774">
            <v>2</v>
          </cell>
          <cell r="G774" t="str">
            <v>ja</v>
          </cell>
          <cell r="H774" t="str">
            <v>【ウィザード級】太宰治襲来</v>
          </cell>
          <cell r="I774" t="str">
            <v>地獄級</v>
          </cell>
          <cell r="J774">
            <v>1219</v>
          </cell>
          <cell r="K774">
            <v>40</v>
          </cell>
          <cell r="L774">
            <v>4500</v>
          </cell>
          <cell r="M774">
            <v>1</v>
          </cell>
          <cell r="N774">
            <v>1</v>
          </cell>
          <cell r="O774">
            <v>1</v>
          </cell>
          <cell r="P774">
            <v>1</v>
          </cell>
          <cell r="Q774">
            <v>0</v>
          </cell>
          <cell r="R774">
            <v>3</v>
          </cell>
          <cell r="S774" t="str">
            <v>polygon</v>
          </cell>
          <cell r="T774">
            <v>1</v>
          </cell>
          <cell r="U774" t="str">
            <v>NULL</v>
          </cell>
          <cell r="V774" t="str">
            <v>NULL</v>
          </cell>
          <cell r="W774" t="str">
            <v/>
          </cell>
          <cell r="X774">
            <v>0</v>
          </cell>
          <cell r="Y774">
            <v>0</v>
          </cell>
          <cell r="Z774">
            <v>0</v>
          </cell>
          <cell r="AA774">
            <v>0</v>
          </cell>
          <cell r="AB774" t="str">
            <v>anytime</v>
          </cell>
          <cell r="AC774">
            <v>956</v>
          </cell>
          <cell r="AD774">
            <v>6</v>
          </cell>
          <cell r="AE774" t="str">
            <v>everyone</v>
          </cell>
        </row>
        <row r="775">
          <cell r="A775" t="str">
            <v>40039_1</v>
          </cell>
          <cell r="B775">
            <v>3</v>
          </cell>
          <cell r="C775">
            <v>40039</v>
          </cell>
          <cell r="D775" t="str">
            <v>シェイクスピア襲来！</v>
          </cell>
          <cell r="E775" t="str">
            <v>降臨39</v>
          </cell>
          <cell r="F775">
            <v>1</v>
          </cell>
          <cell r="G775" t="str">
            <v>ja</v>
          </cell>
          <cell r="H775" t="str">
            <v>【超絶級】シェイクスピア襲来</v>
          </cell>
          <cell r="I775" t="str">
            <v>超絶級</v>
          </cell>
          <cell r="J775">
            <v>1220</v>
          </cell>
          <cell r="K775">
            <v>35</v>
          </cell>
          <cell r="L775">
            <v>4200</v>
          </cell>
          <cell r="M775">
            <v>1</v>
          </cell>
          <cell r="N775">
            <v>1</v>
          </cell>
          <cell r="O775">
            <v>1</v>
          </cell>
          <cell r="P775">
            <v>1</v>
          </cell>
          <cell r="Q775">
            <v>1</v>
          </cell>
          <cell r="R775">
            <v>3</v>
          </cell>
          <cell r="S775" t="str">
            <v>polygon</v>
          </cell>
          <cell r="T775">
            <v>1</v>
          </cell>
          <cell r="U775" t="str">
            <v>NULL</v>
          </cell>
          <cell r="V775" t="str">
            <v>NULL</v>
          </cell>
          <cell r="W775" t="str">
            <v/>
          </cell>
          <cell r="X775">
            <v>0</v>
          </cell>
          <cell r="Y775">
            <v>0</v>
          </cell>
          <cell r="Z775">
            <v>0</v>
          </cell>
          <cell r="AA775">
            <v>0</v>
          </cell>
          <cell r="AB775" t="str">
            <v>anytime</v>
          </cell>
          <cell r="AC775">
            <v>956</v>
          </cell>
          <cell r="AD775">
            <v>6</v>
          </cell>
          <cell r="AE775" t="str">
            <v>everyone</v>
          </cell>
        </row>
        <row r="776">
          <cell r="A776" t="str">
            <v>40039_2</v>
          </cell>
          <cell r="B776">
            <v>3</v>
          </cell>
          <cell r="C776">
            <v>40039</v>
          </cell>
          <cell r="D776" t="str">
            <v>シェイクスピア襲来！</v>
          </cell>
          <cell r="E776" t="str">
            <v>降臨39</v>
          </cell>
          <cell r="F776">
            <v>2</v>
          </cell>
          <cell r="G776" t="str">
            <v>ja</v>
          </cell>
          <cell r="H776" t="str">
            <v>【ウィザード級】シェイクスピア襲来</v>
          </cell>
          <cell r="I776" t="str">
            <v>地獄級</v>
          </cell>
          <cell r="J776">
            <v>1221</v>
          </cell>
          <cell r="K776">
            <v>40</v>
          </cell>
          <cell r="L776">
            <v>4500</v>
          </cell>
          <cell r="M776">
            <v>1</v>
          </cell>
          <cell r="N776">
            <v>1</v>
          </cell>
          <cell r="O776">
            <v>1</v>
          </cell>
          <cell r="P776">
            <v>1</v>
          </cell>
          <cell r="Q776">
            <v>1</v>
          </cell>
          <cell r="R776">
            <v>3</v>
          </cell>
          <cell r="S776" t="str">
            <v>polygon</v>
          </cell>
          <cell r="T776">
            <v>1</v>
          </cell>
          <cell r="U776" t="str">
            <v>NULL</v>
          </cell>
          <cell r="V776" t="str">
            <v>NULL</v>
          </cell>
          <cell r="W776" t="str">
            <v/>
          </cell>
          <cell r="X776">
            <v>0</v>
          </cell>
          <cell r="Y776">
            <v>0</v>
          </cell>
          <cell r="Z776">
            <v>0</v>
          </cell>
          <cell r="AA776">
            <v>0</v>
          </cell>
          <cell r="AB776" t="str">
            <v>anytime</v>
          </cell>
          <cell r="AC776">
            <v>956</v>
          </cell>
          <cell r="AD776">
            <v>6</v>
          </cell>
          <cell r="AE776" t="str">
            <v>everyone</v>
          </cell>
        </row>
        <row r="777">
          <cell r="A777" t="str">
            <v>40040_1</v>
          </cell>
          <cell r="B777">
            <v>3</v>
          </cell>
          <cell r="C777">
            <v>40040</v>
          </cell>
          <cell r="D777" t="str">
            <v>竹中半兵衛襲来！</v>
          </cell>
          <cell r="E777" t="str">
            <v>降臨40</v>
          </cell>
          <cell r="F777">
            <v>1</v>
          </cell>
          <cell r="G777" t="str">
            <v>ja</v>
          </cell>
          <cell r="H777" t="str">
            <v>【超絶級】竹中半兵衛襲来</v>
          </cell>
          <cell r="I777" t="str">
            <v>超絶級</v>
          </cell>
          <cell r="J777">
            <v>1241</v>
          </cell>
          <cell r="K777">
            <v>35</v>
          </cell>
          <cell r="L777">
            <v>4200</v>
          </cell>
          <cell r="M777">
            <v>1</v>
          </cell>
          <cell r="N777">
            <v>1</v>
          </cell>
          <cell r="O777">
            <v>1</v>
          </cell>
          <cell r="P777">
            <v>1</v>
          </cell>
          <cell r="Q777">
            <v>1</v>
          </cell>
          <cell r="R777">
            <v>3</v>
          </cell>
          <cell r="S777" t="str">
            <v>polygon</v>
          </cell>
          <cell r="T777">
            <v>1</v>
          </cell>
          <cell r="U777" t="str">
            <v>NULL</v>
          </cell>
          <cell r="V777" t="str">
            <v>NULL</v>
          </cell>
          <cell r="W777" t="str">
            <v/>
          </cell>
          <cell r="X777">
            <v>0</v>
          </cell>
          <cell r="Y777">
            <v>0</v>
          </cell>
          <cell r="Z777">
            <v>0</v>
          </cell>
          <cell r="AA777">
            <v>0</v>
          </cell>
          <cell r="AB777" t="str">
            <v>anytime</v>
          </cell>
          <cell r="AC777">
            <v>958</v>
          </cell>
          <cell r="AD777">
            <v>6</v>
          </cell>
          <cell r="AE777" t="str">
            <v>everyone</v>
          </cell>
        </row>
        <row r="778">
          <cell r="A778" t="str">
            <v>40040_2</v>
          </cell>
          <cell r="B778">
            <v>3</v>
          </cell>
          <cell r="C778">
            <v>40040</v>
          </cell>
          <cell r="D778" t="str">
            <v>竹中半兵衛襲来！</v>
          </cell>
          <cell r="E778" t="str">
            <v>降臨40</v>
          </cell>
          <cell r="F778">
            <v>2</v>
          </cell>
          <cell r="G778" t="str">
            <v>ja</v>
          </cell>
          <cell r="H778" t="str">
            <v>【ウィザード級】竹中半兵衛襲来</v>
          </cell>
          <cell r="I778" t="str">
            <v>地獄級</v>
          </cell>
          <cell r="J778">
            <v>1241</v>
          </cell>
          <cell r="K778">
            <v>40</v>
          </cell>
          <cell r="L778">
            <v>4500</v>
          </cell>
          <cell r="M778">
            <v>1</v>
          </cell>
          <cell r="N778">
            <v>1</v>
          </cell>
          <cell r="O778">
            <v>1</v>
          </cell>
          <cell r="P778">
            <v>1</v>
          </cell>
          <cell r="Q778">
            <v>1</v>
          </cell>
          <cell r="R778">
            <v>3</v>
          </cell>
          <cell r="S778" t="str">
            <v>polygon</v>
          </cell>
          <cell r="T778">
            <v>1</v>
          </cell>
          <cell r="U778" t="str">
            <v>NULL</v>
          </cell>
          <cell r="V778" t="str">
            <v>NULL</v>
          </cell>
          <cell r="W778" t="str">
            <v/>
          </cell>
          <cell r="X778">
            <v>0</v>
          </cell>
          <cell r="Y778">
            <v>0</v>
          </cell>
          <cell r="Z778">
            <v>0</v>
          </cell>
          <cell r="AA778">
            <v>0</v>
          </cell>
          <cell r="AB778" t="str">
            <v>anytime</v>
          </cell>
          <cell r="AC778">
            <v>958</v>
          </cell>
          <cell r="AD778">
            <v>6</v>
          </cell>
          <cell r="AE778" t="str">
            <v>everyone</v>
          </cell>
        </row>
        <row r="779">
          <cell r="A779" t="str">
            <v>40041_1</v>
          </cell>
          <cell r="B779">
            <v>3</v>
          </cell>
          <cell r="C779">
            <v>40041</v>
          </cell>
          <cell r="D779" t="str">
            <v>ポーラとダニー襲来！</v>
          </cell>
          <cell r="E779" t="str">
            <v>降臨41</v>
          </cell>
          <cell r="F779">
            <v>1</v>
          </cell>
          <cell r="G779" t="str">
            <v>ja</v>
          </cell>
          <cell r="H779" t="str">
            <v>【超絶級】ポーラとダニー襲来！</v>
          </cell>
          <cell r="I779" t="str">
            <v>地獄級</v>
          </cell>
          <cell r="J779">
            <v>1283</v>
          </cell>
          <cell r="K779">
            <v>35</v>
          </cell>
          <cell r="L779">
            <v>4200</v>
          </cell>
          <cell r="M779">
            <v>1</v>
          </cell>
          <cell r="N779">
            <v>1</v>
          </cell>
          <cell r="O779">
            <v>1</v>
          </cell>
          <cell r="P779">
            <v>1</v>
          </cell>
          <cell r="Q779">
            <v>1</v>
          </cell>
          <cell r="R779">
            <v>3</v>
          </cell>
          <cell r="S779" t="str">
            <v>polygon</v>
          </cell>
          <cell r="T779">
            <v>1</v>
          </cell>
          <cell r="U779" t="str">
            <v>NULL</v>
          </cell>
          <cell r="V779" t="str">
            <v>NULL</v>
          </cell>
          <cell r="W779" t="str">
            <v/>
          </cell>
          <cell r="X779">
            <v>0</v>
          </cell>
          <cell r="Y779">
            <v>0</v>
          </cell>
          <cell r="Z779">
            <v>0</v>
          </cell>
          <cell r="AA779">
            <v>0</v>
          </cell>
          <cell r="AB779" t="str">
            <v>anytime</v>
          </cell>
          <cell r="AC779">
            <v>962</v>
          </cell>
          <cell r="AD779">
            <v>6</v>
          </cell>
          <cell r="AE779" t="str">
            <v>everyone</v>
          </cell>
        </row>
        <row r="780">
          <cell r="A780" t="str">
            <v>40041_2</v>
          </cell>
          <cell r="B780">
            <v>3</v>
          </cell>
          <cell r="C780">
            <v>40041</v>
          </cell>
          <cell r="D780" t="str">
            <v>ポーラとダニー襲来！</v>
          </cell>
          <cell r="E780" t="str">
            <v>降臨41</v>
          </cell>
          <cell r="F780">
            <v>2</v>
          </cell>
          <cell r="G780" t="str">
            <v>ja</v>
          </cell>
          <cell r="H780" t="str">
            <v>【ｳｨｻﾞ】ポーラとダニー襲来！</v>
          </cell>
          <cell r="I780" t="str">
            <v>地獄級</v>
          </cell>
          <cell r="J780">
            <v>1283</v>
          </cell>
          <cell r="K780">
            <v>40</v>
          </cell>
          <cell r="L780">
            <v>4500</v>
          </cell>
          <cell r="M780">
            <v>1</v>
          </cell>
          <cell r="N780">
            <v>1</v>
          </cell>
          <cell r="O780">
            <v>1</v>
          </cell>
          <cell r="P780">
            <v>1</v>
          </cell>
          <cell r="Q780">
            <v>1</v>
          </cell>
          <cell r="R780">
            <v>3</v>
          </cell>
          <cell r="S780" t="str">
            <v>polygon</v>
          </cell>
          <cell r="T780">
            <v>1</v>
          </cell>
          <cell r="U780" t="str">
            <v>NULL</v>
          </cell>
          <cell r="V780" t="str">
            <v>NULL</v>
          </cell>
          <cell r="W780" t="str">
            <v/>
          </cell>
          <cell r="X780">
            <v>0</v>
          </cell>
          <cell r="Y780">
            <v>0</v>
          </cell>
          <cell r="Z780">
            <v>0</v>
          </cell>
          <cell r="AA780">
            <v>0</v>
          </cell>
          <cell r="AB780" t="str">
            <v>anytime</v>
          </cell>
          <cell r="AC780">
            <v>962</v>
          </cell>
          <cell r="AD780">
            <v>6</v>
          </cell>
          <cell r="AE780" t="str">
            <v>everyone</v>
          </cell>
        </row>
        <row r="781">
          <cell r="A781" t="str">
            <v>40042_1</v>
          </cell>
          <cell r="B781">
            <v>3</v>
          </cell>
          <cell r="C781">
            <v>40042</v>
          </cell>
          <cell r="D781" t="str">
            <v>ヘル襲来！</v>
          </cell>
          <cell r="E781" t="str">
            <v>降臨42</v>
          </cell>
          <cell r="F781">
            <v>1</v>
          </cell>
          <cell r="G781" t="str">
            <v>ja</v>
          </cell>
          <cell r="H781" t="str">
            <v>【超絶級】ヘル襲来</v>
          </cell>
          <cell r="I781" t="str">
            <v>超絶級</v>
          </cell>
          <cell r="J781">
            <v>1257</v>
          </cell>
          <cell r="K781">
            <v>35</v>
          </cell>
          <cell r="L781">
            <v>4200</v>
          </cell>
          <cell r="M781">
            <v>1</v>
          </cell>
          <cell r="N781">
            <v>1</v>
          </cell>
          <cell r="O781">
            <v>1</v>
          </cell>
          <cell r="P781">
            <v>1</v>
          </cell>
          <cell r="Q781">
            <v>1</v>
          </cell>
          <cell r="R781">
            <v>3</v>
          </cell>
          <cell r="S781" t="str">
            <v>polygon</v>
          </cell>
          <cell r="T781">
            <v>1</v>
          </cell>
          <cell r="U781" t="str">
            <v>NULL</v>
          </cell>
          <cell r="V781" t="str">
            <v>NULL</v>
          </cell>
          <cell r="W781" t="str">
            <v/>
          </cell>
          <cell r="X781">
            <v>0</v>
          </cell>
          <cell r="Y781">
            <v>0</v>
          </cell>
          <cell r="Z781">
            <v>0</v>
          </cell>
          <cell r="AA781">
            <v>0</v>
          </cell>
          <cell r="AB781" t="str">
            <v>anytime</v>
          </cell>
          <cell r="AC781">
            <v>960</v>
          </cell>
          <cell r="AD781">
            <v>6</v>
          </cell>
          <cell r="AE781" t="str">
            <v>everyone</v>
          </cell>
        </row>
        <row r="782">
          <cell r="A782" t="str">
            <v>40042_2</v>
          </cell>
          <cell r="B782">
            <v>3</v>
          </cell>
          <cell r="C782">
            <v>40042</v>
          </cell>
          <cell r="D782" t="str">
            <v>ヘル襲来！</v>
          </cell>
          <cell r="E782" t="str">
            <v>降臨42</v>
          </cell>
          <cell r="F782">
            <v>2</v>
          </cell>
          <cell r="G782" t="str">
            <v>ja</v>
          </cell>
          <cell r="H782" t="str">
            <v>【ウィザード級】ヘル襲来</v>
          </cell>
          <cell r="I782" t="str">
            <v>地獄級</v>
          </cell>
          <cell r="J782">
            <v>1257</v>
          </cell>
          <cell r="K782">
            <v>40</v>
          </cell>
          <cell r="L782">
            <v>4500</v>
          </cell>
          <cell r="M782">
            <v>1</v>
          </cell>
          <cell r="N782">
            <v>1</v>
          </cell>
          <cell r="O782">
            <v>1</v>
          </cell>
          <cell r="P782">
            <v>1</v>
          </cell>
          <cell r="Q782">
            <v>1</v>
          </cell>
          <cell r="R782">
            <v>3</v>
          </cell>
          <cell r="S782" t="str">
            <v>polygon</v>
          </cell>
          <cell r="T782">
            <v>1</v>
          </cell>
          <cell r="U782" t="str">
            <v>NULL</v>
          </cell>
          <cell r="V782" t="str">
            <v>NULL</v>
          </cell>
          <cell r="W782" t="str">
            <v/>
          </cell>
          <cell r="X782">
            <v>0</v>
          </cell>
          <cell r="Y782">
            <v>0</v>
          </cell>
          <cell r="Z782">
            <v>0</v>
          </cell>
          <cell r="AA782">
            <v>0</v>
          </cell>
          <cell r="AB782" t="str">
            <v>anytime</v>
          </cell>
          <cell r="AC782">
            <v>960</v>
          </cell>
          <cell r="AD782">
            <v>6</v>
          </cell>
          <cell r="AE782" t="str">
            <v>everyone</v>
          </cell>
        </row>
        <row r="783">
          <cell r="A783" t="str">
            <v>40043_1</v>
          </cell>
          <cell r="B783">
            <v>3</v>
          </cell>
          <cell r="C783">
            <v>40043</v>
          </cell>
          <cell r="D783" t="str">
            <v>ワカヒルメ襲来！</v>
          </cell>
          <cell r="E783" t="str">
            <v>降臨43</v>
          </cell>
          <cell r="F783">
            <v>1</v>
          </cell>
          <cell r="G783" t="str">
            <v>ja</v>
          </cell>
          <cell r="H783" t="str">
            <v>【超絶級】ワカヒルメ襲来</v>
          </cell>
          <cell r="I783" t="str">
            <v>超絶級</v>
          </cell>
          <cell r="J783">
            <v>1327</v>
          </cell>
          <cell r="K783">
            <v>35</v>
          </cell>
          <cell r="L783">
            <v>4200</v>
          </cell>
          <cell r="M783">
            <v>1</v>
          </cell>
          <cell r="N783">
            <v>1</v>
          </cell>
          <cell r="O783">
            <v>1</v>
          </cell>
          <cell r="P783">
            <v>1</v>
          </cell>
          <cell r="Q783">
            <v>1</v>
          </cell>
          <cell r="R783">
            <v>3</v>
          </cell>
          <cell r="S783" t="str">
            <v>polygon</v>
          </cell>
          <cell r="T783">
            <v>1</v>
          </cell>
          <cell r="U783" t="str">
            <v>NULL</v>
          </cell>
          <cell r="V783" t="str">
            <v>NULL</v>
          </cell>
          <cell r="W783" t="str">
            <v/>
          </cell>
          <cell r="X783">
            <v>0</v>
          </cell>
          <cell r="Y783">
            <v>0</v>
          </cell>
          <cell r="Z783">
            <v>0</v>
          </cell>
          <cell r="AA783">
            <v>0</v>
          </cell>
          <cell r="AB783" t="str">
            <v>anytime</v>
          </cell>
          <cell r="AC783">
            <v>966</v>
          </cell>
          <cell r="AD783">
            <v>6</v>
          </cell>
          <cell r="AE783" t="str">
            <v>everyone</v>
          </cell>
        </row>
        <row r="784">
          <cell r="A784" t="str">
            <v>40043_2</v>
          </cell>
          <cell r="B784">
            <v>3</v>
          </cell>
          <cell r="C784">
            <v>40043</v>
          </cell>
          <cell r="D784" t="str">
            <v>ワカヒルメ襲来！</v>
          </cell>
          <cell r="E784" t="str">
            <v>降臨43</v>
          </cell>
          <cell r="F784">
            <v>2</v>
          </cell>
          <cell r="G784" t="str">
            <v>ja</v>
          </cell>
          <cell r="H784" t="str">
            <v>【ウィザード級】ワカヒルメ襲来</v>
          </cell>
          <cell r="I784" t="str">
            <v>地獄級</v>
          </cell>
          <cell r="J784">
            <v>1327</v>
          </cell>
          <cell r="K784">
            <v>40</v>
          </cell>
          <cell r="L784">
            <v>4500</v>
          </cell>
          <cell r="M784">
            <v>1</v>
          </cell>
          <cell r="N784">
            <v>1</v>
          </cell>
          <cell r="O784">
            <v>1</v>
          </cell>
          <cell r="P784">
            <v>1</v>
          </cell>
          <cell r="Q784">
            <v>1</v>
          </cell>
          <cell r="R784">
            <v>3</v>
          </cell>
          <cell r="S784" t="str">
            <v>polygon</v>
          </cell>
          <cell r="T784">
            <v>1</v>
          </cell>
          <cell r="U784" t="str">
            <v>NULL</v>
          </cell>
          <cell r="V784" t="str">
            <v>NULL</v>
          </cell>
          <cell r="W784" t="str">
            <v/>
          </cell>
          <cell r="X784">
            <v>0</v>
          </cell>
          <cell r="Y784">
            <v>0</v>
          </cell>
          <cell r="Z784">
            <v>0</v>
          </cell>
          <cell r="AA784">
            <v>0</v>
          </cell>
          <cell r="AB784" t="str">
            <v>anytime</v>
          </cell>
          <cell r="AC784">
            <v>966</v>
          </cell>
          <cell r="AD784">
            <v>6</v>
          </cell>
          <cell r="AE784" t="str">
            <v>everyone</v>
          </cell>
        </row>
        <row r="785">
          <cell r="A785" t="str">
            <v>41001_1</v>
          </cell>
          <cell r="B785">
            <v>3</v>
          </cell>
          <cell r="C785">
            <v>41001</v>
          </cell>
          <cell r="D785" t="str">
            <v>アマテラス襲来！</v>
          </cell>
          <cell r="E785" t="str">
            <v>降臨1</v>
          </cell>
          <cell r="F785">
            <v>1</v>
          </cell>
          <cell r="G785" t="str">
            <v>ja</v>
          </cell>
          <cell r="H785" t="str">
            <v>【超絶級】アマテラス襲来</v>
          </cell>
          <cell r="I785" t="str">
            <v>超絶級</v>
          </cell>
          <cell r="J785">
            <v>279</v>
          </cell>
          <cell r="K785">
            <v>35</v>
          </cell>
          <cell r="L785">
            <v>4200</v>
          </cell>
          <cell r="M785">
            <v>1</v>
          </cell>
          <cell r="N785">
            <v>1</v>
          </cell>
          <cell r="O785">
            <v>1</v>
          </cell>
          <cell r="P785">
            <v>1</v>
          </cell>
          <cell r="Q785">
            <v>1</v>
          </cell>
          <cell r="R785">
            <v>3</v>
          </cell>
          <cell r="S785" t="str">
            <v>polygon</v>
          </cell>
          <cell r="T785">
            <v>1</v>
          </cell>
          <cell r="U785" t="str">
            <v>NULL</v>
          </cell>
          <cell r="V785" t="str">
            <v>NULL</v>
          </cell>
          <cell r="W785" t="str">
            <v/>
          </cell>
          <cell r="X785">
            <v>0</v>
          </cell>
          <cell r="Y785">
            <v>0</v>
          </cell>
          <cell r="Z785">
            <v>0</v>
          </cell>
          <cell r="AA785">
            <v>0</v>
          </cell>
          <cell r="AB785" t="str">
            <v>anytime</v>
          </cell>
          <cell r="AC785">
            <v>901</v>
          </cell>
          <cell r="AD785">
            <v>6</v>
          </cell>
          <cell r="AE785" t="str">
            <v>everyone</v>
          </cell>
        </row>
        <row r="786">
          <cell r="A786" t="str">
            <v>41001_2</v>
          </cell>
          <cell r="B786">
            <v>3</v>
          </cell>
          <cell r="C786">
            <v>41001</v>
          </cell>
          <cell r="D786" t="str">
            <v>アマテラス襲来！</v>
          </cell>
          <cell r="E786" t="str">
            <v>降臨1</v>
          </cell>
          <cell r="F786">
            <v>2</v>
          </cell>
          <cell r="G786" t="str">
            <v>ja</v>
          </cell>
          <cell r="H786" t="str">
            <v>【ウィザード級】アマテラス襲来</v>
          </cell>
          <cell r="I786" t="str">
            <v>地獄級</v>
          </cell>
          <cell r="J786">
            <v>810</v>
          </cell>
          <cell r="K786">
            <v>40</v>
          </cell>
          <cell r="L786">
            <v>4500</v>
          </cell>
          <cell r="M786">
            <v>1</v>
          </cell>
          <cell r="N786">
            <v>1</v>
          </cell>
          <cell r="O786">
            <v>1</v>
          </cell>
          <cell r="P786">
            <v>1</v>
          </cell>
          <cell r="Q786">
            <v>1</v>
          </cell>
          <cell r="R786">
            <v>3</v>
          </cell>
          <cell r="S786" t="str">
            <v>polygon</v>
          </cell>
          <cell r="T786">
            <v>1</v>
          </cell>
          <cell r="U786" t="str">
            <v>NULL</v>
          </cell>
          <cell r="V786" t="str">
            <v>NULL</v>
          </cell>
          <cell r="W786" t="str">
            <v/>
          </cell>
          <cell r="X786">
            <v>0</v>
          </cell>
          <cell r="Y786">
            <v>0</v>
          </cell>
          <cell r="Z786">
            <v>0</v>
          </cell>
          <cell r="AA786">
            <v>0</v>
          </cell>
          <cell r="AB786" t="str">
            <v>anytime</v>
          </cell>
          <cell r="AC786">
            <v>901</v>
          </cell>
          <cell r="AD786">
            <v>6</v>
          </cell>
          <cell r="AE786" t="str">
            <v>everyone</v>
          </cell>
        </row>
        <row r="787">
          <cell r="A787" t="str">
            <v>41001_3</v>
          </cell>
          <cell r="B787">
            <v>1</v>
          </cell>
          <cell r="C787">
            <v>41001</v>
          </cell>
          <cell r="D787" t="str">
            <v>アマテラス襲来！</v>
          </cell>
          <cell r="E787" t="str">
            <v>降臨1</v>
          </cell>
          <cell r="F787">
            <v>3</v>
          </cell>
          <cell r="G787" t="str">
            <v>ja</v>
          </cell>
          <cell r="H787" t="str">
            <v>【ノーコンテニュー】アマテラス襲来</v>
          </cell>
          <cell r="I787" t="str">
            <v>地獄級</v>
          </cell>
          <cell r="J787">
            <v>810</v>
          </cell>
          <cell r="K787">
            <v>40</v>
          </cell>
          <cell r="L787">
            <v>4500</v>
          </cell>
          <cell r="M787">
            <v>1</v>
          </cell>
          <cell r="N787">
            <v>1</v>
          </cell>
          <cell r="O787">
            <v>1</v>
          </cell>
          <cell r="P787">
            <v>1</v>
          </cell>
          <cell r="Q787">
            <v>1</v>
          </cell>
          <cell r="R787">
            <v>3</v>
          </cell>
          <cell r="S787" t="str">
            <v>polygon</v>
          </cell>
          <cell r="T787">
            <v>1</v>
          </cell>
          <cell r="U787" t="str">
            <v>NULL</v>
          </cell>
          <cell r="V787" t="str">
            <v>NULL</v>
          </cell>
          <cell r="W787" t="str">
            <v/>
          </cell>
          <cell r="X787">
            <v>0</v>
          </cell>
          <cell r="Y787">
            <v>0</v>
          </cell>
          <cell r="Z787">
            <v>0</v>
          </cell>
          <cell r="AA787">
            <v>0</v>
          </cell>
          <cell r="AB787" t="str">
            <v>anytime</v>
          </cell>
          <cell r="AC787">
            <v>901</v>
          </cell>
          <cell r="AD787">
            <v>6</v>
          </cell>
          <cell r="AE787" t="str">
            <v>everyone</v>
          </cell>
        </row>
        <row r="788">
          <cell r="A788" t="str">
            <v>41002_1</v>
          </cell>
          <cell r="B788">
            <v>3</v>
          </cell>
          <cell r="C788">
            <v>41002</v>
          </cell>
          <cell r="D788" t="str">
            <v>アザゼル襲来！</v>
          </cell>
          <cell r="E788" t="str">
            <v>降臨1</v>
          </cell>
          <cell r="F788">
            <v>1</v>
          </cell>
          <cell r="G788" t="str">
            <v>ja</v>
          </cell>
          <cell r="H788" t="str">
            <v>【超絶級】アザゼル襲来</v>
          </cell>
          <cell r="I788" t="str">
            <v>超絶級</v>
          </cell>
          <cell r="J788">
            <v>297</v>
          </cell>
          <cell r="K788">
            <v>35</v>
          </cell>
          <cell r="L788">
            <v>4200</v>
          </cell>
          <cell r="M788">
            <v>1</v>
          </cell>
          <cell r="N788">
            <v>1</v>
          </cell>
          <cell r="O788">
            <v>1</v>
          </cell>
          <cell r="P788">
            <v>1</v>
          </cell>
          <cell r="Q788">
            <v>1</v>
          </cell>
          <cell r="R788">
            <v>3</v>
          </cell>
          <cell r="S788" t="str">
            <v>polygon</v>
          </cell>
          <cell r="T788">
            <v>1</v>
          </cell>
          <cell r="U788" t="str">
            <v>NULL</v>
          </cell>
          <cell r="V788" t="str">
            <v>NULL</v>
          </cell>
          <cell r="W788" t="str">
            <v/>
          </cell>
          <cell r="X788">
            <v>0</v>
          </cell>
          <cell r="Y788">
            <v>0</v>
          </cell>
          <cell r="Z788">
            <v>0</v>
          </cell>
          <cell r="AA788">
            <v>0</v>
          </cell>
          <cell r="AB788" t="str">
            <v>anytime</v>
          </cell>
          <cell r="AC788">
            <v>902</v>
          </cell>
          <cell r="AD788">
            <v>6</v>
          </cell>
          <cell r="AE788" t="str">
            <v>everyone</v>
          </cell>
        </row>
        <row r="789">
          <cell r="A789" t="str">
            <v>41002_2</v>
          </cell>
          <cell r="B789">
            <v>3</v>
          </cell>
          <cell r="C789">
            <v>41002</v>
          </cell>
          <cell r="D789" t="str">
            <v>アザゼル襲来！</v>
          </cell>
          <cell r="E789" t="str">
            <v>降臨1</v>
          </cell>
          <cell r="F789">
            <v>2</v>
          </cell>
          <cell r="G789" t="str">
            <v>ja</v>
          </cell>
          <cell r="H789" t="str">
            <v>【ウィザード級】アザゼル襲来</v>
          </cell>
          <cell r="I789" t="str">
            <v>地獄級</v>
          </cell>
          <cell r="J789">
            <v>812</v>
          </cell>
          <cell r="K789">
            <v>40</v>
          </cell>
          <cell r="L789">
            <v>4500</v>
          </cell>
          <cell r="M789">
            <v>1</v>
          </cell>
          <cell r="N789">
            <v>1</v>
          </cell>
          <cell r="O789">
            <v>1</v>
          </cell>
          <cell r="P789">
            <v>1</v>
          </cell>
          <cell r="Q789">
            <v>1</v>
          </cell>
          <cell r="R789">
            <v>3</v>
          </cell>
          <cell r="S789" t="str">
            <v>polygon</v>
          </cell>
          <cell r="T789">
            <v>1</v>
          </cell>
          <cell r="U789" t="str">
            <v>NULL</v>
          </cell>
          <cell r="V789" t="str">
            <v>NULL</v>
          </cell>
          <cell r="W789" t="str">
            <v/>
          </cell>
          <cell r="X789">
            <v>0</v>
          </cell>
          <cell r="Y789">
            <v>0</v>
          </cell>
          <cell r="Z789">
            <v>0</v>
          </cell>
          <cell r="AA789">
            <v>0</v>
          </cell>
          <cell r="AB789" t="str">
            <v>anytime</v>
          </cell>
          <cell r="AC789">
            <v>902</v>
          </cell>
          <cell r="AD789">
            <v>6</v>
          </cell>
          <cell r="AE789" t="str">
            <v>everyone</v>
          </cell>
        </row>
        <row r="790">
          <cell r="A790" t="str">
            <v>41002_3</v>
          </cell>
          <cell r="B790">
            <v>1</v>
          </cell>
          <cell r="C790">
            <v>41002</v>
          </cell>
          <cell r="D790" t="str">
            <v>アザゼル襲来！</v>
          </cell>
          <cell r="E790" t="str">
            <v>降臨1</v>
          </cell>
          <cell r="F790">
            <v>3</v>
          </cell>
          <cell r="G790" t="str">
            <v>ja</v>
          </cell>
          <cell r="H790" t="str">
            <v>【ノーコンテニュー】アザゼル襲来</v>
          </cell>
          <cell r="I790" t="str">
            <v>地獄級</v>
          </cell>
          <cell r="J790">
            <v>812</v>
          </cell>
          <cell r="K790">
            <v>40</v>
          </cell>
          <cell r="L790">
            <v>4500</v>
          </cell>
          <cell r="M790">
            <v>1</v>
          </cell>
          <cell r="N790">
            <v>1</v>
          </cell>
          <cell r="O790">
            <v>1</v>
          </cell>
          <cell r="P790">
            <v>1</v>
          </cell>
          <cell r="Q790">
            <v>1</v>
          </cell>
          <cell r="R790">
            <v>3</v>
          </cell>
          <cell r="S790" t="str">
            <v>polygon</v>
          </cell>
          <cell r="T790">
            <v>1</v>
          </cell>
          <cell r="U790" t="str">
            <v>NULL</v>
          </cell>
          <cell r="V790" t="str">
            <v>NULL</v>
          </cell>
          <cell r="W790" t="str">
            <v/>
          </cell>
          <cell r="X790">
            <v>0</v>
          </cell>
          <cell r="Y790">
            <v>0</v>
          </cell>
          <cell r="Z790">
            <v>0</v>
          </cell>
          <cell r="AA790">
            <v>0</v>
          </cell>
          <cell r="AB790" t="str">
            <v>anytime</v>
          </cell>
          <cell r="AC790">
            <v>902</v>
          </cell>
          <cell r="AD790">
            <v>6</v>
          </cell>
          <cell r="AE790" t="str">
            <v>everyone</v>
          </cell>
        </row>
        <row r="791">
          <cell r="A791" t="str">
            <v>41003_1</v>
          </cell>
          <cell r="B791">
            <v>3</v>
          </cell>
          <cell r="C791">
            <v>41003</v>
          </cell>
          <cell r="D791" t="str">
            <v>ジャンヌ襲来！</v>
          </cell>
          <cell r="E791" t="str">
            <v>降臨1</v>
          </cell>
          <cell r="F791">
            <v>1</v>
          </cell>
          <cell r="G791" t="str">
            <v>ja</v>
          </cell>
          <cell r="H791" t="str">
            <v>【超絶級】ジャンヌ襲来</v>
          </cell>
          <cell r="I791" t="str">
            <v>超絶級</v>
          </cell>
          <cell r="J791">
            <v>315</v>
          </cell>
          <cell r="K791">
            <v>35</v>
          </cell>
          <cell r="L791">
            <v>4200</v>
          </cell>
          <cell r="M791">
            <v>1</v>
          </cell>
          <cell r="N791">
            <v>1</v>
          </cell>
          <cell r="O791">
            <v>1</v>
          </cell>
          <cell r="P791">
            <v>1</v>
          </cell>
          <cell r="Q791">
            <v>1</v>
          </cell>
          <cell r="R791">
            <v>3</v>
          </cell>
          <cell r="S791" t="str">
            <v>polygon</v>
          </cell>
          <cell r="T791">
            <v>1</v>
          </cell>
          <cell r="U791" t="str">
            <v>NULL</v>
          </cell>
          <cell r="V791" t="str">
            <v>NULL</v>
          </cell>
          <cell r="W791" t="str">
            <v/>
          </cell>
          <cell r="X791">
            <v>0</v>
          </cell>
          <cell r="Y791">
            <v>0</v>
          </cell>
          <cell r="Z791">
            <v>0</v>
          </cell>
          <cell r="AA791">
            <v>0</v>
          </cell>
          <cell r="AB791" t="str">
            <v>anytime</v>
          </cell>
          <cell r="AC791">
            <v>903</v>
          </cell>
          <cell r="AD791">
            <v>6</v>
          </cell>
          <cell r="AE791" t="str">
            <v>everyone</v>
          </cell>
        </row>
        <row r="792">
          <cell r="A792" t="str">
            <v>41003_2</v>
          </cell>
          <cell r="B792">
            <v>3</v>
          </cell>
          <cell r="C792">
            <v>41003</v>
          </cell>
          <cell r="D792" t="str">
            <v>ジャンヌ襲来！</v>
          </cell>
          <cell r="E792" t="str">
            <v>降臨1</v>
          </cell>
          <cell r="F792">
            <v>2</v>
          </cell>
          <cell r="G792" t="str">
            <v>ja</v>
          </cell>
          <cell r="H792" t="str">
            <v>【ウィザード級】ジャンヌ襲来</v>
          </cell>
          <cell r="I792" t="str">
            <v>地獄級</v>
          </cell>
          <cell r="J792">
            <v>814</v>
          </cell>
          <cell r="K792">
            <v>40</v>
          </cell>
          <cell r="L792">
            <v>4500</v>
          </cell>
          <cell r="M792">
            <v>1</v>
          </cell>
          <cell r="N792">
            <v>1</v>
          </cell>
          <cell r="O792">
            <v>1</v>
          </cell>
          <cell r="P792">
            <v>1</v>
          </cell>
          <cell r="Q792">
            <v>1</v>
          </cell>
          <cell r="R792">
            <v>3</v>
          </cell>
          <cell r="S792" t="str">
            <v>polygon</v>
          </cell>
          <cell r="T792">
            <v>1</v>
          </cell>
          <cell r="U792" t="str">
            <v>NULL</v>
          </cell>
          <cell r="V792" t="str">
            <v>NULL</v>
          </cell>
          <cell r="W792" t="str">
            <v/>
          </cell>
          <cell r="X792">
            <v>0</v>
          </cell>
          <cell r="Y792">
            <v>0</v>
          </cell>
          <cell r="Z792">
            <v>0</v>
          </cell>
          <cell r="AA792">
            <v>0</v>
          </cell>
          <cell r="AB792" t="str">
            <v>anytime</v>
          </cell>
          <cell r="AC792">
            <v>903</v>
          </cell>
          <cell r="AD792">
            <v>6</v>
          </cell>
          <cell r="AE792" t="str">
            <v>everyone</v>
          </cell>
        </row>
        <row r="793">
          <cell r="A793" t="str">
            <v>41003_3</v>
          </cell>
          <cell r="B793">
            <v>1</v>
          </cell>
          <cell r="C793">
            <v>41003</v>
          </cell>
          <cell r="D793" t="str">
            <v>ジャンヌ襲来！</v>
          </cell>
          <cell r="E793" t="str">
            <v>降臨1</v>
          </cell>
          <cell r="F793">
            <v>3</v>
          </cell>
          <cell r="G793" t="str">
            <v>ja</v>
          </cell>
          <cell r="H793" t="str">
            <v>【ノーコンテニュー】ジャンヌ襲来</v>
          </cell>
          <cell r="I793" t="str">
            <v>地獄級</v>
          </cell>
          <cell r="J793">
            <v>814</v>
          </cell>
          <cell r="K793">
            <v>40</v>
          </cell>
          <cell r="L793">
            <v>4500</v>
          </cell>
          <cell r="M793">
            <v>1</v>
          </cell>
          <cell r="N793">
            <v>1</v>
          </cell>
          <cell r="O793">
            <v>1</v>
          </cell>
          <cell r="P793">
            <v>1</v>
          </cell>
          <cell r="Q793">
            <v>1</v>
          </cell>
          <cell r="R793">
            <v>3</v>
          </cell>
          <cell r="S793" t="str">
            <v>polygon</v>
          </cell>
          <cell r="T793">
            <v>1</v>
          </cell>
          <cell r="U793" t="str">
            <v>NULL</v>
          </cell>
          <cell r="V793" t="str">
            <v>NULL</v>
          </cell>
          <cell r="W793" t="str">
            <v/>
          </cell>
          <cell r="X793">
            <v>0</v>
          </cell>
          <cell r="Y793">
            <v>0</v>
          </cell>
          <cell r="Z793">
            <v>0</v>
          </cell>
          <cell r="AA793">
            <v>0</v>
          </cell>
          <cell r="AB793" t="str">
            <v>anytime</v>
          </cell>
          <cell r="AC793">
            <v>903</v>
          </cell>
          <cell r="AD793">
            <v>6</v>
          </cell>
          <cell r="AE793" t="str">
            <v>everyone</v>
          </cell>
        </row>
        <row r="794">
          <cell r="A794" t="str">
            <v>41004_1</v>
          </cell>
          <cell r="B794">
            <v>3</v>
          </cell>
          <cell r="C794">
            <v>41004</v>
          </cell>
          <cell r="D794" t="str">
            <v>宮本武蔵襲来！</v>
          </cell>
          <cell r="E794" t="str">
            <v>降臨1</v>
          </cell>
          <cell r="F794">
            <v>1</v>
          </cell>
          <cell r="G794" t="str">
            <v>ja</v>
          </cell>
          <cell r="H794" t="str">
            <v>【超絶級】宮本武蔵襲来</v>
          </cell>
          <cell r="I794" t="str">
            <v>超絶級</v>
          </cell>
          <cell r="J794">
            <v>427</v>
          </cell>
          <cell r="K794">
            <v>35</v>
          </cell>
          <cell r="L794">
            <v>4200</v>
          </cell>
          <cell r="M794">
            <v>1</v>
          </cell>
          <cell r="N794">
            <v>1</v>
          </cell>
          <cell r="O794">
            <v>1</v>
          </cell>
          <cell r="P794">
            <v>1</v>
          </cell>
          <cell r="Q794">
            <v>1</v>
          </cell>
          <cell r="R794">
            <v>3</v>
          </cell>
          <cell r="S794" t="str">
            <v>polygon</v>
          </cell>
          <cell r="T794">
            <v>1</v>
          </cell>
          <cell r="U794" t="str">
            <v>NULL</v>
          </cell>
          <cell r="V794" t="str">
            <v>NULL</v>
          </cell>
          <cell r="W794" t="str">
            <v/>
          </cell>
          <cell r="X794">
            <v>0</v>
          </cell>
          <cell r="Y794">
            <v>0</v>
          </cell>
          <cell r="Z794">
            <v>0</v>
          </cell>
          <cell r="AA794">
            <v>0</v>
          </cell>
          <cell r="AB794" t="str">
            <v>anytime</v>
          </cell>
          <cell r="AC794">
            <v>904</v>
          </cell>
          <cell r="AD794">
            <v>6</v>
          </cell>
          <cell r="AE794" t="str">
            <v>everyone</v>
          </cell>
        </row>
        <row r="795">
          <cell r="A795" t="str">
            <v>41004_2</v>
          </cell>
          <cell r="B795">
            <v>3</v>
          </cell>
          <cell r="C795">
            <v>41004</v>
          </cell>
          <cell r="D795" t="str">
            <v>宮本武蔵襲来！</v>
          </cell>
          <cell r="E795" t="str">
            <v>降臨1</v>
          </cell>
          <cell r="F795">
            <v>2</v>
          </cell>
          <cell r="G795" t="str">
            <v>ja</v>
          </cell>
          <cell r="H795" t="str">
            <v>【ウィザード級】宮本武蔵襲来</v>
          </cell>
          <cell r="I795" t="str">
            <v>地獄級</v>
          </cell>
          <cell r="J795">
            <v>816</v>
          </cell>
          <cell r="K795">
            <v>40</v>
          </cell>
          <cell r="L795">
            <v>4500</v>
          </cell>
          <cell r="M795">
            <v>1</v>
          </cell>
          <cell r="N795">
            <v>1</v>
          </cell>
          <cell r="O795">
            <v>1</v>
          </cell>
          <cell r="P795">
            <v>1</v>
          </cell>
          <cell r="Q795">
            <v>1</v>
          </cell>
          <cell r="R795">
            <v>3</v>
          </cell>
          <cell r="S795" t="str">
            <v>polygon</v>
          </cell>
          <cell r="T795">
            <v>1</v>
          </cell>
          <cell r="U795" t="str">
            <v>NULL</v>
          </cell>
          <cell r="V795" t="str">
            <v>NULL</v>
          </cell>
          <cell r="W795" t="str">
            <v/>
          </cell>
          <cell r="X795">
            <v>0</v>
          </cell>
          <cell r="Y795">
            <v>0</v>
          </cell>
          <cell r="Z795">
            <v>0</v>
          </cell>
          <cell r="AA795">
            <v>0</v>
          </cell>
          <cell r="AB795" t="str">
            <v>anytime</v>
          </cell>
          <cell r="AC795">
            <v>904</v>
          </cell>
          <cell r="AD795">
            <v>6</v>
          </cell>
          <cell r="AE795" t="str">
            <v>everyone</v>
          </cell>
        </row>
        <row r="796">
          <cell r="A796" t="str">
            <v>41004_3</v>
          </cell>
          <cell r="B796">
            <v>1</v>
          </cell>
          <cell r="C796">
            <v>41004</v>
          </cell>
          <cell r="D796" t="str">
            <v>宮本武蔵襲来！</v>
          </cell>
          <cell r="E796" t="str">
            <v>降臨1</v>
          </cell>
          <cell r="F796">
            <v>3</v>
          </cell>
          <cell r="G796" t="str">
            <v>ja</v>
          </cell>
          <cell r="H796" t="str">
            <v>【ノーコンテニュー】宮本武蔵襲来</v>
          </cell>
          <cell r="I796" t="str">
            <v>地獄級</v>
          </cell>
          <cell r="J796">
            <v>816</v>
          </cell>
          <cell r="K796">
            <v>40</v>
          </cell>
          <cell r="L796">
            <v>4500</v>
          </cell>
          <cell r="M796">
            <v>1</v>
          </cell>
          <cell r="N796">
            <v>1</v>
          </cell>
          <cell r="O796">
            <v>1</v>
          </cell>
          <cell r="P796">
            <v>1</v>
          </cell>
          <cell r="Q796">
            <v>1</v>
          </cell>
          <cell r="R796">
            <v>3</v>
          </cell>
          <cell r="S796" t="str">
            <v>polygon</v>
          </cell>
          <cell r="T796">
            <v>1</v>
          </cell>
          <cell r="U796" t="str">
            <v>NULL</v>
          </cell>
          <cell r="V796" t="str">
            <v>NULL</v>
          </cell>
          <cell r="W796" t="str">
            <v/>
          </cell>
          <cell r="X796">
            <v>0</v>
          </cell>
          <cell r="Y796">
            <v>0</v>
          </cell>
          <cell r="Z796">
            <v>0</v>
          </cell>
          <cell r="AA796">
            <v>0</v>
          </cell>
          <cell r="AB796" t="str">
            <v>anytime</v>
          </cell>
          <cell r="AC796">
            <v>904</v>
          </cell>
          <cell r="AD796">
            <v>6</v>
          </cell>
          <cell r="AE796" t="str">
            <v>everyone</v>
          </cell>
        </row>
        <row r="797">
          <cell r="A797" t="str">
            <v>41005_1</v>
          </cell>
          <cell r="B797">
            <v>3</v>
          </cell>
          <cell r="C797">
            <v>41005</v>
          </cell>
          <cell r="D797" t="str">
            <v>オズ襲来！</v>
          </cell>
          <cell r="E797" t="str">
            <v>降臨1</v>
          </cell>
          <cell r="F797">
            <v>1</v>
          </cell>
          <cell r="G797" t="str">
            <v>ja</v>
          </cell>
          <cell r="H797" t="str">
            <v>【超絶級】オズ襲来</v>
          </cell>
          <cell r="I797" t="str">
            <v>超絶級</v>
          </cell>
          <cell r="J797">
            <v>461</v>
          </cell>
          <cell r="K797">
            <v>35</v>
          </cell>
          <cell r="L797">
            <v>4200</v>
          </cell>
          <cell r="M797">
            <v>1</v>
          </cell>
          <cell r="N797">
            <v>1</v>
          </cell>
          <cell r="O797">
            <v>1</v>
          </cell>
          <cell r="P797">
            <v>1</v>
          </cell>
          <cell r="Q797">
            <v>1</v>
          </cell>
          <cell r="R797">
            <v>3</v>
          </cell>
          <cell r="S797" t="str">
            <v>polygon</v>
          </cell>
          <cell r="T797">
            <v>1</v>
          </cell>
          <cell r="U797" t="str">
            <v>NULL</v>
          </cell>
          <cell r="V797" t="str">
            <v>NULL</v>
          </cell>
          <cell r="X797">
            <v>0</v>
          </cell>
          <cell r="Y797">
            <v>0</v>
          </cell>
          <cell r="Z797">
            <v>0</v>
          </cell>
          <cell r="AA797">
            <v>0</v>
          </cell>
          <cell r="AB797" t="str">
            <v>anytime</v>
          </cell>
          <cell r="AC797">
            <v>906</v>
          </cell>
          <cell r="AD797">
            <v>6</v>
          </cell>
          <cell r="AE797" t="str">
            <v>everyone</v>
          </cell>
        </row>
        <row r="798">
          <cell r="A798" t="str">
            <v>41005_2</v>
          </cell>
          <cell r="B798">
            <v>3</v>
          </cell>
          <cell r="C798">
            <v>41005</v>
          </cell>
          <cell r="D798" t="str">
            <v>オズ襲来！</v>
          </cell>
          <cell r="E798" t="str">
            <v>降臨1</v>
          </cell>
          <cell r="F798">
            <v>2</v>
          </cell>
          <cell r="G798" t="str">
            <v>ja</v>
          </cell>
          <cell r="H798" t="str">
            <v>【ウィザード級】オズ襲来</v>
          </cell>
          <cell r="I798" t="str">
            <v>地獄級</v>
          </cell>
          <cell r="J798">
            <v>818</v>
          </cell>
          <cell r="K798">
            <v>40</v>
          </cell>
          <cell r="L798">
            <v>4500</v>
          </cell>
          <cell r="M798">
            <v>1</v>
          </cell>
          <cell r="N798">
            <v>1</v>
          </cell>
          <cell r="O798">
            <v>1</v>
          </cell>
          <cell r="P798">
            <v>1</v>
          </cell>
          <cell r="Q798">
            <v>1</v>
          </cell>
          <cell r="R798">
            <v>3</v>
          </cell>
          <cell r="S798" t="str">
            <v>polygon</v>
          </cell>
          <cell r="T798">
            <v>1</v>
          </cell>
          <cell r="U798" t="str">
            <v>NULL</v>
          </cell>
          <cell r="V798" t="str">
            <v>NULL</v>
          </cell>
          <cell r="X798">
            <v>0</v>
          </cell>
          <cell r="Y798">
            <v>0</v>
          </cell>
          <cell r="Z798">
            <v>0</v>
          </cell>
          <cell r="AA798">
            <v>0</v>
          </cell>
          <cell r="AB798" t="str">
            <v>anytime</v>
          </cell>
          <cell r="AC798">
            <v>906</v>
          </cell>
          <cell r="AD798">
            <v>6</v>
          </cell>
          <cell r="AE798" t="str">
            <v>everyone</v>
          </cell>
        </row>
        <row r="799">
          <cell r="A799" t="str">
            <v>41005_3</v>
          </cell>
          <cell r="B799">
            <v>1</v>
          </cell>
          <cell r="C799">
            <v>41005</v>
          </cell>
          <cell r="D799" t="str">
            <v>オズ襲来！</v>
          </cell>
          <cell r="E799" t="str">
            <v>降臨1</v>
          </cell>
          <cell r="F799">
            <v>3</v>
          </cell>
          <cell r="G799" t="str">
            <v>ja</v>
          </cell>
          <cell r="H799" t="str">
            <v>【ノーコンテニュー】オズ襲来</v>
          </cell>
          <cell r="I799" t="str">
            <v>地獄級</v>
          </cell>
          <cell r="J799">
            <v>818</v>
          </cell>
          <cell r="K799">
            <v>40</v>
          </cell>
          <cell r="L799">
            <v>4500</v>
          </cell>
          <cell r="M799">
            <v>1</v>
          </cell>
          <cell r="N799">
            <v>1</v>
          </cell>
          <cell r="O799">
            <v>1</v>
          </cell>
          <cell r="P799">
            <v>1</v>
          </cell>
          <cell r="Q799">
            <v>1</v>
          </cell>
          <cell r="R799">
            <v>3</v>
          </cell>
          <cell r="S799" t="str">
            <v>polygon</v>
          </cell>
          <cell r="T799">
            <v>1</v>
          </cell>
          <cell r="U799" t="str">
            <v>NULL</v>
          </cell>
          <cell r="V799" t="str">
            <v>NULL</v>
          </cell>
          <cell r="X799">
            <v>0</v>
          </cell>
          <cell r="Y799">
            <v>0</v>
          </cell>
          <cell r="Z799">
            <v>0</v>
          </cell>
          <cell r="AA799">
            <v>0</v>
          </cell>
          <cell r="AB799" t="str">
            <v>anytime</v>
          </cell>
          <cell r="AC799">
            <v>906</v>
          </cell>
          <cell r="AD799">
            <v>6</v>
          </cell>
          <cell r="AE799" t="str">
            <v>everyone</v>
          </cell>
        </row>
        <row r="800">
          <cell r="A800" t="str">
            <v>41006_1</v>
          </cell>
          <cell r="B800">
            <v>3</v>
          </cell>
          <cell r="C800">
            <v>41006</v>
          </cell>
          <cell r="D800" t="str">
            <v>アーサー襲来！</v>
          </cell>
          <cell r="E800" t="str">
            <v>降臨1</v>
          </cell>
          <cell r="F800">
            <v>1</v>
          </cell>
          <cell r="G800" t="str">
            <v>ja</v>
          </cell>
          <cell r="H800" t="str">
            <v>【超絶級】アーサー襲来</v>
          </cell>
          <cell r="I800" t="str">
            <v>超絶級</v>
          </cell>
          <cell r="J800">
            <v>473</v>
          </cell>
          <cell r="K800">
            <v>35</v>
          </cell>
          <cell r="L800">
            <v>4200</v>
          </cell>
          <cell r="M800">
            <v>1</v>
          </cell>
          <cell r="N800">
            <v>1</v>
          </cell>
          <cell r="O800">
            <v>1</v>
          </cell>
          <cell r="P800">
            <v>1</v>
          </cell>
          <cell r="Q800">
            <v>1</v>
          </cell>
          <cell r="R800">
            <v>3</v>
          </cell>
          <cell r="S800" t="str">
            <v>polygon</v>
          </cell>
          <cell r="T800">
            <v>1</v>
          </cell>
          <cell r="U800" t="str">
            <v>NULL</v>
          </cell>
          <cell r="V800" t="str">
            <v>NULL</v>
          </cell>
          <cell r="X800">
            <v>0</v>
          </cell>
          <cell r="Y800">
            <v>0</v>
          </cell>
          <cell r="Z800">
            <v>0</v>
          </cell>
          <cell r="AA800">
            <v>0</v>
          </cell>
          <cell r="AB800" t="str">
            <v>anytime</v>
          </cell>
          <cell r="AC800">
            <v>907</v>
          </cell>
          <cell r="AD800">
            <v>6</v>
          </cell>
          <cell r="AE800" t="str">
            <v>everyone</v>
          </cell>
        </row>
        <row r="801">
          <cell r="A801" t="str">
            <v>41006_2</v>
          </cell>
          <cell r="B801">
            <v>3</v>
          </cell>
          <cell r="C801">
            <v>41006</v>
          </cell>
          <cell r="D801" t="str">
            <v>アーサー襲来！</v>
          </cell>
          <cell r="E801" t="str">
            <v>降臨1</v>
          </cell>
          <cell r="F801">
            <v>2</v>
          </cell>
          <cell r="G801" t="str">
            <v>ja</v>
          </cell>
          <cell r="H801" t="str">
            <v>【ウィザード級】アーサー襲来</v>
          </cell>
          <cell r="I801" t="str">
            <v>地獄級</v>
          </cell>
          <cell r="J801">
            <v>820</v>
          </cell>
          <cell r="K801">
            <v>40</v>
          </cell>
          <cell r="L801">
            <v>4500</v>
          </cell>
          <cell r="M801">
            <v>1</v>
          </cell>
          <cell r="N801">
            <v>1</v>
          </cell>
          <cell r="O801">
            <v>1</v>
          </cell>
          <cell r="P801">
            <v>1</v>
          </cell>
          <cell r="Q801">
            <v>1</v>
          </cell>
          <cell r="R801">
            <v>3</v>
          </cell>
          <cell r="S801" t="str">
            <v>polygon</v>
          </cell>
          <cell r="T801">
            <v>1</v>
          </cell>
          <cell r="U801" t="str">
            <v>NULL</v>
          </cell>
          <cell r="V801" t="str">
            <v>NULL</v>
          </cell>
          <cell r="X801">
            <v>0</v>
          </cell>
          <cell r="Y801">
            <v>0</v>
          </cell>
          <cell r="Z801">
            <v>0</v>
          </cell>
          <cell r="AA801">
            <v>0</v>
          </cell>
          <cell r="AB801" t="str">
            <v>anytime</v>
          </cell>
          <cell r="AC801">
            <v>907</v>
          </cell>
          <cell r="AD801">
            <v>6</v>
          </cell>
          <cell r="AE801" t="str">
            <v>everyone</v>
          </cell>
        </row>
        <row r="802">
          <cell r="A802" t="str">
            <v>41006_3</v>
          </cell>
          <cell r="B802">
            <v>1</v>
          </cell>
          <cell r="C802">
            <v>41006</v>
          </cell>
          <cell r="D802" t="str">
            <v>アーサー襲来！</v>
          </cell>
          <cell r="E802" t="str">
            <v>降臨1</v>
          </cell>
          <cell r="F802">
            <v>3</v>
          </cell>
          <cell r="G802" t="str">
            <v>ja</v>
          </cell>
          <cell r="H802" t="str">
            <v>【ノーコンテニュー】アーサー襲来</v>
          </cell>
          <cell r="I802" t="str">
            <v>地獄級</v>
          </cell>
          <cell r="J802">
            <v>820</v>
          </cell>
          <cell r="K802">
            <v>40</v>
          </cell>
          <cell r="L802">
            <v>4500</v>
          </cell>
          <cell r="M802">
            <v>1</v>
          </cell>
          <cell r="N802">
            <v>1</v>
          </cell>
          <cell r="O802">
            <v>1</v>
          </cell>
          <cell r="P802">
            <v>1</v>
          </cell>
          <cell r="Q802">
            <v>1</v>
          </cell>
          <cell r="R802">
            <v>3</v>
          </cell>
          <cell r="S802" t="str">
            <v>polygon</v>
          </cell>
          <cell r="T802">
            <v>1</v>
          </cell>
          <cell r="U802" t="str">
            <v>NULL</v>
          </cell>
          <cell r="V802" t="str">
            <v>NULL</v>
          </cell>
          <cell r="X802">
            <v>0</v>
          </cell>
          <cell r="Y802">
            <v>0</v>
          </cell>
          <cell r="Z802">
            <v>0</v>
          </cell>
          <cell r="AA802">
            <v>0</v>
          </cell>
          <cell r="AB802" t="str">
            <v>anytime</v>
          </cell>
          <cell r="AC802">
            <v>907</v>
          </cell>
          <cell r="AD802">
            <v>6</v>
          </cell>
          <cell r="AE802" t="str">
            <v>everyone</v>
          </cell>
        </row>
        <row r="803">
          <cell r="A803" t="str">
            <v>41007_1</v>
          </cell>
          <cell r="B803">
            <v>3</v>
          </cell>
          <cell r="C803">
            <v>41007</v>
          </cell>
          <cell r="D803" t="str">
            <v>グリム襲来！</v>
          </cell>
          <cell r="E803" t="str">
            <v>降臨1</v>
          </cell>
          <cell r="F803">
            <v>1</v>
          </cell>
          <cell r="G803" t="str">
            <v>ja</v>
          </cell>
          <cell r="H803" t="str">
            <v>【超絶級】グリム襲来</v>
          </cell>
          <cell r="I803" t="str">
            <v>超絶級</v>
          </cell>
          <cell r="J803">
            <v>491</v>
          </cell>
          <cell r="K803">
            <v>35</v>
          </cell>
          <cell r="L803">
            <v>4200</v>
          </cell>
          <cell r="M803">
            <v>1</v>
          </cell>
          <cell r="N803">
            <v>1</v>
          </cell>
          <cell r="O803">
            <v>1</v>
          </cell>
          <cell r="P803">
            <v>1</v>
          </cell>
          <cell r="Q803">
            <v>1</v>
          </cell>
          <cell r="R803">
            <v>3</v>
          </cell>
          <cell r="S803" t="str">
            <v>polygon</v>
          </cell>
          <cell r="T803">
            <v>1</v>
          </cell>
          <cell r="U803" t="str">
            <v>NULL</v>
          </cell>
          <cell r="V803" t="str">
            <v>NULL</v>
          </cell>
          <cell r="X803">
            <v>0</v>
          </cell>
          <cell r="Y803">
            <v>0</v>
          </cell>
          <cell r="Z803">
            <v>0</v>
          </cell>
          <cell r="AA803">
            <v>0</v>
          </cell>
          <cell r="AB803" t="str">
            <v>anytime</v>
          </cell>
          <cell r="AC803">
            <v>908</v>
          </cell>
          <cell r="AD803">
            <v>6</v>
          </cell>
          <cell r="AE803" t="str">
            <v>everyone</v>
          </cell>
        </row>
        <row r="804">
          <cell r="A804" t="str">
            <v>41007_2</v>
          </cell>
          <cell r="B804">
            <v>3</v>
          </cell>
          <cell r="C804">
            <v>41007</v>
          </cell>
          <cell r="D804" t="str">
            <v>グリム襲来！</v>
          </cell>
          <cell r="E804" t="str">
            <v>降臨1</v>
          </cell>
          <cell r="F804">
            <v>2</v>
          </cell>
          <cell r="G804" t="str">
            <v>ja</v>
          </cell>
          <cell r="H804" t="str">
            <v>【ウィザード級】グリム襲来</v>
          </cell>
          <cell r="I804" t="str">
            <v>地獄級</v>
          </cell>
          <cell r="J804">
            <v>822</v>
          </cell>
          <cell r="K804">
            <v>40</v>
          </cell>
          <cell r="L804">
            <v>4500</v>
          </cell>
          <cell r="M804">
            <v>1</v>
          </cell>
          <cell r="N804">
            <v>1</v>
          </cell>
          <cell r="O804">
            <v>1</v>
          </cell>
          <cell r="P804">
            <v>1</v>
          </cell>
          <cell r="Q804">
            <v>1</v>
          </cell>
          <cell r="R804">
            <v>3</v>
          </cell>
          <cell r="S804" t="str">
            <v>polygon</v>
          </cell>
          <cell r="T804">
            <v>1</v>
          </cell>
          <cell r="U804" t="str">
            <v>NULL</v>
          </cell>
          <cell r="V804" t="str">
            <v>NULL</v>
          </cell>
          <cell r="X804">
            <v>0</v>
          </cell>
          <cell r="Y804">
            <v>0</v>
          </cell>
          <cell r="Z804">
            <v>0</v>
          </cell>
          <cell r="AA804">
            <v>0</v>
          </cell>
          <cell r="AB804" t="str">
            <v>anytime</v>
          </cell>
          <cell r="AC804">
            <v>908</v>
          </cell>
          <cell r="AD804">
            <v>6</v>
          </cell>
          <cell r="AE804" t="str">
            <v>everyone</v>
          </cell>
        </row>
        <row r="805">
          <cell r="A805" t="str">
            <v>41007_3</v>
          </cell>
          <cell r="B805">
            <v>1</v>
          </cell>
          <cell r="C805">
            <v>41007</v>
          </cell>
          <cell r="D805" t="str">
            <v>グリム襲来！</v>
          </cell>
          <cell r="E805" t="str">
            <v>降臨1</v>
          </cell>
          <cell r="F805">
            <v>3</v>
          </cell>
          <cell r="G805" t="str">
            <v>ja</v>
          </cell>
          <cell r="H805" t="str">
            <v>【ノーコンテニュー】グリム襲来</v>
          </cell>
          <cell r="I805" t="str">
            <v>地獄級</v>
          </cell>
          <cell r="J805">
            <v>822</v>
          </cell>
          <cell r="K805">
            <v>40</v>
          </cell>
          <cell r="L805">
            <v>4500</v>
          </cell>
          <cell r="M805">
            <v>1</v>
          </cell>
          <cell r="N805">
            <v>1</v>
          </cell>
          <cell r="O805">
            <v>1</v>
          </cell>
          <cell r="P805">
            <v>1</v>
          </cell>
          <cell r="Q805">
            <v>1</v>
          </cell>
          <cell r="R805">
            <v>3</v>
          </cell>
          <cell r="S805" t="str">
            <v>polygon</v>
          </cell>
          <cell r="T805">
            <v>1</v>
          </cell>
          <cell r="U805" t="str">
            <v>NULL</v>
          </cell>
          <cell r="V805" t="str">
            <v>NULL</v>
          </cell>
          <cell r="X805">
            <v>0</v>
          </cell>
          <cell r="Y805">
            <v>0</v>
          </cell>
          <cell r="Z805">
            <v>0</v>
          </cell>
          <cell r="AA805">
            <v>0</v>
          </cell>
          <cell r="AB805" t="str">
            <v>anytime</v>
          </cell>
          <cell r="AC805">
            <v>908</v>
          </cell>
          <cell r="AD805">
            <v>6</v>
          </cell>
          <cell r="AE805" t="str">
            <v>everyone</v>
          </cell>
        </row>
        <row r="806">
          <cell r="A806" t="str">
            <v>41008_1</v>
          </cell>
          <cell r="B806">
            <v>3</v>
          </cell>
          <cell r="C806">
            <v>41008</v>
          </cell>
          <cell r="D806" t="str">
            <v>Gスター襲来！</v>
          </cell>
          <cell r="E806" t="str">
            <v>降臨1</v>
          </cell>
          <cell r="F806">
            <v>1</v>
          </cell>
          <cell r="G806" t="str">
            <v>ja</v>
          </cell>
          <cell r="H806" t="str">
            <v>【超絶級】Gスター襲来</v>
          </cell>
          <cell r="I806" t="str">
            <v>超絶級</v>
          </cell>
          <cell r="J806">
            <v>509</v>
          </cell>
          <cell r="K806">
            <v>35</v>
          </cell>
          <cell r="L806">
            <v>4200</v>
          </cell>
          <cell r="M806">
            <v>1</v>
          </cell>
          <cell r="N806">
            <v>1</v>
          </cell>
          <cell r="O806">
            <v>1</v>
          </cell>
          <cell r="P806">
            <v>1</v>
          </cell>
          <cell r="Q806">
            <v>1</v>
          </cell>
          <cell r="R806">
            <v>3</v>
          </cell>
          <cell r="S806" t="str">
            <v>polygon</v>
          </cell>
          <cell r="T806">
            <v>1</v>
          </cell>
          <cell r="U806" t="str">
            <v>NULL</v>
          </cell>
          <cell r="V806" t="str">
            <v>NULL</v>
          </cell>
          <cell r="X806">
            <v>0</v>
          </cell>
          <cell r="Y806">
            <v>0</v>
          </cell>
          <cell r="Z806">
            <v>0</v>
          </cell>
          <cell r="AA806">
            <v>0</v>
          </cell>
          <cell r="AB806" t="str">
            <v>anytime</v>
          </cell>
          <cell r="AC806">
            <v>2601</v>
          </cell>
          <cell r="AD806">
            <v>6</v>
          </cell>
          <cell r="AE806" t="str">
            <v>everyone</v>
          </cell>
        </row>
        <row r="807">
          <cell r="A807" t="str">
            <v>41008_2</v>
          </cell>
          <cell r="B807">
            <v>3</v>
          </cell>
          <cell r="C807">
            <v>41008</v>
          </cell>
          <cell r="D807" t="str">
            <v>Gスター襲来！</v>
          </cell>
          <cell r="E807" t="str">
            <v>降臨1</v>
          </cell>
          <cell r="F807">
            <v>2</v>
          </cell>
          <cell r="G807" t="str">
            <v>ja</v>
          </cell>
          <cell r="H807" t="str">
            <v>【ウィザード級】Gスター襲来</v>
          </cell>
          <cell r="I807" t="str">
            <v>地獄級</v>
          </cell>
          <cell r="J807">
            <v>824</v>
          </cell>
          <cell r="K807">
            <v>40</v>
          </cell>
          <cell r="L807">
            <v>4500</v>
          </cell>
          <cell r="M807">
            <v>1</v>
          </cell>
          <cell r="N807">
            <v>1</v>
          </cell>
          <cell r="O807">
            <v>1</v>
          </cell>
          <cell r="P807">
            <v>1</v>
          </cell>
          <cell r="Q807">
            <v>1</v>
          </cell>
          <cell r="R807">
            <v>3</v>
          </cell>
          <cell r="S807" t="str">
            <v>polygon</v>
          </cell>
          <cell r="T807">
            <v>1</v>
          </cell>
          <cell r="U807" t="str">
            <v>NULL</v>
          </cell>
          <cell r="V807" t="str">
            <v>NULL</v>
          </cell>
          <cell r="X807">
            <v>0</v>
          </cell>
          <cell r="Y807">
            <v>0</v>
          </cell>
          <cell r="Z807">
            <v>0</v>
          </cell>
          <cell r="AA807">
            <v>0</v>
          </cell>
          <cell r="AB807" t="str">
            <v>anytime</v>
          </cell>
          <cell r="AC807">
            <v>2601</v>
          </cell>
          <cell r="AD807">
            <v>6</v>
          </cell>
          <cell r="AE807" t="str">
            <v>everyone</v>
          </cell>
        </row>
        <row r="808">
          <cell r="A808" t="str">
            <v>41008_3</v>
          </cell>
          <cell r="B808">
            <v>1</v>
          </cell>
          <cell r="C808">
            <v>41008</v>
          </cell>
          <cell r="D808" t="str">
            <v>Gスター襲来！</v>
          </cell>
          <cell r="E808" t="str">
            <v>降臨1</v>
          </cell>
          <cell r="F808">
            <v>3</v>
          </cell>
          <cell r="G808" t="str">
            <v>ja</v>
          </cell>
          <cell r="H808" t="str">
            <v>【ノーコンテニュー】Gスター襲来</v>
          </cell>
          <cell r="I808" t="str">
            <v>地獄級</v>
          </cell>
          <cell r="J808">
            <v>824</v>
          </cell>
          <cell r="K808">
            <v>40</v>
          </cell>
          <cell r="L808">
            <v>4500</v>
          </cell>
          <cell r="M808">
            <v>1</v>
          </cell>
          <cell r="N808">
            <v>1</v>
          </cell>
          <cell r="O808">
            <v>1</v>
          </cell>
          <cell r="P808">
            <v>1</v>
          </cell>
          <cell r="Q808">
            <v>1</v>
          </cell>
          <cell r="R808">
            <v>3</v>
          </cell>
          <cell r="S808" t="str">
            <v>polygon</v>
          </cell>
          <cell r="T808">
            <v>1</v>
          </cell>
          <cell r="U808" t="str">
            <v>NULL</v>
          </cell>
          <cell r="V808" t="str">
            <v>NULL</v>
          </cell>
          <cell r="X808">
            <v>0</v>
          </cell>
          <cell r="Y808">
            <v>0</v>
          </cell>
          <cell r="Z808">
            <v>0</v>
          </cell>
          <cell r="AA808">
            <v>0</v>
          </cell>
          <cell r="AB808" t="str">
            <v>anytime</v>
          </cell>
          <cell r="AC808">
            <v>2601</v>
          </cell>
          <cell r="AD808">
            <v>6</v>
          </cell>
          <cell r="AE808" t="str">
            <v>everyone</v>
          </cell>
        </row>
        <row r="809">
          <cell r="A809" t="str">
            <v>41009_1</v>
          </cell>
          <cell r="B809">
            <v>3</v>
          </cell>
          <cell r="C809">
            <v>41009</v>
          </cell>
          <cell r="D809" t="str">
            <v>フギンとムニン襲来！</v>
          </cell>
          <cell r="E809" t="str">
            <v>降臨1</v>
          </cell>
          <cell r="F809">
            <v>1</v>
          </cell>
          <cell r="G809" t="str">
            <v>ja</v>
          </cell>
          <cell r="H809" t="str">
            <v>【超絶級】フギンとムニン襲来</v>
          </cell>
          <cell r="I809" t="str">
            <v>超絶級</v>
          </cell>
          <cell r="J809">
            <v>582</v>
          </cell>
          <cell r="K809">
            <v>35</v>
          </cell>
          <cell r="L809">
            <v>4200</v>
          </cell>
          <cell r="M809">
            <v>1</v>
          </cell>
          <cell r="N809">
            <v>1</v>
          </cell>
          <cell r="O809">
            <v>1</v>
          </cell>
          <cell r="P809">
            <v>1</v>
          </cell>
          <cell r="Q809">
            <v>1</v>
          </cell>
          <cell r="R809">
            <v>3</v>
          </cell>
          <cell r="S809" t="str">
            <v>polygon</v>
          </cell>
          <cell r="T809">
            <v>1</v>
          </cell>
          <cell r="U809" t="str">
            <v>NULL</v>
          </cell>
          <cell r="V809" t="str">
            <v>NULL</v>
          </cell>
          <cell r="X809">
            <v>0</v>
          </cell>
          <cell r="Y809">
            <v>0</v>
          </cell>
          <cell r="Z809">
            <v>0</v>
          </cell>
          <cell r="AA809">
            <v>0</v>
          </cell>
          <cell r="AB809" t="str">
            <v>anytime</v>
          </cell>
          <cell r="AC809">
            <v>25</v>
          </cell>
          <cell r="AD809">
            <v>6</v>
          </cell>
          <cell r="AE809" t="str">
            <v>everyone</v>
          </cell>
        </row>
        <row r="810">
          <cell r="A810" t="str">
            <v>41009_2</v>
          </cell>
          <cell r="B810">
            <v>3</v>
          </cell>
          <cell r="C810">
            <v>41009</v>
          </cell>
          <cell r="D810" t="str">
            <v>フギンとムニン襲来！</v>
          </cell>
          <cell r="E810" t="str">
            <v>降臨1</v>
          </cell>
          <cell r="F810">
            <v>2</v>
          </cell>
          <cell r="G810" t="str">
            <v>ja</v>
          </cell>
          <cell r="H810" t="str">
            <v>【ウィザード級】フギンとムニン襲来</v>
          </cell>
          <cell r="I810" t="str">
            <v>地獄級</v>
          </cell>
          <cell r="J810">
            <v>828</v>
          </cell>
          <cell r="K810">
            <v>40</v>
          </cell>
          <cell r="L810">
            <v>4500</v>
          </cell>
          <cell r="M810">
            <v>1</v>
          </cell>
          <cell r="N810">
            <v>1</v>
          </cell>
          <cell r="O810">
            <v>1</v>
          </cell>
          <cell r="P810">
            <v>1</v>
          </cell>
          <cell r="Q810">
            <v>1</v>
          </cell>
          <cell r="R810">
            <v>3</v>
          </cell>
          <cell r="S810" t="str">
            <v>polygon</v>
          </cell>
          <cell r="T810">
            <v>1</v>
          </cell>
          <cell r="U810" t="str">
            <v>NULL</v>
          </cell>
          <cell r="V810" t="str">
            <v>NULL</v>
          </cell>
          <cell r="X810">
            <v>0</v>
          </cell>
          <cell r="Y810">
            <v>0</v>
          </cell>
          <cell r="Z810">
            <v>0</v>
          </cell>
          <cell r="AA810">
            <v>0</v>
          </cell>
          <cell r="AB810" t="str">
            <v>anytime</v>
          </cell>
          <cell r="AC810">
            <v>25</v>
          </cell>
          <cell r="AD810">
            <v>6</v>
          </cell>
          <cell r="AE810" t="str">
            <v>everyone</v>
          </cell>
        </row>
        <row r="811">
          <cell r="A811" t="str">
            <v>41009_3</v>
          </cell>
          <cell r="B811">
            <v>1</v>
          </cell>
          <cell r="C811">
            <v>41009</v>
          </cell>
          <cell r="D811" t="str">
            <v>フギンとムニン襲来！</v>
          </cell>
          <cell r="E811" t="str">
            <v>降臨1</v>
          </cell>
          <cell r="F811">
            <v>3</v>
          </cell>
          <cell r="G811" t="str">
            <v>ja</v>
          </cell>
          <cell r="H811" t="str">
            <v>【ノーコンテニュー】フギンとムニン襲来</v>
          </cell>
          <cell r="I811" t="str">
            <v>地獄級</v>
          </cell>
          <cell r="J811">
            <v>1</v>
          </cell>
          <cell r="K811">
            <v>40</v>
          </cell>
          <cell r="L811">
            <v>4500</v>
          </cell>
          <cell r="M811">
            <v>1</v>
          </cell>
          <cell r="N811">
            <v>1</v>
          </cell>
          <cell r="O811">
            <v>1</v>
          </cell>
          <cell r="P811">
            <v>1</v>
          </cell>
          <cell r="Q811">
            <v>1</v>
          </cell>
          <cell r="R811">
            <v>3</v>
          </cell>
          <cell r="S811" t="str">
            <v>polygon</v>
          </cell>
          <cell r="T811">
            <v>1</v>
          </cell>
          <cell r="U811" t="str">
            <v>NULL</v>
          </cell>
          <cell r="V811" t="str">
            <v>NULL</v>
          </cell>
          <cell r="X811">
            <v>0</v>
          </cell>
          <cell r="Y811">
            <v>0</v>
          </cell>
          <cell r="Z811">
            <v>0</v>
          </cell>
          <cell r="AA811">
            <v>0</v>
          </cell>
          <cell r="AB811" t="str">
            <v>anytime</v>
          </cell>
          <cell r="AC811">
            <v>25</v>
          </cell>
          <cell r="AD811">
            <v>6</v>
          </cell>
          <cell r="AE811" t="str">
            <v>everyone</v>
          </cell>
        </row>
        <row r="812">
          <cell r="A812" t="str">
            <v>41010_1</v>
          </cell>
          <cell r="B812">
            <v>3</v>
          </cell>
          <cell r="C812">
            <v>41010</v>
          </cell>
          <cell r="D812" t="str">
            <v>フレイ襲来！</v>
          </cell>
          <cell r="E812" t="str">
            <v>降臨1</v>
          </cell>
          <cell r="F812">
            <v>1</v>
          </cell>
          <cell r="G812" t="str">
            <v>ja</v>
          </cell>
          <cell r="H812" t="str">
            <v>【超絶級】フレイ襲来</v>
          </cell>
          <cell r="I812" t="str">
            <v>超絶級</v>
          </cell>
          <cell r="J812">
            <v>576</v>
          </cell>
          <cell r="K812">
            <v>35</v>
          </cell>
          <cell r="L812">
            <v>4200</v>
          </cell>
          <cell r="M812">
            <v>1</v>
          </cell>
          <cell r="N812">
            <v>1</v>
          </cell>
          <cell r="O812">
            <v>1</v>
          </cell>
          <cell r="P812">
            <v>0</v>
          </cell>
          <cell r="Q812">
            <v>1</v>
          </cell>
          <cell r="R812">
            <v>3</v>
          </cell>
          <cell r="S812" t="str">
            <v>polygon</v>
          </cell>
          <cell r="T812">
            <v>1</v>
          </cell>
          <cell r="U812" t="str">
            <v>NULL</v>
          </cell>
          <cell r="V812" t="str">
            <v>NULL</v>
          </cell>
          <cell r="X812">
            <v>0</v>
          </cell>
          <cell r="Y812">
            <v>0</v>
          </cell>
          <cell r="Z812">
            <v>0</v>
          </cell>
          <cell r="AA812">
            <v>0</v>
          </cell>
          <cell r="AB812" t="str">
            <v>anytime</v>
          </cell>
          <cell r="AC812">
            <v>912</v>
          </cell>
          <cell r="AD812">
            <v>6</v>
          </cell>
          <cell r="AE812" t="str">
            <v>everyone</v>
          </cell>
        </row>
        <row r="813">
          <cell r="A813" t="str">
            <v>41010_2</v>
          </cell>
          <cell r="B813">
            <v>3</v>
          </cell>
          <cell r="C813">
            <v>41010</v>
          </cell>
          <cell r="D813" t="str">
            <v>フレイ襲来！</v>
          </cell>
          <cell r="E813" t="str">
            <v>降臨1</v>
          </cell>
          <cell r="F813">
            <v>2</v>
          </cell>
          <cell r="G813" t="str">
            <v>ja</v>
          </cell>
          <cell r="H813" t="str">
            <v>【ウィザード級】フレイ襲来</v>
          </cell>
          <cell r="I813" t="str">
            <v>地獄級</v>
          </cell>
          <cell r="J813">
            <v>826</v>
          </cell>
          <cell r="K813">
            <v>40</v>
          </cell>
          <cell r="L813">
            <v>4500</v>
          </cell>
          <cell r="M813">
            <v>1</v>
          </cell>
          <cell r="N813">
            <v>1</v>
          </cell>
          <cell r="O813">
            <v>1</v>
          </cell>
          <cell r="P813">
            <v>0</v>
          </cell>
          <cell r="Q813">
            <v>1</v>
          </cell>
          <cell r="R813">
            <v>3</v>
          </cell>
          <cell r="S813" t="str">
            <v>polygon</v>
          </cell>
          <cell r="T813">
            <v>1</v>
          </cell>
          <cell r="U813" t="str">
            <v>NULL</v>
          </cell>
          <cell r="V813" t="str">
            <v>NULL</v>
          </cell>
          <cell r="X813">
            <v>0</v>
          </cell>
          <cell r="Y813">
            <v>0</v>
          </cell>
          <cell r="Z813">
            <v>0</v>
          </cell>
          <cell r="AA813">
            <v>0</v>
          </cell>
          <cell r="AB813" t="str">
            <v>anytime</v>
          </cell>
          <cell r="AC813">
            <v>912</v>
          </cell>
          <cell r="AD813">
            <v>6</v>
          </cell>
          <cell r="AE813" t="str">
            <v>everyone</v>
          </cell>
        </row>
        <row r="814">
          <cell r="A814" t="str">
            <v>41010_3</v>
          </cell>
          <cell r="B814">
            <v>1</v>
          </cell>
          <cell r="C814">
            <v>41010</v>
          </cell>
          <cell r="D814" t="str">
            <v>フレイ襲来！</v>
          </cell>
          <cell r="E814" t="str">
            <v>降臨1</v>
          </cell>
          <cell r="F814">
            <v>3</v>
          </cell>
          <cell r="G814" t="str">
            <v>ja</v>
          </cell>
          <cell r="H814" t="str">
            <v>【ノーコンテニュー】フレイ襲来</v>
          </cell>
          <cell r="I814" t="str">
            <v>地獄級</v>
          </cell>
          <cell r="J814">
            <v>1</v>
          </cell>
          <cell r="K814">
            <v>40</v>
          </cell>
          <cell r="L814">
            <v>4500</v>
          </cell>
          <cell r="M814">
            <v>1</v>
          </cell>
          <cell r="N814">
            <v>1</v>
          </cell>
          <cell r="O814">
            <v>1</v>
          </cell>
          <cell r="P814">
            <v>0</v>
          </cell>
          <cell r="Q814">
            <v>1</v>
          </cell>
          <cell r="R814">
            <v>3</v>
          </cell>
          <cell r="S814" t="str">
            <v>polygon</v>
          </cell>
          <cell r="T814">
            <v>1</v>
          </cell>
          <cell r="U814" t="str">
            <v>NULL</v>
          </cell>
          <cell r="V814" t="str">
            <v>NULL</v>
          </cell>
          <cell r="X814">
            <v>0</v>
          </cell>
          <cell r="Y814">
            <v>0</v>
          </cell>
          <cell r="Z814">
            <v>0</v>
          </cell>
          <cell r="AA814">
            <v>0</v>
          </cell>
          <cell r="AB814" t="str">
            <v>anytime</v>
          </cell>
          <cell r="AC814">
            <v>912</v>
          </cell>
          <cell r="AD814">
            <v>6</v>
          </cell>
          <cell r="AE814" t="str">
            <v>everyone</v>
          </cell>
        </row>
        <row r="815">
          <cell r="A815" t="str">
            <v>41011_1</v>
          </cell>
          <cell r="B815">
            <v>3</v>
          </cell>
          <cell r="C815">
            <v>41011</v>
          </cell>
          <cell r="D815" t="str">
            <v>ヨミ襲来！</v>
          </cell>
          <cell r="E815" t="str">
            <v>降臨1</v>
          </cell>
          <cell r="F815">
            <v>1</v>
          </cell>
          <cell r="G815" t="str">
            <v>ja</v>
          </cell>
          <cell r="H815" t="str">
            <v>【超絶級】ヨミ襲来</v>
          </cell>
          <cell r="I815" t="str">
            <v>超絶級</v>
          </cell>
          <cell r="J815">
            <v>655</v>
          </cell>
          <cell r="K815">
            <v>35</v>
          </cell>
          <cell r="L815">
            <v>4200</v>
          </cell>
          <cell r="M815">
            <v>1</v>
          </cell>
          <cell r="N815">
            <v>1</v>
          </cell>
          <cell r="O815">
            <v>1</v>
          </cell>
          <cell r="P815">
            <v>1</v>
          </cell>
          <cell r="Q815">
            <v>1</v>
          </cell>
          <cell r="R815">
            <v>3</v>
          </cell>
          <cell r="S815" t="str">
            <v>polygon</v>
          </cell>
          <cell r="T815">
            <v>1</v>
          </cell>
          <cell r="U815" t="str">
            <v>NULL</v>
          </cell>
          <cell r="V815" t="str">
            <v>NULL</v>
          </cell>
          <cell r="X815">
            <v>0</v>
          </cell>
          <cell r="Y815">
            <v>0</v>
          </cell>
          <cell r="Z815">
            <v>0</v>
          </cell>
          <cell r="AA815">
            <v>0</v>
          </cell>
          <cell r="AB815" t="str">
            <v>anytime</v>
          </cell>
          <cell r="AC815">
            <v>913</v>
          </cell>
          <cell r="AD815">
            <v>6</v>
          </cell>
          <cell r="AE815" t="str">
            <v>everyone</v>
          </cell>
        </row>
        <row r="816">
          <cell r="A816" t="str">
            <v>41011_2</v>
          </cell>
          <cell r="B816">
            <v>3</v>
          </cell>
          <cell r="C816">
            <v>41011</v>
          </cell>
          <cell r="D816" t="str">
            <v>ヨミ襲来！</v>
          </cell>
          <cell r="E816" t="str">
            <v>降臨1</v>
          </cell>
          <cell r="F816">
            <v>2</v>
          </cell>
          <cell r="G816" t="str">
            <v>ja</v>
          </cell>
          <cell r="H816" t="str">
            <v>【ウィザード級】ヨミ襲来</v>
          </cell>
          <cell r="I816" t="str">
            <v>ウィザード級</v>
          </cell>
          <cell r="J816">
            <v>832</v>
          </cell>
          <cell r="K816">
            <v>40</v>
          </cell>
          <cell r="L816">
            <v>4500</v>
          </cell>
          <cell r="M816">
            <v>1</v>
          </cell>
          <cell r="N816">
            <v>1</v>
          </cell>
          <cell r="O816">
            <v>1</v>
          </cell>
          <cell r="P816">
            <v>1</v>
          </cell>
          <cell r="Q816">
            <v>1</v>
          </cell>
          <cell r="R816">
            <v>3</v>
          </cell>
          <cell r="S816" t="str">
            <v>polygon</v>
          </cell>
          <cell r="T816">
            <v>1</v>
          </cell>
          <cell r="U816" t="str">
            <v>NULL</v>
          </cell>
          <cell r="V816" t="str">
            <v>NULL</v>
          </cell>
          <cell r="X816">
            <v>0</v>
          </cell>
          <cell r="Y816">
            <v>0</v>
          </cell>
          <cell r="Z816">
            <v>0</v>
          </cell>
          <cell r="AA816">
            <v>0</v>
          </cell>
          <cell r="AB816" t="str">
            <v>anytime</v>
          </cell>
          <cell r="AC816">
            <v>913</v>
          </cell>
          <cell r="AD816">
            <v>6</v>
          </cell>
          <cell r="AE816" t="str">
            <v>everyone</v>
          </cell>
        </row>
        <row r="817">
          <cell r="A817" t="str">
            <v>41012_1</v>
          </cell>
          <cell r="B817">
            <v>3</v>
          </cell>
          <cell r="C817">
            <v>41012</v>
          </cell>
          <cell r="D817" t="str">
            <v>ショウキ襲来！</v>
          </cell>
          <cell r="E817" t="str">
            <v>降臨1</v>
          </cell>
          <cell r="F817">
            <v>1</v>
          </cell>
          <cell r="G817" t="str">
            <v>ja</v>
          </cell>
          <cell r="H817" t="str">
            <v>【超絶級】ショウキ襲来</v>
          </cell>
          <cell r="I817" t="str">
            <v>超絶級</v>
          </cell>
          <cell r="J817">
            <v>645</v>
          </cell>
          <cell r="K817">
            <v>35</v>
          </cell>
          <cell r="L817">
            <v>4200</v>
          </cell>
          <cell r="M817">
            <v>1</v>
          </cell>
          <cell r="N817">
            <v>1</v>
          </cell>
          <cell r="O817">
            <v>1</v>
          </cell>
          <cell r="P817">
            <v>1</v>
          </cell>
          <cell r="Q817">
            <v>1</v>
          </cell>
          <cell r="R817">
            <v>3</v>
          </cell>
          <cell r="S817" t="str">
            <v>polygon</v>
          </cell>
          <cell r="T817">
            <v>1</v>
          </cell>
          <cell r="U817" t="str">
            <v>NULL</v>
          </cell>
          <cell r="V817" t="str">
            <v>NULL</v>
          </cell>
          <cell r="X817">
            <v>0</v>
          </cell>
          <cell r="Y817">
            <v>0</v>
          </cell>
          <cell r="Z817">
            <v>0</v>
          </cell>
          <cell r="AA817">
            <v>0</v>
          </cell>
          <cell r="AB817" t="str">
            <v>anytime</v>
          </cell>
          <cell r="AC817">
            <v>915</v>
          </cell>
          <cell r="AD817">
            <v>6</v>
          </cell>
          <cell r="AE817" t="str">
            <v>everyone</v>
          </cell>
        </row>
        <row r="818">
          <cell r="A818" t="str">
            <v>41012_2</v>
          </cell>
          <cell r="B818">
            <v>3</v>
          </cell>
          <cell r="C818">
            <v>41012</v>
          </cell>
          <cell r="D818" t="str">
            <v>ショウキ襲来！</v>
          </cell>
          <cell r="E818" t="str">
            <v>降臨1</v>
          </cell>
          <cell r="F818">
            <v>2</v>
          </cell>
          <cell r="G818" t="str">
            <v>ja</v>
          </cell>
          <cell r="H818" t="str">
            <v>【ウィザード級】ショウキ襲来</v>
          </cell>
          <cell r="I818" t="str">
            <v>地獄級</v>
          </cell>
          <cell r="J818">
            <v>831</v>
          </cell>
          <cell r="K818">
            <v>40</v>
          </cell>
          <cell r="L818">
            <v>4500</v>
          </cell>
          <cell r="M818">
            <v>1</v>
          </cell>
          <cell r="N818">
            <v>1</v>
          </cell>
          <cell r="O818">
            <v>1</v>
          </cell>
          <cell r="P818">
            <v>1</v>
          </cell>
          <cell r="Q818">
            <v>1</v>
          </cell>
          <cell r="R818">
            <v>3</v>
          </cell>
          <cell r="S818" t="str">
            <v>polygon</v>
          </cell>
          <cell r="T818">
            <v>1</v>
          </cell>
          <cell r="U818" t="str">
            <v>NULL</v>
          </cell>
          <cell r="V818" t="str">
            <v>NULL</v>
          </cell>
          <cell r="X818">
            <v>0</v>
          </cell>
          <cell r="Y818">
            <v>0</v>
          </cell>
          <cell r="Z818">
            <v>0</v>
          </cell>
          <cell r="AA818">
            <v>0</v>
          </cell>
          <cell r="AB818" t="str">
            <v>anytime</v>
          </cell>
          <cell r="AC818">
            <v>915</v>
          </cell>
          <cell r="AD818">
            <v>6</v>
          </cell>
          <cell r="AE818" t="str">
            <v>everyone</v>
          </cell>
        </row>
        <row r="819">
          <cell r="A819" t="str">
            <v>41013_1</v>
          </cell>
          <cell r="B819">
            <v>3</v>
          </cell>
          <cell r="C819">
            <v>41013</v>
          </cell>
          <cell r="D819" t="str">
            <v>カーマ襲来！</v>
          </cell>
          <cell r="E819" t="str">
            <v>降臨1</v>
          </cell>
          <cell r="F819">
            <v>1</v>
          </cell>
          <cell r="G819" t="str">
            <v>ja</v>
          </cell>
          <cell r="H819" t="str">
            <v>【超絶級】カーマ襲来</v>
          </cell>
          <cell r="I819" t="str">
            <v>超絶級</v>
          </cell>
          <cell r="J819">
            <v>643</v>
          </cell>
          <cell r="K819">
            <v>35</v>
          </cell>
          <cell r="L819">
            <v>4200</v>
          </cell>
          <cell r="M819">
            <v>1</v>
          </cell>
          <cell r="N819">
            <v>1</v>
          </cell>
          <cell r="O819">
            <v>1</v>
          </cell>
          <cell r="P819">
            <v>1</v>
          </cell>
          <cell r="Q819">
            <v>0</v>
          </cell>
          <cell r="R819">
            <v>3</v>
          </cell>
          <cell r="S819" t="str">
            <v>polygon</v>
          </cell>
          <cell r="T819">
            <v>1</v>
          </cell>
          <cell r="U819" t="str">
            <v>NULL</v>
          </cell>
          <cell r="V819" t="str">
            <v>NULL</v>
          </cell>
          <cell r="X819">
            <v>0</v>
          </cell>
          <cell r="Y819">
            <v>0</v>
          </cell>
          <cell r="Z819">
            <v>0</v>
          </cell>
          <cell r="AA819">
            <v>0</v>
          </cell>
          <cell r="AB819" t="str">
            <v>anytime</v>
          </cell>
          <cell r="AC819">
            <v>916</v>
          </cell>
          <cell r="AD819">
            <v>6</v>
          </cell>
          <cell r="AE819" t="str">
            <v>everyone</v>
          </cell>
        </row>
        <row r="820">
          <cell r="A820" t="str">
            <v>41013_2</v>
          </cell>
          <cell r="B820">
            <v>3</v>
          </cell>
          <cell r="C820">
            <v>41013</v>
          </cell>
          <cell r="D820" t="str">
            <v>カーマ襲来！</v>
          </cell>
          <cell r="E820" t="str">
            <v>降臨1</v>
          </cell>
          <cell r="F820">
            <v>2</v>
          </cell>
          <cell r="G820" t="str">
            <v>ja</v>
          </cell>
          <cell r="H820" t="str">
            <v>【ウィザード級】カーマ襲来</v>
          </cell>
          <cell r="I820" t="str">
            <v>地獄級</v>
          </cell>
          <cell r="J820">
            <v>836</v>
          </cell>
          <cell r="K820">
            <v>40</v>
          </cell>
          <cell r="L820">
            <v>4500</v>
          </cell>
          <cell r="M820">
            <v>1</v>
          </cell>
          <cell r="N820">
            <v>1</v>
          </cell>
          <cell r="O820">
            <v>1</v>
          </cell>
          <cell r="P820">
            <v>1</v>
          </cell>
          <cell r="Q820">
            <v>0</v>
          </cell>
          <cell r="R820">
            <v>3</v>
          </cell>
          <cell r="S820" t="str">
            <v>polygon</v>
          </cell>
          <cell r="T820">
            <v>1</v>
          </cell>
          <cell r="U820" t="str">
            <v>NULL</v>
          </cell>
          <cell r="V820" t="str">
            <v>NULL</v>
          </cell>
          <cell r="X820">
            <v>0</v>
          </cell>
          <cell r="Y820">
            <v>0</v>
          </cell>
          <cell r="Z820">
            <v>0</v>
          </cell>
          <cell r="AA820">
            <v>0</v>
          </cell>
          <cell r="AB820" t="str">
            <v>anytime</v>
          </cell>
          <cell r="AC820">
            <v>916</v>
          </cell>
          <cell r="AD820">
            <v>6</v>
          </cell>
          <cell r="AE820" t="str">
            <v>everyone</v>
          </cell>
        </row>
        <row r="821">
          <cell r="A821" t="str">
            <v>41014_1</v>
          </cell>
          <cell r="B821">
            <v>3</v>
          </cell>
          <cell r="C821">
            <v>41014</v>
          </cell>
          <cell r="D821" t="str">
            <v>シヴァ襲来！</v>
          </cell>
          <cell r="E821" t="str">
            <v>降臨1</v>
          </cell>
          <cell r="F821">
            <v>1</v>
          </cell>
          <cell r="G821" t="str">
            <v>ja</v>
          </cell>
          <cell r="H821" t="str">
            <v>【超絶級】シヴァ襲来</v>
          </cell>
          <cell r="I821" t="str">
            <v>超絶級</v>
          </cell>
          <cell r="J821">
            <v>657</v>
          </cell>
          <cell r="K821">
            <v>35</v>
          </cell>
          <cell r="L821">
            <v>4200</v>
          </cell>
          <cell r="M821">
            <v>1</v>
          </cell>
          <cell r="N821">
            <v>1</v>
          </cell>
          <cell r="O821">
            <v>1</v>
          </cell>
          <cell r="P821">
            <v>1</v>
          </cell>
          <cell r="Q821">
            <v>1</v>
          </cell>
          <cell r="R821">
            <v>3</v>
          </cell>
          <cell r="S821" t="str">
            <v>polygon</v>
          </cell>
          <cell r="T821">
            <v>1</v>
          </cell>
          <cell r="U821" t="str">
            <v>NULL</v>
          </cell>
          <cell r="V821" t="str">
            <v>NULL</v>
          </cell>
          <cell r="W821" t="str">
            <v/>
          </cell>
          <cell r="X821">
            <v>0</v>
          </cell>
          <cell r="Y821">
            <v>0</v>
          </cell>
          <cell r="Z821">
            <v>0</v>
          </cell>
          <cell r="AA821">
            <v>0</v>
          </cell>
          <cell r="AB821" t="str">
            <v>anytime</v>
          </cell>
          <cell r="AC821">
            <v>914</v>
          </cell>
          <cell r="AD821">
            <v>6</v>
          </cell>
          <cell r="AE821" t="str">
            <v>everyone</v>
          </cell>
        </row>
        <row r="822">
          <cell r="A822" t="str">
            <v>41014_2</v>
          </cell>
          <cell r="B822">
            <v>3</v>
          </cell>
          <cell r="C822">
            <v>41014</v>
          </cell>
          <cell r="D822" t="str">
            <v>シヴァ襲来！</v>
          </cell>
          <cell r="E822" t="str">
            <v>降臨1</v>
          </cell>
          <cell r="F822">
            <v>2</v>
          </cell>
          <cell r="G822" t="str">
            <v>ja</v>
          </cell>
          <cell r="H822" t="str">
            <v>【ウィザード級】シヴァ襲来</v>
          </cell>
          <cell r="I822" t="str">
            <v>地獄級</v>
          </cell>
          <cell r="J822">
            <v>834</v>
          </cell>
          <cell r="K822">
            <v>40</v>
          </cell>
          <cell r="L822">
            <v>4500</v>
          </cell>
          <cell r="M822">
            <v>1</v>
          </cell>
          <cell r="N822">
            <v>1</v>
          </cell>
          <cell r="O822">
            <v>1</v>
          </cell>
          <cell r="P822">
            <v>1</v>
          </cell>
          <cell r="Q822">
            <v>1</v>
          </cell>
          <cell r="R822">
            <v>3</v>
          </cell>
          <cell r="S822" t="str">
            <v>polygon</v>
          </cell>
          <cell r="T822">
            <v>1</v>
          </cell>
          <cell r="U822" t="str">
            <v>NULL</v>
          </cell>
          <cell r="V822" t="str">
            <v>NULL</v>
          </cell>
          <cell r="W822" t="str">
            <v/>
          </cell>
          <cell r="X822">
            <v>0</v>
          </cell>
          <cell r="Y822">
            <v>0</v>
          </cell>
          <cell r="Z822">
            <v>0</v>
          </cell>
          <cell r="AA822">
            <v>0</v>
          </cell>
          <cell r="AB822" t="str">
            <v>anytime</v>
          </cell>
          <cell r="AC822">
            <v>914</v>
          </cell>
          <cell r="AD822">
            <v>6</v>
          </cell>
          <cell r="AE822" t="str">
            <v>everyone</v>
          </cell>
        </row>
        <row r="823">
          <cell r="A823" t="str">
            <v>41015_1</v>
          </cell>
          <cell r="B823">
            <v>3</v>
          </cell>
          <cell r="C823">
            <v>41015</v>
          </cell>
          <cell r="D823" t="str">
            <v>ガレス襲来！</v>
          </cell>
          <cell r="E823" t="str">
            <v>降臨1</v>
          </cell>
          <cell r="F823">
            <v>1</v>
          </cell>
          <cell r="G823" t="str">
            <v>ja</v>
          </cell>
          <cell r="H823" t="str">
            <v>【超絶級】ガレス襲来</v>
          </cell>
          <cell r="I823" t="str">
            <v>超絶級</v>
          </cell>
          <cell r="J823">
            <v>769</v>
          </cell>
          <cell r="K823">
            <v>35</v>
          </cell>
          <cell r="L823">
            <v>4200</v>
          </cell>
          <cell r="M823">
            <v>1</v>
          </cell>
          <cell r="N823">
            <v>1</v>
          </cell>
          <cell r="O823">
            <v>1</v>
          </cell>
          <cell r="P823">
            <v>1</v>
          </cell>
          <cell r="Q823">
            <v>1</v>
          </cell>
          <cell r="R823">
            <v>3</v>
          </cell>
          <cell r="S823" t="str">
            <v>polygon</v>
          </cell>
          <cell r="T823">
            <v>1</v>
          </cell>
          <cell r="U823" t="str">
            <v>NULL</v>
          </cell>
          <cell r="V823" t="str">
            <v>NULL</v>
          </cell>
          <cell r="X823">
            <v>0</v>
          </cell>
          <cell r="Y823">
            <v>0</v>
          </cell>
          <cell r="Z823">
            <v>0</v>
          </cell>
          <cell r="AA823">
            <v>0</v>
          </cell>
          <cell r="AB823" t="str">
            <v>anytime</v>
          </cell>
          <cell r="AC823">
            <v>907</v>
          </cell>
          <cell r="AD823">
            <v>6</v>
          </cell>
          <cell r="AE823" t="str">
            <v>everyone</v>
          </cell>
        </row>
        <row r="824">
          <cell r="A824" t="str">
            <v>41015_2</v>
          </cell>
          <cell r="B824">
            <v>3</v>
          </cell>
          <cell r="C824">
            <v>41015</v>
          </cell>
          <cell r="D824" t="str">
            <v>ガレス襲来！</v>
          </cell>
          <cell r="E824" t="str">
            <v>降臨1</v>
          </cell>
          <cell r="F824">
            <v>2</v>
          </cell>
          <cell r="G824" t="str">
            <v>ja</v>
          </cell>
          <cell r="H824" t="str">
            <v>【ウィザード級】ガレス襲来</v>
          </cell>
          <cell r="I824" t="str">
            <v>地獄級</v>
          </cell>
          <cell r="J824">
            <v>961</v>
          </cell>
          <cell r="K824">
            <v>40</v>
          </cell>
          <cell r="L824">
            <v>4500</v>
          </cell>
          <cell r="M824">
            <v>1</v>
          </cell>
          <cell r="N824">
            <v>1</v>
          </cell>
          <cell r="O824">
            <v>1</v>
          </cell>
          <cell r="P824">
            <v>1</v>
          </cell>
          <cell r="Q824">
            <v>1</v>
          </cell>
          <cell r="R824">
            <v>3</v>
          </cell>
          <cell r="S824" t="str">
            <v>polygon</v>
          </cell>
          <cell r="T824">
            <v>1</v>
          </cell>
          <cell r="U824" t="str">
            <v>NULL</v>
          </cell>
          <cell r="V824" t="str">
            <v>NULL</v>
          </cell>
          <cell r="X824">
            <v>0</v>
          </cell>
          <cell r="Y824">
            <v>0</v>
          </cell>
          <cell r="Z824">
            <v>0</v>
          </cell>
          <cell r="AA824">
            <v>0</v>
          </cell>
          <cell r="AB824" t="str">
            <v>anytime</v>
          </cell>
          <cell r="AC824">
            <v>907</v>
          </cell>
          <cell r="AD824">
            <v>6</v>
          </cell>
          <cell r="AE824" t="str">
            <v>everyone</v>
          </cell>
        </row>
        <row r="825">
          <cell r="A825" t="str">
            <v>47001_1</v>
          </cell>
          <cell r="B825">
            <v>3</v>
          </cell>
          <cell r="C825">
            <v>47001</v>
          </cell>
          <cell r="D825" t="str">
            <v>彦星襲来！</v>
          </cell>
          <cell r="E825" t="str">
            <v>季節イベント</v>
          </cell>
          <cell r="F825">
            <v>1</v>
          </cell>
          <cell r="G825" t="str">
            <v>ja</v>
          </cell>
          <cell r="H825" t="str">
            <v>【超絶級】彦星襲来</v>
          </cell>
          <cell r="I825" t="str">
            <v>地獄級</v>
          </cell>
          <cell r="J825">
            <v>1043</v>
          </cell>
          <cell r="K825">
            <v>35</v>
          </cell>
          <cell r="L825">
            <v>4200</v>
          </cell>
          <cell r="M825">
            <v>1</v>
          </cell>
          <cell r="N825">
            <v>1</v>
          </cell>
          <cell r="O825">
            <v>1</v>
          </cell>
          <cell r="P825">
            <v>1</v>
          </cell>
          <cell r="Q825">
            <v>1</v>
          </cell>
          <cell r="R825">
            <v>3</v>
          </cell>
          <cell r="S825" t="str">
            <v>polygon</v>
          </cell>
          <cell r="T825">
            <v>1</v>
          </cell>
          <cell r="U825" t="str">
            <v>NULL</v>
          </cell>
          <cell r="V825" t="str">
            <v>NULL</v>
          </cell>
          <cell r="W825" t="str">
            <v/>
          </cell>
          <cell r="X825">
            <v>0</v>
          </cell>
          <cell r="Y825">
            <v>0</v>
          </cell>
          <cell r="Z825">
            <v>0</v>
          </cell>
          <cell r="AA825">
            <v>0</v>
          </cell>
          <cell r="AB825" t="str">
            <v>anytime</v>
          </cell>
          <cell r="AC825">
            <v>943</v>
          </cell>
          <cell r="AD825">
            <v>6</v>
          </cell>
          <cell r="AE825" t="str">
            <v>everyone</v>
          </cell>
        </row>
        <row r="826">
          <cell r="A826" t="str">
            <v>47001_2</v>
          </cell>
          <cell r="B826">
            <v>3</v>
          </cell>
          <cell r="C826">
            <v>47001</v>
          </cell>
          <cell r="D826" t="str">
            <v>彦星襲来！</v>
          </cell>
          <cell r="E826" t="str">
            <v>季節イベント</v>
          </cell>
          <cell r="F826">
            <v>2</v>
          </cell>
          <cell r="G826" t="str">
            <v>ja</v>
          </cell>
          <cell r="H826" t="str">
            <v>【ウィザード級】彦星襲来</v>
          </cell>
          <cell r="I826" t="str">
            <v>地獄級</v>
          </cell>
          <cell r="J826">
            <v>1044</v>
          </cell>
          <cell r="K826">
            <v>40</v>
          </cell>
          <cell r="L826">
            <v>4500</v>
          </cell>
          <cell r="M826">
            <v>1</v>
          </cell>
          <cell r="N826">
            <v>1</v>
          </cell>
          <cell r="O826">
            <v>1</v>
          </cell>
          <cell r="P826">
            <v>1</v>
          </cell>
          <cell r="Q826">
            <v>1</v>
          </cell>
          <cell r="R826">
            <v>3</v>
          </cell>
          <cell r="S826" t="str">
            <v>polygon</v>
          </cell>
          <cell r="T826">
            <v>1</v>
          </cell>
          <cell r="U826" t="str">
            <v>NULL</v>
          </cell>
          <cell r="V826" t="str">
            <v>NULL</v>
          </cell>
          <cell r="W826" t="str">
            <v/>
          </cell>
          <cell r="X826">
            <v>0</v>
          </cell>
          <cell r="Y826">
            <v>0</v>
          </cell>
          <cell r="Z826">
            <v>0</v>
          </cell>
          <cell r="AA826">
            <v>0</v>
          </cell>
          <cell r="AB826" t="str">
            <v>anytime</v>
          </cell>
          <cell r="AC826">
            <v>943</v>
          </cell>
          <cell r="AD826">
            <v>6</v>
          </cell>
          <cell r="AE826" t="str">
            <v>everyone</v>
          </cell>
        </row>
        <row r="827">
          <cell r="A827" t="str">
            <v>47002_1</v>
          </cell>
          <cell r="B827">
            <v>3</v>
          </cell>
          <cell r="C827">
            <v>47002</v>
          </cell>
          <cell r="D827" t="str">
            <v>夏☆襲来！</v>
          </cell>
          <cell r="E827" t="str">
            <v>季節イベント</v>
          </cell>
          <cell r="F827">
            <v>1</v>
          </cell>
          <cell r="G827" t="str">
            <v>ja</v>
          </cell>
          <cell r="H827" t="str">
            <v>【超絶級】夏☆襲来</v>
          </cell>
          <cell r="I827" t="str">
            <v>地獄級</v>
          </cell>
          <cell r="J827">
            <v>1053</v>
          </cell>
          <cell r="K827">
            <v>35</v>
          </cell>
          <cell r="L827">
            <v>4200</v>
          </cell>
          <cell r="M827">
            <v>1</v>
          </cell>
          <cell r="N827">
            <v>1</v>
          </cell>
          <cell r="O827">
            <v>1</v>
          </cell>
          <cell r="P827">
            <v>1</v>
          </cell>
          <cell r="Q827">
            <v>1</v>
          </cell>
          <cell r="R827">
            <v>3</v>
          </cell>
          <cell r="S827" t="str">
            <v>polygon</v>
          </cell>
          <cell r="T827">
            <v>1</v>
          </cell>
          <cell r="U827" t="str">
            <v>NULL</v>
          </cell>
          <cell r="V827" t="str">
            <v>NULL</v>
          </cell>
          <cell r="W827" t="str">
            <v/>
          </cell>
          <cell r="X827">
            <v>0</v>
          </cell>
          <cell r="Y827">
            <v>0</v>
          </cell>
          <cell r="Z827">
            <v>0</v>
          </cell>
          <cell r="AA827">
            <v>0</v>
          </cell>
          <cell r="AB827" t="str">
            <v>anytime</v>
          </cell>
          <cell r="AC827">
            <v>5</v>
          </cell>
          <cell r="AD827">
            <v>6</v>
          </cell>
          <cell r="AE827" t="str">
            <v>everyone</v>
          </cell>
        </row>
        <row r="828">
          <cell r="A828" t="str">
            <v>47002_2</v>
          </cell>
          <cell r="B828">
            <v>3</v>
          </cell>
          <cell r="C828">
            <v>47002</v>
          </cell>
          <cell r="D828" t="str">
            <v>夏☆襲来！</v>
          </cell>
          <cell r="E828" t="str">
            <v>季節イベント</v>
          </cell>
          <cell r="F828">
            <v>2</v>
          </cell>
          <cell r="G828" t="str">
            <v>ja</v>
          </cell>
          <cell r="H828" t="str">
            <v>【ウィザード級】夏☆襲来</v>
          </cell>
          <cell r="I828" t="str">
            <v>地獄級</v>
          </cell>
          <cell r="J828">
            <v>1054</v>
          </cell>
          <cell r="K828">
            <v>40</v>
          </cell>
          <cell r="L828">
            <v>4500</v>
          </cell>
          <cell r="M828">
            <v>1</v>
          </cell>
          <cell r="N828">
            <v>1</v>
          </cell>
          <cell r="O828">
            <v>1</v>
          </cell>
          <cell r="P828">
            <v>1</v>
          </cell>
          <cell r="Q828">
            <v>1</v>
          </cell>
          <cell r="R828">
            <v>3</v>
          </cell>
          <cell r="S828" t="str">
            <v>polygon</v>
          </cell>
          <cell r="T828">
            <v>1</v>
          </cell>
          <cell r="U828" t="str">
            <v>NULL</v>
          </cell>
          <cell r="V828" t="str">
            <v>NULL</v>
          </cell>
          <cell r="W828" t="str">
            <v/>
          </cell>
          <cell r="X828">
            <v>0</v>
          </cell>
          <cell r="Y828">
            <v>0</v>
          </cell>
          <cell r="Z828">
            <v>0</v>
          </cell>
          <cell r="AA828">
            <v>0</v>
          </cell>
          <cell r="AB828" t="str">
            <v>anytime</v>
          </cell>
          <cell r="AC828">
            <v>5</v>
          </cell>
          <cell r="AD828">
            <v>6</v>
          </cell>
          <cell r="AE828" t="str">
            <v>everyone</v>
          </cell>
        </row>
        <row r="829">
          <cell r="A829" t="str">
            <v>47003_1</v>
          </cell>
          <cell r="B829">
            <v>3</v>
          </cell>
          <cell r="C829">
            <v>47003</v>
          </cell>
          <cell r="D829" t="str">
            <v>ハロウィンナイトパニック！</v>
          </cell>
          <cell r="E829" t="str">
            <v>季節イベント</v>
          </cell>
          <cell r="F829">
            <v>1</v>
          </cell>
          <cell r="G829" t="str">
            <v>ja</v>
          </cell>
          <cell r="H829" t="str">
            <v>【上級】ハロウィンナイトパニック！</v>
          </cell>
          <cell r="I829" t="str">
            <v>地獄級</v>
          </cell>
          <cell r="J829">
            <v>1192</v>
          </cell>
          <cell r="K829">
            <v>20</v>
          </cell>
          <cell r="L829">
            <v>2000</v>
          </cell>
          <cell r="M829">
            <v>1</v>
          </cell>
          <cell r="N829">
            <v>1</v>
          </cell>
          <cell r="O829">
            <v>1</v>
          </cell>
          <cell r="P829">
            <v>1</v>
          </cell>
          <cell r="Q829">
            <v>1</v>
          </cell>
          <cell r="R829">
            <v>3</v>
          </cell>
          <cell r="S829" t="str">
            <v>none</v>
          </cell>
          <cell r="T829">
            <v>0</v>
          </cell>
          <cell r="U829" t="str">
            <v>NULL</v>
          </cell>
          <cell r="V829" t="str">
            <v>NULL</v>
          </cell>
          <cell r="W829" t="str">
            <v/>
          </cell>
          <cell r="X829">
            <v>0</v>
          </cell>
          <cell r="Y829">
            <v>0</v>
          </cell>
          <cell r="Z829">
            <v>0</v>
          </cell>
          <cell r="AA829">
            <v>0</v>
          </cell>
          <cell r="AB829" t="str">
            <v>anytime</v>
          </cell>
          <cell r="AC829">
            <v>952</v>
          </cell>
          <cell r="AD829">
            <v>6</v>
          </cell>
          <cell r="AE829" t="str">
            <v>everyone</v>
          </cell>
        </row>
        <row r="830">
          <cell r="A830" t="str">
            <v>47003_2</v>
          </cell>
          <cell r="B830">
            <v>3</v>
          </cell>
          <cell r="C830">
            <v>47003</v>
          </cell>
          <cell r="D830" t="str">
            <v>ハロウィンナイトパニック！</v>
          </cell>
          <cell r="E830" t="str">
            <v>季節イベント</v>
          </cell>
          <cell r="F830">
            <v>2</v>
          </cell>
          <cell r="G830" t="str">
            <v>ja</v>
          </cell>
          <cell r="H830" t="str">
            <v>【超級】ハロウィンナイトパニック！</v>
          </cell>
          <cell r="I830" t="str">
            <v>地獄級</v>
          </cell>
          <cell r="J830">
            <v>1192</v>
          </cell>
          <cell r="K830">
            <v>30</v>
          </cell>
          <cell r="L830">
            <v>3300</v>
          </cell>
          <cell r="M830">
            <v>1</v>
          </cell>
          <cell r="N830">
            <v>1</v>
          </cell>
          <cell r="O830">
            <v>1</v>
          </cell>
          <cell r="P830">
            <v>1</v>
          </cell>
          <cell r="Q830">
            <v>1</v>
          </cell>
          <cell r="R830">
            <v>3</v>
          </cell>
          <cell r="S830" t="str">
            <v>none</v>
          </cell>
          <cell r="T830">
            <v>0</v>
          </cell>
          <cell r="U830" t="str">
            <v>NULL</v>
          </cell>
          <cell r="V830" t="str">
            <v>NULL</v>
          </cell>
          <cell r="W830" t="str">
            <v/>
          </cell>
          <cell r="X830">
            <v>0</v>
          </cell>
          <cell r="Y830">
            <v>0</v>
          </cell>
          <cell r="Z830">
            <v>0</v>
          </cell>
          <cell r="AA830">
            <v>0</v>
          </cell>
          <cell r="AB830" t="str">
            <v>anytime</v>
          </cell>
          <cell r="AC830">
            <v>952</v>
          </cell>
          <cell r="AD830">
            <v>6</v>
          </cell>
          <cell r="AE830" t="str">
            <v>everyone</v>
          </cell>
        </row>
        <row r="831">
          <cell r="A831" t="str">
            <v>47003_3</v>
          </cell>
          <cell r="B831">
            <v>3</v>
          </cell>
          <cell r="C831">
            <v>47003</v>
          </cell>
          <cell r="D831" t="str">
            <v>ハロウィンナイトパニック！</v>
          </cell>
          <cell r="E831" t="str">
            <v>季節イベント</v>
          </cell>
          <cell r="F831">
            <v>3</v>
          </cell>
          <cell r="G831" t="str">
            <v>ja</v>
          </cell>
          <cell r="H831" t="str">
            <v>【超絶】ハロウィンナイトパニック！</v>
          </cell>
          <cell r="I831" t="str">
            <v>地獄級</v>
          </cell>
          <cell r="J831">
            <v>1192</v>
          </cell>
          <cell r="K831">
            <v>35</v>
          </cell>
          <cell r="L831">
            <v>4200</v>
          </cell>
          <cell r="M831">
            <v>1</v>
          </cell>
          <cell r="N831">
            <v>1</v>
          </cell>
          <cell r="O831">
            <v>1</v>
          </cell>
          <cell r="P831">
            <v>1</v>
          </cell>
          <cell r="Q831">
            <v>1</v>
          </cell>
          <cell r="R831">
            <v>3</v>
          </cell>
          <cell r="S831" t="str">
            <v>polygon</v>
          </cell>
          <cell r="T831">
            <v>1</v>
          </cell>
          <cell r="U831" t="str">
            <v>NULL</v>
          </cell>
          <cell r="V831" t="str">
            <v>NULL</v>
          </cell>
          <cell r="W831" t="str">
            <v/>
          </cell>
          <cell r="X831">
            <v>0</v>
          </cell>
          <cell r="Y831">
            <v>0</v>
          </cell>
          <cell r="Z831">
            <v>0</v>
          </cell>
          <cell r="AA831">
            <v>0</v>
          </cell>
          <cell r="AB831" t="str">
            <v>anytime</v>
          </cell>
          <cell r="AC831">
            <v>952</v>
          </cell>
          <cell r="AD831">
            <v>6</v>
          </cell>
          <cell r="AE831" t="str">
            <v>everyone</v>
          </cell>
        </row>
        <row r="832">
          <cell r="A832" t="str">
            <v>47003_4</v>
          </cell>
          <cell r="B832">
            <v>3</v>
          </cell>
          <cell r="C832">
            <v>47003</v>
          </cell>
          <cell r="D832" t="str">
            <v>ハロウィンナイトパニック！</v>
          </cell>
          <cell r="E832" t="str">
            <v>季節イベント</v>
          </cell>
          <cell r="F832">
            <v>4</v>
          </cell>
          <cell r="G832" t="str">
            <v>ja</v>
          </cell>
          <cell r="H832" t="str">
            <v>【ｳｨｻﾞ】ハロウィンナイトパニック！</v>
          </cell>
          <cell r="I832" t="str">
            <v>地獄級</v>
          </cell>
          <cell r="J832">
            <v>1192</v>
          </cell>
          <cell r="K832">
            <v>40</v>
          </cell>
          <cell r="L832">
            <v>4500</v>
          </cell>
          <cell r="M832">
            <v>1</v>
          </cell>
          <cell r="N832">
            <v>1</v>
          </cell>
          <cell r="O832">
            <v>1</v>
          </cell>
          <cell r="P832">
            <v>1</v>
          </cell>
          <cell r="Q832">
            <v>1</v>
          </cell>
          <cell r="R832">
            <v>3</v>
          </cell>
          <cell r="S832" t="str">
            <v>polygon</v>
          </cell>
          <cell r="T832">
            <v>1</v>
          </cell>
          <cell r="U832" t="str">
            <v>NULL</v>
          </cell>
          <cell r="V832" t="str">
            <v>NULL</v>
          </cell>
          <cell r="W832" t="str">
            <v/>
          </cell>
          <cell r="X832">
            <v>0</v>
          </cell>
          <cell r="Y832">
            <v>0</v>
          </cell>
          <cell r="Z832">
            <v>0</v>
          </cell>
          <cell r="AA832">
            <v>0</v>
          </cell>
          <cell r="AB832" t="str">
            <v>anytime</v>
          </cell>
          <cell r="AC832">
            <v>952</v>
          </cell>
          <cell r="AD832">
            <v>6</v>
          </cell>
          <cell r="AE832" t="str">
            <v>everyone</v>
          </cell>
        </row>
        <row r="833">
          <cell r="A833" t="str">
            <v>47004_1</v>
          </cell>
          <cell r="B833">
            <v>3</v>
          </cell>
          <cell r="C833">
            <v>47004</v>
          </cell>
          <cell r="D833" t="str">
            <v>聖なる夜に祝福を</v>
          </cell>
          <cell r="E833" t="str">
            <v>季節イベント</v>
          </cell>
          <cell r="F833">
            <v>1</v>
          </cell>
          <cell r="G833" t="str">
            <v>ja</v>
          </cell>
          <cell r="H833" t="str">
            <v>【上級】聖なる夜に祝福を</v>
          </cell>
          <cell r="I833" t="str">
            <v>上級</v>
          </cell>
          <cell r="J833">
            <v>1284</v>
          </cell>
          <cell r="K833">
            <v>20</v>
          </cell>
          <cell r="L833">
            <v>2000</v>
          </cell>
          <cell r="M833">
            <v>1</v>
          </cell>
          <cell r="N833">
            <v>1</v>
          </cell>
          <cell r="O833">
            <v>1</v>
          </cell>
          <cell r="P833">
            <v>1</v>
          </cell>
          <cell r="Q833">
            <v>1</v>
          </cell>
          <cell r="R833">
            <v>3</v>
          </cell>
          <cell r="S833" t="str">
            <v>none</v>
          </cell>
          <cell r="T833">
            <v>0</v>
          </cell>
          <cell r="U833" t="str">
            <v>NULL</v>
          </cell>
          <cell r="V833" t="str">
            <v>NULL</v>
          </cell>
          <cell r="W833" t="str">
            <v/>
          </cell>
          <cell r="X833">
            <v>0</v>
          </cell>
          <cell r="Y833">
            <v>0</v>
          </cell>
          <cell r="Z833">
            <v>0</v>
          </cell>
          <cell r="AA833">
            <v>0</v>
          </cell>
          <cell r="AB833" t="str">
            <v>anytime</v>
          </cell>
          <cell r="AC833">
            <v>962</v>
          </cell>
          <cell r="AD833">
            <v>6</v>
          </cell>
          <cell r="AE833" t="str">
            <v>everyone</v>
          </cell>
        </row>
        <row r="834">
          <cell r="A834" t="str">
            <v>47004_2</v>
          </cell>
          <cell r="B834">
            <v>3</v>
          </cell>
          <cell r="C834">
            <v>47004</v>
          </cell>
          <cell r="D834" t="str">
            <v>聖なる夜に祝福を</v>
          </cell>
          <cell r="E834" t="str">
            <v>季節イベント</v>
          </cell>
          <cell r="F834">
            <v>2</v>
          </cell>
          <cell r="G834" t="str">
            <v>ja</v>
          </cell>
          <cell r="H834" t="str">
            <v>【超級】聖なる夜に祝福を</v>
          </cell>
          <cell r="I834" t="str">
            <v>超級</v>
          </cell>
          <cell r="J834">
            <v>1284</v>
          </cell>
          <cell r="K834">
            <v>30</v>
          </cell>
          <cell r="L834">
            <v>3300</v>
          </cell>
          <cell r="M834">
            <v>1</v>
          </cell>
          <cell r="N834">
            <v>1</v>
          </cell>
          <cell r="O834">
            <v>1</v>
          </cell>
          <cell r="P834">
            <v>1</v>
          </cell>
          <cell r="Q834">
            <v>1</v>
          </cell>
          <cell r="R834">
            <v>3</v>
          </cell>
          <cell r="S834" t="str">
            <v>none</v>
          </cell>
          <cell r="T834">
            <v>0</v>
          </cell>
          <cell r="U834" t="str">
            <v>NULL</v>
          </cell>
          <cell r="V834" t="str">
            <v>NULL</v>
          </cell>
          <cell r="W834" t="str">
            <v/>
          </cell>
          <cell r="X834">
            <v>0</v>
          </cell>
          <cell r="Y834">
            <v>0</v>
          </cell>
          <cell r="Z834">
            <v>0</v>
          </cell>
          <cell r="AA834">
            <v>0</v>
          </cell>
          <cell r="AB834" t="str">
            <v>anytime</v>
          </cell>
          <cell r="AC834">
            <v>962</v>
          </cell>
          <cell r="AD834">
            <v>6</v>
          </cell>
          <cell r="AE834" t="str">
            <v>everyone</v>
          </cell>
        </row>
        <row r="835">
          <cell r="A835" t="str">
            <v>47004_3</v>
          </cell>
          <cell r="B835">
            <v>3</v>
          </cell>
          <cell r="C835">
            <v>47004</v>
          </cell>
          <cell r="D835" t="str">
            <v>聖なる夜に祝福を</v>
          </cell>
          <cell r="E835" t="str">
            <v>季節イベント</v>
          </cell>
          <cell r="F835">
            <v>3</v>
          </cell>
          <cell r="G835" t="str">
            <v>ja</v>
          </cell>
          <cell r="H835" t="str">
            <v>【超絶級】聖なる夜に祝福を</v>
          </cell>
          <cell r="I835" t="str">
            <v>超絶級</v>
          </cell>
          <cell r="J835">
            <v>1284</v>
          </cell>
          <cell r="K835">
            <v>35</v>
          </cell>
          <cell r="L835">
            <v>4200</v>
          </cell>
          <cell r="M835">
            <v>1</v>
          </cell>
          <cell r="N835">
            <v>1</v>
          </cell>
          <cell r="O835">
            <v>1</v>
          </cell>
          <cell r="P835">
            <v>1</v>
          </cell>
          <cell r="Q835">
            <v>1</v>
          </cell>
          <cell r="R835">
            <v>3</v>
          </cell>
          <cell r="S835" t="str">
            <v>polygon</v>
          </cell>
          <cell r="T835">
            <v>1</v>
          </cell>
          <cell r="U835" t="str">
            <v>NULL</v>
          </cell>
          <cell r="V835" t="str">
            <v>NULL</v>
          </cell>
          <cell r="W835" t="str">
            <v/>
          </cell>
          <cell r="X835">
            <v>0</v>
          </cell>
          <cell r="Y835">
            <v>0</v>
          </cell>
          <cell r="Z835">
            <v>0</v>
          </cell>
          <cell r="AA835">
            <v>0</v>
          </cell>
          <cell r="AB835" t="str">
            <v>anytime</v>
          </cell>
          <cell r="AC835">
            <v>962</v>
          </cell>
          <cell r="AD835">
            <v>6</v>
          </cell>
          <cell r="AE835" t="str">
            <v>everyone</v>
          </cell>
        </row>
        <row r="836">
          <cell r="A836" t="str">
            <v>47004_4</v>
          </cell>
          <cell r="B836">
            <v>3</v>
          </cell>
          <cell r="C836">
            <v>47004</v>
          </cell>
          <cell r="D836" t="str">
            <v>聖なる夜に祝福を</v>
          </cell>
          <cell r="E836" t="str">
            <v>季節イベント</v>
          </cell>
          <cell r="F836">
            <v>4</v>
          </cell>
          <cell r="G836" t="str">
            <v>ja</v>
          </cell>
          <cell r="H836" t="str">
            <v>【ウィザード級】聖なる夜に祝福を</v>
          </cell>
          <cell r="I836" t="str">
            <v>地獄級</v>
          </cell>
          <cell r="J836">
            <v>1284</v>
          </cell>
          <cell r="K836">
            <v>40</v>
          </cell>
          <cell r="L836">
            <v>4500</v>
          </cell>
          <cell r="M836">
            <v>1</v>
          </cell>
          <cell r="N836">
            <v>1</v>
          </cell>
          <cell r="O836">
            <v>1</v>
          </cell>
          <cell r="P836">
            <v>1</v>
          </cell>
          <cell r="Q836">
            <v>1</v>
          </cell>
          <cell r="R836">
            <v>3</v>
          </cell>
          <cell r="S836" t="str">
            <v>polygon</v>
          </cell>
          <cell r="T836">
            <v>1</v>
          </cell>
          <cell r="U836" t="str">
            <v>NULL</v>
          </cell>
          <cell r="V836" t="str">
            <v>NULL</v>
          </cell>
          <cell r="W836" t="str">
            <v/>
          </cell>
          <cell r="X836">
            <v>0</v>
          </cell>
          <cell r="Y836">
            <v>0</v>
          </cell>
          <cell r="Z836">
            <v>0</v>
          </cell>
          <cell r="AA836">
            <v>0</v>
          </cell>
          <cell r="AB836" t="str">
            <v>anytime</v>
          </cell>
          <cell r="AC836">
            <v>962</v>
          </cell>
          <cell r="AD836">
            <v>6</v>
          </cell>
          <cell r="AE836" t="str">
            <v>everyone</v>
          </cell>
        </row>
        <row r="837">
          <cell r="A837" t="str">
            <v>47005_1</v>
          </cell>
          <cell r="B837">
            <v>3</v>
          </cell>
          <cell r="C837">
            <v>47005</v>
          </cell>
          <cell r="D837" t="str">
            <v>年を越える儀式</v>
          </cell>
          <cell r="E837" t="str">
            <v>季節イベント</v>
          </cell>
          <cell r="F837">
            <v>1</v>
          </cell>
          <cell r="G837" t="str">
            <v>ja</v>
          </cell>
          <cell r="H837" t="str">
            <v>【ウィザード級】年を越える儀式</v>
          </cell>
          <cell r="I837" t="str">
            <v>地獄級</v>
          </cell>
          <cell r="J837">
            <v>1292</v>
          </cell>
          <cell r="K837">
            <v>30</v>
          </cell>
          <cell r="L837">
            <v>4000</v>
          </cell>
          <cell r="M837">
            <v>1</v>
          </cell>
          <cell r="N837">
            <v>1</v>
          </cell>
          <cell r="O837">
            <v>1</v>
          </cell>
          <cell r="P837">
            <v>1</v>
          </cell>
          <cell r="Q837">
            <v>1</v>
          </cell>
          <cell r="R837">
            <v>3</v>
          </cell>
          <cell r="S837" t="str">
            <v>polygon</v>
          </cell>
          <cell r="T837">
            <v>1</v>
          </cell>
          <cell r="U837" t="str">
            <v>NULL</v>
          </cell>
          <cell r="V837" t="str">
            <v>NULL</v>
          </cell>
          <cell r="W837" t="str">
            <v/>
          </cell>
          <cell r="X837">
            <v>0</v>
          </cell>
          <cell r="Y837">
            <v>0</v>
          </cell>
          <cell r="Z837">
            <v>0</v>
          </cell>
          <cell r="AA837">
            <v>0</v>
          </cell>
          <cell r="AB837" t="str">
            <v>anytime</v>
          </cell>
          <cell r="AC837">
            <v>901</v>
          </cell>
          <cell r="AD837">
            <v>6</v>
          </cell>
          <cell r="AE837" t="str">
            <v>everyone</v>
          </cell>
        </row>
        <row r="838">
          <cell r="A838" t="str">
            <v>47006_1</v>
          </cell>
          <cell r="B838">
            <v>3</v>
          </cell>
          <cell r="C838">
            <v>47006</v>
          </cell>
          <cell r="D838" t="str">
            <v>酉の初めはたまごから</v>
          </cell>
          <cell r="E838" t="str">
            <v>季節イベント</v>
          </cell>
          <cell r="F838">
            <v>1</v>
          </cell>
          <cell r="G838" t="str">
            <v>ja</v>
          </cell>
          <cell r="H838" t="str">
            <v>【超絶】酉の初めはたまごから</v>
          </cell>
          <cell r="I838" t="str">
            <v>超絶級</v>
          </cell>
          <cell r="J838">
            <v>1294</v>
          </cell>
          <cell r="K838">
            <v>30</v>
          </cell>
          <cell r="L838">
            <v>4200</v>
          </cell>
          <cell r="M838">
            <v>1</v>
          </cell>
          <cell r="N838">
            <v>1</v>
          </cell>
          <cell r="O838">
            <v>1</v>
          </cell>
          <cell r="P838">
            <v>0</v>
          </cell>
          <cell r="Q838">
            <v>1</v>
          </cell>
          <cell r="R838">
            <v>3</v>
          </cell>
          <cell r="S838" t="str">
            <v>polygon</v>
          </cell>
          <cell r="T838">
            <v>1</v>
          </cell>
          <cell r="U838" t="str">
            <v>NULL</v>
          </cell>
          <cell r="V838" t="str">
            <v>NULL</v>
          </cell>
          <cell r="W838" t="str">
            <v/>
          </cell>
          <cell r="X838">
            <v>0</v>
          </cell>
          <cell r="Y838">
            <v>0</v>
          </cell>
          <cell r="Z838">
            <v>0</v>
          </cell>
          <cell r="AA838">
            <v>0</v>
          </cell>
          <cell r="AB838" t="str">
            <v>anytime</v>
          </cell>
          <cell r="AC838">
            <v>2</v>
          </cell>
          <cell r="AD838">
            <v>6</v>
          </cell>
          <cell r="AE838" t="str">
            <v>everyone</v>
          </cell>
        </row>
        <row r="839">
          <cell r="A839" t="str">
            <v>47006_2</v>
          </cell>
          <cell r="B839">
            <v>3</v>
          </cell>
          <cell r="C839">
            <v>47006</v>
          </cell>
          <cell r="D839" t="str">
            <v>酉の初めはたまごから</v>
          </cell>
          <cell r="E839" t="str">
            <v>季節イベント</v>
          </cell>
          <cell r="F839">
            <v>2</v>
          </cell>
          <cell r="G839" t="str">
            <v>ja</v>
          </cell>
          <cell r="H839" t="str">
            <v>【ｳｨｻﾞ】酉の初めはたまごから</v>
          </cell>
          <cell r="I839" t="str">
            <v>地獄級</v>
          </cell>
          <cell r="J839">
            <v>1294</v>
          </cell>
          <cell r="K839">
            <v>35</v>
          </cell>
          <cell r="L839">
            <v>4500</v>
          </cell>
          <cell r="M839">
            <v>1</v>
          </cell>
          <cell r="N839">
            <v>1</v>
          </cell>
          <cell r="O839">
            <v>1</v>
          </cell>
          <cell r="P839">
            <v>0</v>
          </cell>
          <cell r="Q839">
            <v>1</v>
          </cell>
          <cell r="R839">
            <v>3</v>
          </cell>
          <cell r="S839" t="str">
            <v>polygon</v>
          </cell>
          <cell r="T839">
            <v>1</v>
          </cell>
          <cell r="U839" t="str">
            <v>NULL</v>
          </cell>
          <cell r="V839" t="str">
            <v>NULL</v>
          </cell>
          <cell r="W839" t="str">
            <v/>
          </cell>
          <cell r="X839">
            <v>0</v>
          </cell>
          <cell r="Y839">
            <v>0</v>
          </cell>
          <cell r="Z839">
            <v>0</v>
          </cell>
          <cell r="AA839">
            <v>0</v>
          </cell>
          <cell r="AB839" t="str">
            <v>anytime</v>
          </cell>
          <cell r="AC839">
            <v>2</v>
          </cell>
          <cell r="AD839">
            <v>6</v>
          </cell>
          <cell r="AE839" t="str">
            <v>everyone</v>
          </cell>
        </row>
        <row r="840">
          <cell r="A840" t="str">
            <v>47007_1</v>
          </cell>
          <cell r="B840">
            <v>3</v>
          </cell>
          <cell r="C840">
            <v>47007</v>
          </cell>
          <cell r="D840" t="str">
            <v>ツンデレ少女の恋心</v>
          </cell>
          <cell r="E840" t="str">
            <v>季節イベント</v>
          </cell>
          <cell r="F840">
            <v>1</v>
          </cell>
          <cell r="G840" t="str">
            <v>ja</v>
          </cell>
          <cell r="H840" t="str">
            <v>【上級】ツンデレ少女の恋心</v>
          </cell>
          <cell r="I840" t="str">
            <v>超絶級</v>
          </cell>
          <cell r="J840">
            <v>1351</v>
          </cell>
          <cell r="K840">
            <v>15</v>
          </cell>
          <cell r="L840">
            <v>2000</v>
          </cell>
          <cell r="M840">
            <v>1</v>
          </cell>
          <cell r="N840">
            <v>1</v>
          </cell>
          <cell r="O840">
            <v>0</v>
          </cell>
          <cell r="P840">
            <v>1</v>
          </cell>
          <cell r="Q840">
            <v>1</v>
          </cell>
          <cell r="R840">
            <v>3</v>
          </cell>
          <cell r="S840" t="str">
            <v>none</v>
          </cell>
          <cell r="T840">
            <v>0</v>
          </cell>
          <cell r="U840" t="str">
            <v>NULL</v>
          </cell>
          <cell r="V840" t="str">
            <v>NULL</v>
          </cell>
          <cell r="W840" t="str">
            <v/>
          </cell>
          <cell r="X840">
            <v>0</v>
          </cell>
          <cell r="Y840">
            <v>0</v>
          </cell>
          <cell r="Z840">
            <v>0</v>
          </cell>
          <cell r="AA840">
            <v>0</v>
          </cell>
          <cell r="AB840" t="str">
            <v>anytime</v>
          </cell>
          <cell r="AC840">
            <v>969</v>
          </cell>
          <cell r="AD840">
            <v>6</v>
          </cell>
          <cell r="AE840" t="str">
            <v>everyone</v>
          </cell>
        </row>
        <row r="841">
          <cell r="A841" t="str">
            <v>47007_2</v>
          </cell>
          <cell r="B841">
            <v>3</v>
          </cell>
          <cell r="C841">
            <v>47007</v>
          </cell>
          <cell r="D841" t="str">
            <v>ツンデレ少女の恋心</v>
          </cell>
          <cell r="E841" t="str">
            <v>季節イベント</v>
          </cell>
          <cell r="F841">
            <v>2</v>
          </cell>
          <cell r="G841" t="str">
            <v>ja</v>
          </cell>
          <cell r="H841" t="str">
            <v>【ウィザード級】ツンデレ少女の恋心</v>
          </cell>
          <cell r="I841" t="str">
            <v>地獄級</v>
          </cell>
          <cell r="J841">
            <v>1351</v>
          </cell>
          <cell r="K841">
            <v>30</v>
          </cell>
          <cell r="L841">
            <v>4500</v>
          </cell>
          <cell r="M841">
            <v>1</v>
          </cell>
          <cell r="N841">
            <v>1</v>
          </cell>
          <cell r="O841">
            <v>0</v>
          </cell>
          <cell r="P841">
            <v>1</v>
          </cell>
          <cell r="Q841">
            <v>1</v>
          </cell>
          <cell r="R841">
            <v>3</v>
          </cell>
          <cell r="S841" t="str">
            <v>polygon</v>
          </cell>
          <cell r="T841">
            <v>1</v>
          </cell>
          <cell r="U841" t="str">
            <v>NULL</v>
          </cell>
          <cell r="V841" t="str">
            <v>NULL</v>
          </cell>
          <cell r="W841" t="str">
            <v/>
          </cell>
          <cell r="X841">
            <v>0</v>
          </cell>
          <cell r="Y841">
            <v>0</v>
          </cell>
          <cell r="Z841">
            <v>0</v>
          </cell>
          <cell r="AA841">
            <v>0</v>
          </cell>
          <cell r="AB841" t="str">
            <v>anytime</v>
          </cell>
          <cell r="AC841">
            <v>969</v>
          </cell>
          <cell r="AD841">
            <v>6</v>
          </cell>
          <cell r="AE841" t="str">
            <v>everyone</v>
          </cell>
        </row>
        <row r="842">
          <cell r="A842" t="str">
            <v>47008_1</v>
          </cell>
          <cell r="B842">
            <v>3</v>
          </cell>
          <cell r="C842">
            <v>47008</v>
          </cell>
          <cell r="D842" t="str">
            <v>ふんわり少女の恋心</v>
          </cell>
          <cell r="E842" t="str">
            <v>季節イベント</v>
          </cell>
          <cell r="F842">
            <v>1</v>
          </cell>
          <cell r="G842" t="str">
            <v>ja</v>
          </cell>
          <cell r="H842" t="str">
            <v>【上級】ふんわり少女の恋心</v>
          </cell>
          <cell r="I842" t="str">
            <v>超絶級</v>
          </cell>
          <cell r="J842">
            <v>1364</v>
          </cell>
          <cell r="K842">
            <v>15</v>
          </cell>
          <cell r="L842">
            <v>2000</v>
          </cell>
          <cell r="M842">
            <v>1</v>
          </cell>
          <cell r="N842">
            <v>1</v>
          </cell>
          <cell r="O842">
            <v>1</v>
          </cell>
          <cell r="P842">
            <v>0</v>
          </cell>
          <cell r="Q842">
            <v>1</v>
          </cell>
          <cell r="R842">
            <v>3</v>
          </cell>
          <cell r="S842" t="str">
            <v>none</v>
          </cell>
          <cell r="T842">
            <v>0</v>
          </cell>
          <cell r="U842" t="str">
            <v>NULL</v>
          </cell>
          <cell r="V842" t="str">
            <v>NULL</v>
          </cell>
          <cell r="W842" t="str">
            <v/>
          </cell>
          <cell r="X842">
            <v>0</v>
          </cell>
          <cell r="Y842">
            <v>0</v>
          </cell>
          <cell r="Z842">
            <v>0</v>
          </cell>
          <cell r="AA842">
            <v>0</v>
          </cell>
          <cell r="AB842" t="str">
            <v>anytime</v>
          </cell>
          <cell r="AC842">
            <v>969</v>
          </cell>
          <cell r="AD842">
            <v>6</v>
          </cell>
          <cell r="AE842" t="str">
            <v>everyone</v>
          </cell>
        </row>
        <row r="843">
          <cell r="A843" t="str">
            <v>47008_2</v>
          </cell>
          <cell r="B843">
            <v>3</v>
          </cell>
          <cell r="C843">
            <v>47008</v>
          </cell>
          <cell r="D843" t="str">
            <v>ふんわり少女の恋心</v>
          </cell>
          <cell r="E843" t="str">
            <v>季節イベント</v>
          </cell>
          <cell r="F843">
            <v>2</v>
          </cell>
          <cell r="G843" t="str">
            <v>ja</v>
          </cell>
          <cell r="H843" t="str">
            <v>【ウィザード級】ふんわり少女の恋心</v>
          </cell>
          <cell r="I843" t="str">
            <v>地獄級</v>
          </cell>
          <cell r="J843">
            <v>1364</v>
          </cell>
          <cell r="K843">
            <v>30</v>
          </cell>
          <cell r="L843">
            <v>4500</v>
          </cell>
          <cell r="M843">
            <v>1</v>
          </cell>
          <cell r="N843">
            <v>1</v>
          </cell>
          <cell r="O843">
            <v>1</v>
          </cell>
          <cell r="P843">
            <v>0</v>
          </cell>
          <cell r="Q843">
            <v>1</v>
          </cell>
          <cell r="R843">
            <v>3</v>
          </cell>
          <cell r="S843" t="str">
            <v>polygon</v>
          </cell>
          <cell r="T843">
            <v>1</v>
          </cell>
          <cell r="U843" t="str">
            <v>NULL</v>
          </cell>
          <cell r="V843" t="str">
            <v>NULL</v>
          </cell>
          <cell r="W843" t="str">
            <v/>
          </cell>
          <cell r="X843">
            <v>0</v>
          </cell>
          <cell r="Y843">
            <v>0</v>
          </cell>
          <cell r="Z843">
            <v>0</v>
          </cell>
          <cell r="AA843">
            <v>0</v>
          </cell>
          <cell r="AB843" t="str">
            <v>anytime</v>
          </cell>
          <cell r="AC843">
            <v>969</v>
          </cell>
          <cell r="AD843">
            <v>6</v>
          </cell>
          <cell r="AE843" t="str">
            <v>everyone</v>
          </cell>
        </row>
        <row r="844">
          <cell r="A844" t="str">
            <v>47009_1</v>
          </cell>
          <cell r="B844">
            <v>3</v>
          </cell>
          <cell r="C844">
            <v>47009</v>
          </cell>
          <cell r="D844" t="str">
            <v>夏☆襲来！</v>
          </cell>
          <cell r="E844" t="str">
            <v>（復刻）季節イベント</v>
          </cell>
          <cell r="F844">
            <v>1</v>
          </cell>
          <cell r="G844" t="str">
            <v>ja</v>
          </cell>
          <cell r="H844" t="str">
            <v>【超絶級】夏☆襲来</v>
          </cell>
          <cell r="I844" t="str">
            <v>地獄級</v>
          </cell>
          <cell r="J844">
            <v>1053</v>
          </cell>
          <cell r="K844">
            <v>35</v>
          </cell>
          <cell r="L844">
            <v>4200</v>
          </cell>
          <cell r="M844">
            <v>1</v>
          </cell>
          <cell r="N844">
            <v>1</v>
          </cell>
          <cell r="O844">
            <v>1</v>
          </cell>
          <cell r="P844">
            <v>1</v>
          </cell>
          <cell r="Q844">
            <v>1</v>
          </cell>
          <cell r="R844">
            <v>3</v>
          </cell>
          <cell r="S844" t="str">
            <v>polygon</v>
          </cell>
          <cell r="T844">
            <v>1</v>
          </cell>
          <cell r="U844" t="str">
            <v>NULL</v>
          </cell>
          <cell r="V844" t="str">
            <v>NULL</v>
          </cell>
          <cell r="W844" t="str">
            <v/>
          </cell>
          <cell r="X844">
            <v>0</v>
          </cell>
          <cell r="Y844">
            <v>0</v>
          </cell>
          <cell r="Z844">
            <v>0</v>
          </cell>
          <cell r="AA844">
            <v>0</v>
          </cell>
          <cell r="AB844" t="str">
            <v>anytime</v>
          </cell>
          <cell r="AC844">
            <v>5</v>
          </cell>
          <cell r="AD844">
            <v>6</v>
          </cell>
          <cell r="AE844" t="str">
            <v>everyone</v>
          </cell>
        </row>
        <row r="845">
          <cell r="A845" t="str">
            <v>47009_2</v>
          </cell>
          <cell r="B845">
            <v>3</v>
          </cell>
          <cell r="C845">
            <v>47009</v>
          </cell>
          <cell r="D845" t="str">
            <v>夏☆襲来！</v>
          </cell>
          <cell r="E845" t="str">
            <v>（復刻）季節イベント</v>
          </cell>
          <cell r="F845">
            <v>2</v>
          </cell>
          <cell r="G845" t="str">
            <v>ja</v>
          </cell>
          <cell r="H845" t="str">
            <v>【ウィザード級】夏☆襲来</v>
          </cell>
          <cell r="I845" t="str">
            <v>地獄級</v>
          </cell>
          <cell r="J845">
            <v>1054</v>
          </cell>
          <cell r="K845">
            <v>40</v>
          </cell>
          <cell r="L845">
            <v>4500</v>
          </cell>
          <cell r="M845">
            <v>1</v>
          </cell>
          <cell r="N845">
            <v>1</v>
          </cell>
          <cell r="O845">
            <v>1</v>
          </cell>
          <cell r="P845">
            <v>1</v>
          </cell>
          <cell r="Q845">
            <v>1</v>
          </cell>
          <cell r="R845">
            <v>3</v>
          </cell>
          <cell r="S845" t="str">
            <v>polygon</v>
          </cell>
          <cell r="T845">
            <v>1</v>
          </cell>
          <cell r="U845" t="str">
            <v>NULL</v>
          </cell>
          <cell r="V845" t="str">
            <v>NULL</v>
          </cell>
          <cell r="W845" t="str">
            <v/>
          </cell>
          <cell r="X845">
            <v>0</v>
          </cell>
          <cell r="Y845">
            <v>0</v>
          </cell>
          <cell r="Z845">
            <v>0</v>
          </cell>
          <cell r="AA845">
            <v>0</v>
          </cell>
          <cell r="AB845" t="str">
            <v>anytime</v>
          </cell>
          <cell r="AC845">
            <v>5</v>
          </cell>
          <cell r="AD845">
            <v>6</v>
          </cell>
          <cell r="AE845" t="str">
            <v>everyone</v>
          </cell>
        </row>
        <row r="846">
          <cell r="A846" t="str">
            <v>47010_1</v>
          </cell>
          <cell r="B846">
            <v>3</v>
          </cell>
          <cell r="C846">
            <v>47010</v>
          </cell>
          <cell r="D846" t="str">
            <v>僕の愛よあの子にとどけ！</v>
          </cell>
          <cell r="E846" t="str">
            <v>季節イベント</v>
          </cell>
          <cell r="F846">
            <v>1</v>
          </cell>
          <cell r="G846" t="str">
            <v>ja</v>
          </cell>
          <cell r="H846" t="str">
            <v>【上級】僕の愛よあの子にとどけ！</v>
          </cell>
          <cell r="I846" t="str">
            <v>地獄級</v>
          </cell>
          <cell r="J846">
            <v>1408</v>
          </cell>
          <cell r="K846">
            <v>20</v>
          </cell>
          <cell r="L846">
            <v>2000</v>
          </cell>
          <cell r="M846">
            <v>1</v>
          </cell>
          <cell r="N846">
            <v>1</v>
          </cell>
          <cell r="O846">
            <v>1</v>
          </cell>
          <cell r="P846">
            <v>1</v>
          </cell>
          <cell r="Q846">
            <v>1</v>
          </cell>
          <cell r="R846">
            <v>3</v>
          </cell>
          <cell r="S846" t="str">
            <v>item</v>
          </cell>
          <cell r="T846">
            <v>703</v>
          </cell>
          <cell r="U846" t="str">
            <v>NULL</v>
          </cell>
          <cell r="V846" t="str">
            <v>NULL</v>
          </cell>
          <cell r="W846" t="str">
            <v/>
          </cell>
          <cell r="X846">
            <v>0</v>
          </cell>
          <cell r="Y846">
            <v>0</v>
          </cell>
          <cell r="Z846">
            <v>0</v>
          </cell>
          <cell r="AA846">
            <v>0</v>
          </cell>
          <cell r="AB846" t="str">
            <v>anytime</v>
          </cell>
          <cell r="AC846">
            <v>908</v>
          </cell>
          <cell r="AD846">
            <v>6</v>
          </cell>
          <cell r="AE846" t="str">
            <v>everyone</v>
          </cell>
        </row>
        <row r="847">
          <cell r="A847" t="str">
            <v>47010_2</v>
          </cell>
          <cell r="B847">
            <v>3</v>
          </cell>
          <cell r="C847">
            <v>47010</v>
          </cell>
          <cell r="D847" t="str">
            <v>僕の愛よあの子にとどけ！</v>
          </cell>
          <cell r="E847" t="str">
            <v>季節イベント</v>
          </cell>
          <cell r="F847">
            <v>2</v>
          </cell>
          <cell r="G847" t="str">
            <v>ja</v>
          </cell>
          <cell r="H847" t="str">
            <v>【ｳｨｻﾞ】僕の愛よあの子にとどけ！</v>
          </cell>
          <cell r="I847" t="str">
            <v>地獄級</v>
          </cell>
          <cell r="J847">
            <v>1408</v>
          </cell>
          <cell r="K847">
            <v>40</v>
          </cell>
          <cell r="L847">
            <v>4500</v>
          </cell>
          <cell r="M847">
            <v>1</v>
          </cell>
          <cell r="N847">
            <v>1</v>
          </cell>
          <cell r="O847">
            <v>1</v>
          </cell>
          <cell r="P847">
            <v>1</v>
          </cell>
          <cell r="Q847">
            <v>1</v>
          </cell>
          <cell r="R847">
            <v>3</v>
          </cell>
          <cell r="S847" t="str">
            <v>polygon</v>
          </cell>
          <cell r="T847">
            <v>1</v>
          </cell>
          <cell r="U847" t="str">
            <v>NULL</v>
          </cell>
          <cell r="V847" t="str">
            <v>NULL</v>
          </cell>
          <cell r="W847" t="str">
            <v/>
          </cell>
          <cell r="X847">
            <v>0</v>
          </cell>
          <cell r="Y847">
            <v>0</v>
          </cell>
          <cell r="Z847">
            <v>0</v>
          </cell>
          <cell r="AA847">
            <v>0</v>
          </cell>
          <cell r="AB847" t="str">
            <v>anytime</v>
          </cell>
          <cell r="AC847">
            <v>908</v>
          </cell>
          <cell r="AD847">
            <v>6</v>
          </cell>
          <cell r="AE847" t="str">
            <v>everyone</v>
          </cell>
        </row>
        <row r="848">
          <cell r="A848" t="str">
            <v>47011_1</v>
          </cell>
          <cell r="B848">
            <v>3</v>
          </cell>
          <cell r="C848">
            <v>47011</v>
          </cell>
          <cell r="D848" t="str">
            <v>ツンデレ少女にお返しを！</v>
          </cell>
          <cell r="E848" t="str">
            <v>季節イベント</v>
          </cell>
          <cell r="F848">
            <v>1</v>
          </cell>
          <cell r="G848" t="str">
            <v>ja</v>
          </cell>
          <cell r="H848" t="str">
            <v>ツンデレ少女にお返しを！</v>
          </cell>
          <cell r="I848" t="str">
            <v>地獄級</v>
          </cell>
          <cell r="J848">
            <v>1351</v>
          </cell>
          <cell r="K848">
            <v>1</v>
          </cell>
          <cell r="L848">
            <v>0</v>
          </cell>
          <cell r="M848">
            <v>1</v>
          </cell>
          <cell r="N848">
            <v>1</v>
          </cell>
          <cell r="O848">
            <v>1</v>
          </cell>
          <cell r="P848">
            <v>1</v>
          </cell>
          <cell r="Q848">
            <v>1</v>
          </cell>
          <cell r="R848">
            <v>3</v>
          </cell>
          <cell r="S848" t="str">
            <v>polygon</v>
          </cell>
          <cell r="T848">
            <v>1</v>
          </cell>
          <cell r="U848" t="str">
            <v>NULL</v>
          </cell>
          <cell r="V848" t="str">
            <v>NULL</v>
          </cell>
          <cell r="W848" t="str">
            <v/>
          </cell>
          <cell r="X848">
            <v>0</v>
          </cell>
          <cell r="Y848">
            <v>0</v>
          </cell>
          <cell r="Z848">
            <v>0</v>
          </cell>
          <cell r="AA848">
            <v>0</v>
          </cell>
          <cell r="AB848" t="str">
            <v>anytime</v>
          </cell>
          <cell r="AC848">
            <v>926</v>
          </cell>
          <cell r="AD848">
            <v>6</v>
          </cell>
          <cell r="AE848" t="str">
            <v>singleonly</v>
          </cell>
        </row>
        <row r="849">
          <cell r="A849" t="str">
            <v>48001_1</v>
          </cell>
          <cell r="B849">
            <v>1</v>
          </cell>
          <cell r="C849">
            <v>48001</v>
          </cell>
          <cell r="D849" t="str">
            <v>蛟龍襲来！</v>
          </cell>
          <cell r="E849" t="str">
            <v>台湾版降臨1</v>
          </cell>
          <cell r="F849">
            <v>1</v>
          </cell>
          <cell r="G849" t="str">
            <v>ja</v>
          </cell>
          <cell r="H849" t="str">
            <v>【ウィザード級】蛟龍襲来</v>
          </cell>
          <cell r="I849" t="str">
            <v>地獄級</v>
          </cell>
          <cell r="J849">
            <v>8003</v>
          </cell>
          <cell r="K849">
            <v>35</v>
          </cell>
          <cell r="L849">
            <v>4200</v>
          </cell>
          <cell r="M849">
            <v>1</v>
          </cell>
          <cell r="N849">
            <v>1</v>
          </cell>
          <cell r="O849">
            <v>1</v>
          </cell>
          <cell r="P849">
            <v>1</v>
          </cell>
          <cell r="Q849">
            <v>1</v>
          </cell>
          <cell r="R849">
            <v>3</v>
          </cell>
          <cell r="S849" t="str">
            <v>character</v>
          </cell>
          <cell r="T849">
            <v>8003</v>
          </cell>
          <cell r="U849" t="str">
            <v>NULL</v>
          </cell>
          <cell r="V849" t="str">
            <v>NULL</v>
          </cell>
          <cell r="W849" t="str">
            <v/>
          </cell>
          <cell r="X849">
            <v>0</v>
          </cell>
          <cell r="Y849">
            <v>0</v>
          </cell>
          <cell r="Z849">
            <v>0</v>
          </cell>
          <cell r="AA849">
            <v>0</v>
          </cell>
          <cell r="AB849" t="str">
            <v>anytime</v>
          </cell>
          <cell r="AC849">
            <v>930</v>
          </cell>
          <cell r="AD849">
            <v>6</v>
          </cell>
          <cell r="AE849" t="str">
            <v>everyone</v>
          </cell>
        </row>
        <row r="850">
          <cell r="A850" t="str">
            <v>48002_1</v>
          </cell>
          <cell r="B850">
            <v>1</v>
          </cell>
          <cell r="C850">
            <v>48002</v>
          </cell>
          <cell r="D850" t="str">
            <v>孫悟空襲来！</v>
          </cell>
          <cell r="E850" t="str">
            <v>台湾版降臨2</v>
          </cell>
          <cell r="F850">
            <v>1</v>
          </cell>
          <cell r="G850" t="str">
            <v>ja</v>
          </cell>
          <cell r="H850" t="str">
            <v>【超絶級】孫悟空襲来</v>
          </cell>
          <cell r="I850" t="str">
            <v>地獄級</v>
          </cell>
          <cell r="J850">
            <v>8007</v>
          </cell>
          <cell r="K850">
            <v>35</v>
          </cell>
          <cell r="L850">
            <v>4200</v>
          </cell>
          <cell r="M850">
            <v>1</v>
          </cell>
          <cell r="N850">
            <v>1</v>
          </cell>
          <cell r="O850">
            <v>1</v>
          </cell>
          <cell r="P850">
            <v>1</v>
          </cell>
          <cell r="Q850">
            <v>1</v>
          </cell>
          <cell r="R850">
            <v>3</v>
          </cell>
          <cell r="S850" t="str">
            <v>polygon</v>
          </cell>
          <cell r="T850">
            <v>1</v>
          </cell>
          <cell r="U850" t="str">
            <v>NULL</v>
          </cell>
          <cell r="V850" t="str">
            <v>NULL</v>
          </cell>
          <cell r="W850" t="str">
            <v/>
          </cell>
          <cell r="X850">
            <v>0</v>
          </cell>
          <cell r="Y850">
            <v>0</v>
          </cell>
          <cell r="Z850">
            <v>0</v>
          </cell>
          <cell r="AA850">
            <v>0</v>
          </cell>
          <cell r="AB850" t="str">
            <v>anytime</v>
          </cell>
          <cell r="AC850">
            <v>927</v>
          </cell>
          <cell r="AD850">
            <v>6</v>
          </cell>
          <cell r="AE850" t="str">
            <v>everyone</v>
          </cell>
        </row>
        <row r="851">
          <cell r="A851" t="str">
            <v>48002_2</v>
          </cell>
          <cell r="B851">
            <v>1</v>
          </cell>
          <cell r="C851">
            <v>48002</v>
          </cell>
          <cell r="D851" t="str">
            <v>孫悟空襲来！</v>
          </cell>
          <cell r="E851" t="str">
            <v>台湾版降臨2</v>
          </cell>
          <cell r="F851">
            <v>2</v>
          </cell>
          <cell r="G851" t="str">
            <v>ja</v>
          </cell>
          <cell r="H851" t="str">
            <v>【ウィザード級】孫悟空襲来</v>
          </cell>
          <cell r="I851" t="str">
            <v>地獄級</v>
          </cell>
          <cell r="J851">
            <v>8007</v>
          </cell>
          <cell r="K851">
            <v>40</v>
          </cell>
          <cell r="L851">
            <v>4500</v>
          </cell>
          <cell r="M851">
            <v>1</v>
          </cell>
          <cell r="N851">
            <v>1</v>
          </cell>
          <cell r="O851">
            <v>1</v>
          </cell>
          <cell r="P851">
            <v>1</v>
          </cell>
          <cell r="Q851">
            <v>1</v>
          </cell>
          <cell r="R851">
            <v>3</v>
          </cell>
          <cell r="S851" t="str">
            <v>polygon</v>
          </cell>
          <cell r="T851">
            <v>1</v>
          </cell>
          <cell r="U851" t="str">
            <v>NULL</v>
          </cell>
          <cell r="V851" t="str">
            <v>NULL</v>
          </cell>
          <cell r="W851" t="str">
            <v/>
          </cell>
          <cell r="X851">
            <v>0</v>
          </cell>
          <cell r="Y851">
            <v>0</v>
          </cell>
          <cell r="Z851">
            <v>0</v>
          </cell>
          <cell r="AA851">
            <v>0</v>
          </cell>
          <cell r="AB851" t="str">
            <v>anytime</v>
          </cell>
          <cell r="AC851">
            <v>927</v>
          </cell>
          <cell r="AD851">
            <v>6</v>
          </cell>
          <cell r="AE851" t="str">
            <v>everyone</v>
          </cell>
        </row>
        <row r="852">
          <cell r="A852" t="str">
            <v>48002_3</v>
          </cell>
          <cell r="B852">
            <v>1</v>
          </cell>
          <cell r="C852">
            <v>48002</v>
          </cell>
          <cell r="D852" t="str">
            <v>孫悟空襲来！</v>
          </cell>
          <cell r="E852" t="str">
            <v>台湾版降臨2</v>
          </cell>
          <cell r="F852">
            <v>3</v>
          </cell>
          <cell r="G852" t="str">
            <v>ja</v>
          </cell>
          <cell r="H852" t="str">
            <v>【ノーコンテニュー】孫悟空襲来</v>
          </cell>
          <cell r="I852" t="str">
            <v>地獄級</v>
          </cell>
          <cell r="J852">
            <v>8007</v>
          </cell>
          <cell r="K852">
            <v>40</v>
          </cell>
          <cell r="L852">
            <v>4500</v>
          </cell>
          <cell r="M852">
            <v>1</v>
          </cell>
          <cell r="N852">
            <v>1</v>
          </cell>
          <cell r="O852">
            <v>1</v>
          </cell>
          <cell r="P852">
            <v>1</v>
          </cell>
          <cell r="Q852">
            <v>1</v>
          </cell>
          <cell r="R852">
            <v>3</v>
          </cell>
          <cell r="S852" t="str">
            <v>character</v>
          </cell>
          <cell r="T852">
            <v>8007</v>
          </cell>
          <cell r="U852" t="str">
            <v>NULL</v>
          </cell>
          <cell r="V852" t="str">
            <v>NULL</v>
          </cell>
          <cell r="W852" t="str">
            <v/>
          </cell>
          <cell r="X852">
            <v>0</v>
          </cell>
          <cell r="Y852">
            <v>0</v>
          </cell>
          <cell r="Z852">
            <v>0</v>
          </cell>
          <cell r="AA852">
            <v>0</v>
          </cell>
          <cell r="AB852" t="str">
            <v>anytime</v>
          </cell>
          <cell r="AC852">
            <v>927</v>
          </cell>
          <cell r="AD852">
            <v>6</v>
          </cell>
          <cell r="AE852" t="str">
            <v>everyone</v>
          </cell>
        </row>
        <row r="853">
          <cell r="A853" t="str">
            <v>48003_1</v>
          </cell>
          <cell r="B853">
            <v>3</v>
          </cell>
          <cell r="C853">
            <v>48003</v>
          </cell>
          <cell r="D853" t="str">
            <v>月下老人襲来！</v>
          </cell>
          <cell r="E853" t="str">
            <v>台湾版降臨4</v>
          </cell>
          <cell r="F853">
            <v>1</v>
          </cell>
          <cell r="G853" t="str">
            <v>ja</v>
          </cell>
          <cell r="H853" t="str">
            <v>【超絶級】月下老人襲来</v>
          </cell>
          <cell r="I853" t="str">
            <v>超絶級</v>
          </cell>
          <cell r="J853">
            <v>8012</v>
          </cell>
          <cell r="K853">
            <v>35</v>
          </cell>
          <cell r="L853">
            <v>4200</v>
          </cell>
          <cell r="M853">
            <v>1</v>
          </cell>
          <cell r="N853">
            <v>1</v>
          </cell>
          <cell r="O853">
            <v>1</v>
          </cell>
          <cell r="P853">
            <v>1</v>
          </cell>
          <cell r="Q853">
            <v>1</v>
          </cell>
          <cell r="R853">
            <v>3</v>
          </cell>
          <cell r="S853" t="str">
            <v>polygon</v>
          </cell>
          <cell r="T853">
            <v>1</v>
          </cell>
          <cell r="U853" t="str">
            <v>NULL</v>
          </cell>
          <cell r="V853" t="str">
            <v>NULL</v>
          </cell>
          <cell r="W853" t="str">
            <v/>
          </cell>
          <cell r="X853">
            <v>0</v>
          </cell>
          <cell r="Y853">
            <v>0</v>
          </cell>
          <cell r="Z853">
            <v>0</v>
          </cell>
          <cell r="AA853">
            <v>0</v>
          </cell>
          <cell r="AB853" t="str">
            <v>anytime</v>
          </cell>
          <cell r="AC853">
            <v>942</v>
          </cell>
          <cell r="AD853">
            <v>6</v>
          </cell>
          <cell r="AE853" t="str">
            <v>everyone</v>
          </cell>
        </row>
        <row r="854">
          <cell r="A854" t="str">
            <v>48003_2</v>
          </cell>
          <cell r="B854">
            <v>3</v>
          </cell>
          <cell r="C854">
            <v>48003</v>
          </cell>
          <cell r="D854" t="str">
            <v>月下老人襲来！</v>
          </cell>
          <cell r="E854" t="str">
            <v>台湾版降臨4</v>
          </cell>
          <cell r="F854">
            <v>2</v>
          </cell>
          <cell r="G854" t="str">
            <v>ja</v>
          </cell>
          <cell r="H854" t="str">
            <v>【ウィザード級】月下老人襲来</v>
          </cell>
          <cell r="I854" t="str">
            <v>地獄級</v>
          </cell>
          <cell r="J854">
            <v>8012</v>
          </cell>
          <cell r="K854">
            <v>40</v>
          </cell>
          <cell r="L854">
            <v>4500</v>
          </cell>
          <cell r="M854">
            <v>1</v>
          </cell>
          <cell r="N854">
            <v>1</v>
          </cell>
          <cell r="O854">
            <v>1</v>
          </cell>
          <cell r="P854">
            <v>1</v>
          </cell>
          <cell r="Q854">
            <v>1</v>
          </cell>
          <cell r="R854">
            <v>3</v>
          </cell>
          <cell r="S854" t="str">
            <v>polygon</v>
          </cell>
          <cell r="T854">
            <v>1</v>
          </cell>
          <cell r="U854" t="str">
            <v>NULL</v>
          </cell>
          <cell r="V854" t="str">
            <v>NULL</v>
          </cell>
          <cell r="W854" t="str">
            <v/>
          </cell>
          <cell r="X854">
            <v>0</v>
          </cell>
          <cell r="Y854">
            <v>0</v>
          </cell>
          <cell r="Z854">
            <v>0</v>
          </cell>
          <cell r="AA854">
            <v>0</v>
          </cell>
          <cell r="AB854" t="str">
            <v>anytime</v>
          </cell>
          <cell r="AC854">
            <v>942</v>
          </cell>
          <cell r="AD854">
            <v>6</v>
          </cell>
          <cell r="AE854" t="str">
            <v>everyone</v>
          </cell>
        </row>
        <row r="855">
          <cell r="A855" t="str">
            <v>48004_1</v>
          </cell>
          <cell r="B855">
            <v>3</v>
          </cell>
          <cell r="C855">
            <v>48004</v>
          </cell>
          <cell r="D855" t="str">
            <v>蛟龍襲来！</v>
          </cell>
          <cell r="E855" t="str">
            <v>台湾版降臨5</v>
          </cell>
          <cell r="F855">
            <v>1</v>
          </cell>
          <cell r="G855" t="str">
            <v>ja</v>
          </cell>
          <cell r="H855" t="str">
            <v>【超絶級】蛟龍襲来</v>
          </cell>
          <cell r="I855" t="str">
            <v>地獄級</v>
          </cell>
          <cell r="J855">
            <v>8003</v>
          </cell>
          <cell r="K855">
            <v>35</v>
          </cell>
          <cell r="L855">
            <v>4200</v>
          </cell>
          <cell r="M855">
            <v>1</v>
          </cell>
          <cell r="N855">
            <v>1</v>
          </cell>
          <cell r="O855">
            <v>1</v>
          </cell>
          <cell r="P855">
            <v>1</v>
          </cell>
          <cell r="Q855">
            <v>1</v>
          </cell>
          <cell r="R855">
            <v>3</v>
          </cell>
          <cell r="S855" t="str">
            <v>polygon</v>
          </cell>
          <cell r="T855">
            <v>1</v>
          </cell>
          <cell r="U855" t="str">
            <v>NULL</v>
          </cell>
          <cell r="V855" t="str">
            <v>NULL</v>
          </cell>
          <cell r="W855" t="str">
            <v/>
          </cell>
          <cell r="X855">
            <v>0</v>
          </cell>
          <cell r="Y855">
            <v>0</v>
          </cell>
          <cell r="Z855">
            <v>0</v>
          </cell>
          <cell r="AA855">
            <v>0</v>
          </cell>
          <cell r="AB855" t="str">
            <v>anytime</v>
          </cell>
          <cell r="AC855">
            <v>930</v>
          </cell>
          <cell r="AD855">
            <v>6</v>
          </cell>
          <cell r="AE855" t="str">
            <v>everyone</v>
          </cell>
        </row>
        <row r="856">
          <cell r="A856" t="str">
            <v>48004_2</v>
          </cell>
          <cell r="B856">
            <v>3</v>
          </cell>
          <cell r="C856">
            <v>48004</v>
          </cell>
          <cell r="D856" t="str">
            <v>蛟龍襲来！</v>
          </cell>
          <cell r="E856" t="str">
            <v>台湾版降臨5</v>
          </cell>
          <cell r="F856">
            <v>2</v>
          </cell>
          <cell r="G856" t="str">
            <v>ja</v>
          </cell>
          <cell r="H856" t="str">
            <v>【ウィザード級】蛟龍襲来</v>
          </cell>
          <cell r="I856" t="str">
            <v>地獄級</v>
          </cell>
          <cell r="J856">
            <v>8004</v>
          </cell>
          <cell r="K856">
            <v>40</v>
          </cell>
          <cell r="L856">
            <v>4500</v>
          </cell>
          <cell r="M856">
            <v>1</v>
          </cell>
          <cell r="N856">
            <v>1</v>
          </cell>
          <cell r="O856">
            <v>1</v>
          </cell>
          <cell r="P856">
            <v>1</v>
          </cell>
          <cell r="Q856">
            <v>1</v>
          </cell>
          <cell r="R856">
            <v>3</v>
          </cell>
          <cell r="S856" t="str">
            <v>polygon</v>
          </cell>
          <cell r="T856">
            <v>1</v>
          </cell>
          <cell r="U856" t="str">
            <v>NULL</v>
          </cell>
          <cell r="V856" t="str">
            <v>NULL</v>
          </cell>
          <cell r="W856" t="str">
            <v/>
          </cell>
          <cell r="X856">
            <v>0</v>
          </cell>
          <cell r="Y856">
            <v>0</v>
          </cell>
          <cell r="Z856">
            <v>0</v>
          </cell>
          <cell r="AA856">
            <v>0</v>
          </cell>
          <cell r="AB856" t="str">
            <v>anytime</v>
          </cell>
          <cell r="AC856">
            <v>930</v>
          </cell>
          <cell r="AD856">
            <v>6</v>
          </cell>
          <cell r="AE856" t="str">
            <v>everyone</v>
          </cell>
        </row>
        <row r="857">
          <cell r="A857" t="str">
            <v>48005_1</v>
          </cell>
          <cell r="B857">
            <v>3</v>
          </cell>
          <cell r="C857">
            <v>48005</v>
          </cell>
          <cell r="D857" t="str">
            <v>孫悟空襲来！</v>
          </cell>
          <cell r="E857" t="str">
            <v>台湾版降臨6</v>
          </cell>
          <cell r="F857">
            <v>1</v>
          </cell>
          <cell r="G857" t="str">
            <v>ja</v>
          </cell>
          <cell r="H857" t="str">
            <v>【超絶級】孫悟空襲来</v>
          </cell>
          <cell r="I857" t="str">
            <v>地獄級</v>
          </cell>
          <cell r="J857">
            <v>8007</v>
          </cell>
          <cell r="K857">
            <v>35</v>
          </cell>
          <cell r="L857">
            <v>4200</v>
          </cell>
          <cell r="M857">
            <v>1</v>
          </cell>
          <cell r="N857">
            <v>1</v>
          </cell>
          <cell r="O857">
            <v>1</v>
          </cell>
          <cell r="P857">
            <v>1</v>
          </cell>
          <cell r="Q857">
            <v>1</v>
          </cell>
          <cell r="R857">
            <v>3</v>
          </cell>
          <cell r="S857" t="str">
            <v>polygon</v>
          </cell>
          <cell r="T857">
            <v>1</v>
          </cell>
          <cell r="U857" t="str">
            <v>NULL</v>
          </cell>
          <cell r="V857" t="str">
            <v>NULL</v>
          </cell>
          <cell r="W857" t="str">
            <v/>
          </cell>
          <cell r="X857">
            <v>0</v>
          </cell>
          <cell r="Y857">
            <v>0</v>
          </cell>
          <cell r="Z857">
            <v>0</v>
          </cell>
          <cell r="AA857">
            <v>0</v>
          </cell>
          <cell r="AB857" t="str">
            <v>anytime</v>
          </cell>
          <cell r="AC857">
            <v>932</v>
          </cell>
          <cell r="AD857">
            <v>6</v>
          </cell>
          <cell r="AE857" t="str">
            <v>everyone</v>
          </cell>
        </row>
        <row r="858">
          <cell r="A858" t="str">
            <v>48005_2</v>
          </cell>
          <cell r="B858">
            <v>3</v>
          </cell>
          <cell r="C858">
            <v>48005</v>
          </cell>
          <cell r="D858" t="str">
            <v>孫悟空襲来！</v>
          </cell>
          <cell r="E858" t="str">
            <v>台湾版降臨6</v>
          </cell>
          <cell r="F858">
            <v>2</v>
          </cell>
          <cell r="G858" t="str">
            <v>ja</v>
          </cell>
          <cell r="H858" t="str">
            <v>【ウィザード級】孫悟空襲来</v>
          </cell>
          <cell r="I858" t="str">
            <v>地獄級</v>
          </cell>
          <cell r="J858">
            <v>8008</v>
          </cell>
          <cell r="K858">
            <v>40</v>
          </cell>
          <cell r="L858">
            <v>4500</v>
          </cell>
          <cell r="M858">
            <v>1</v>
          </cell>
          <cell r="N858">
            <v>1</v>
          </cell>
          <cell r="O858">
            <v>1</v>
          </cell>
          <cell r="P858">
            <v>1</v>
          </cell>
          <cell r="Q858">
            <v>1</v>
          </cell>
          <cell r="R858">
            <v>3</v>
          </cell>
          <cell r="S858" t="str">
            <v>polygon</v>
          </cell>
          <cell r="T858">
            <v>1</v>
          </cell>
          <cell r="U858" t="str">
            <v>NULL</v>
          </cell>
          <cell r="V858" t="str">
            <v>NULL</v>
          </cell>
          <cell r="W858" t="str">
            <v/>
          </cell>
          <cell r="X858">
            <v>0</v>
          </cell>
          <cell r="Y858">
            <v>0</v>
          </cell>
          <cell r="Z858">
            <v>0</v>
          </cell>
          <cell r="AA858">
            <v>0</v>
          </cell>
          <cell r="AB858" t="str">
            <v>anytime</v>
          </cell>
          <cell r="AC858">
            <v>932</v>
          </cell>
          <cell r="AD858">
            <v>6</v>
          </cell>
          <cell r="AE858" t="str">
            <v>everyone</v>
          </cell>
        </row>
        <row r="859">
          <cell r="A859" t="str">
            <v>48006_1</v>
          </cell>
          <cell r="B859">
            <v>3</v>
          </cell>
          <cell r="C859">
            <v>48006</v>
          </cell>
          <cell r="D859" t="str">
            <v>牛頭馬面襲来！</v>
          </cell>
          <cell r="E859" t="str">
            <v>台湾版降臨7</v>
          </cell>
          <cell r="F859">
            <v>1</v>
          </cell>
          <cell r="G859" t="str">
            <v>ja</v>
          </cell>
          <cell r="H859" t="str">
            <v>【超絶級】牛頭馬面襲来</v>
          </cell>
          <cell r="I859" t="str">
            <v>地獄級</v>
          </cell>
          <cell r="J859">
            <v>8033</v>
          </cell>
          <cell r="K859">
            <v>35</v>
          </cell>
          <cell r="L859">
            <v>4200</v>
          </cell>
          <cell r="M859">
            <v>1</v>
          </cell>
          <cell r="N859">
            <v>1</v>
          </cell>
          <cell r="O859">
            <v>1</v>
          </cell>
          <cell r="P859">
            <v>1</v>
          </cell>
          <cell r="Q859">
            <v>0</v>
          </cell>
          <cell r="R859">
            <v>3</v>
          </cell>
          <cell r="S859" t="str">
            <v>polygon</v>
          </cell>
          <cell r="T859">
            <v>1</v>
          </cell>
          <cell r="U859" t="str">
            <v>NULL</v>
          </cell>
          <cell r="V859" t="str">
            <v>NULL</v>
          </cell>
          <cell r="W859" t="str">
            <v/>
          </cell>
          <cell r="X859">
            <v>0</v>
          </cell>
          <cell r="Y859">
            <v>0</v>
          </cell>
          <cell r="Z859">
            <v>0</v>
          </cell>
          <cell r="AA859">
            <v>0</v>
          </cell>
          <cell r="AB859" t="str">
            <v>anytime</v>
          </cell>
          <cell r="AC859">
            <v>946</v>
          </cell>
          <cell r="AD859">
            <v>6</v>
          </cell>
          <cell r="AE859" t="str">
            <v>everyone</v>
          </cell>
        </row>
        <row r="860">
          <cell r="A860" t="str">
            <v>48006_2</v>
          </cell>
          <cell r="B860">
            <v>3</v>
          </cell>
          <cell r="C860">
            <v>48006</v>
          </cell>
          <cell r="D860" t="str">
            <v>牛頭馬面襲来！</v>
          </cell>
          <cell r="E860" t="str">
            <v>台湾版降臨7</v>
          </cell>
          <cell r="F860">
            <v>2</v>
          </cell>
          <cell r="G860" t="str">
            <v>ja</v>
          </cell>
          <cell r="H860" t="str">
            <v>【ウィザード級】牛頭馬面襲来</v>
          </cell>
          <cell r="I860" t="str">
            <v>地獄級</v>
          </cell>
          <cell r="J860">
            <v>8034</v>
          </cell>
          <cell r="K860">
            <v>40</v>
          </cell>
          <cell r="L860">
            <v>4500</v>
          </cell>
          <cell r="M860">
            <v>1</v>
          </cell>
          <cell r="N860">
            <v>1</v>
          </cell>
          <cell r="O860">
            <v>1</v>
          </cell>
          <cell r="P860">
            <v>1</v>
          </cell>
          <cell r="Q860">
            <v>0</v>
          </cell>
          <cell r="R860">
            <v>3</v>
          </cell>
          <cell r="S860" t="str">
            <v>polygon</v>
          </cell>
          <cell r="T860">
            <v>1</v>
          </cell>
          <cell r="U860" t="str">
            <v>NULL</v>
          </cell>
          <cell r="V860" t="str">
            <v>NULL</v>
          </cell>
          <cell r="W860" t="str">
            <v/>
          </cell>
          <cell r="X860">
            <v>0</v>
          </cell>
          <cell r="Y860">
            <v>0</v>
          </cell>
          <cell r="Z860">
            <v>0</v>
          </cell>
          <cell r="AA860">
            <v>0</v>
          </cell>
          <cell r="AB860" t="str">
            <v>anytime</v>
          </cell>
          <cell r="AC860">
            <v>946</v>
          </cell>
          <cell r="AD860">
            <v>6</v>
          </cell>
          <cell r="AE860" t="str">
            <v>everyone</v>
          </cell>
        </row>
        <row r="861">
          <cell r="A861" t="str">
            <v>48007_1</v>
          </cell>
          <cell r="B861">
            <v>1</v>
          </cell>
          <cell r="C861">
            <v>48007</v>
          </cell>
          <cell r="D861" t="str">
            <v>紅鬼襲来！</v>
          </cell>
          <cell r="E861" t="str">
            <v>台湾版降臨8</v>
          </cell>
          <cell r="F861">
            <v>1</v>
          </cell>
          <cell r="G861" t="str">
            <v>ja</v>
          </cell>
          <cell r="H861" t="str">
            <v>【超絶級】紅鬼襲来</v>
          </cell>
          <cell r="I861" t="str">
            <v>地獄級</v>
          </cell>
          <cell r="J861">
            <v>8079</v>
          </cell>
          <cell r="K861">
            <v>35</v>
          </cell>
          <cell r="L861">
            <v>4200</v>
          </cell>
          <cell r="M861">
            <v>1</v>
          </cell>
          <cell r="N861">
            <v>1</v>
          </cell>
          <cell r="O861">
            <v>1</v>
          </cell>
          <cell r="P861">
            <v>1</v>
          </cell>
          <cell r="Q861">
            <v>1</v>
          </cell>
          <cell r="R861">
            <v>3</v>
          </cell>
          <cell r="S861" t="str">
            <v>polygon</v>
          </cell>
          <cell r="T861">
            <v>1</v>
          </cell>
          <cell r="U861" t="str">
            <v>NULL</v>
          </cell>
          <cell r="V861" t="str">
            <v>NULL</v>
          </cell>
          <cell r="W861" t="str">
            <v/>
          </cell>
          <cell r="X861">
            <v>0</v>
          </cell>
          <cell r="Y861">
            <v>0</v>
          </cell>
          <cell r="Z861">
            <v>0</v>
          </cell>
          <cell r="AA861">
            <v>0</v>
          </cell>
          <cell r="AB861" t="str">
            <v>anytime</v>
          </cell>
          <cell r="AC861">
            <v>931</v>
          </cell>
          <cell r="AD861">
            <v>6</v>
          </cell>
          <cell r="AE861" t="str">
            <v>everyone</v>
          </cell>
        </row>
        <row r="862">
          <cell r="A862" t="str">
            <v>48007_2</v>
          </cell>
          <cell r="B862">
            <v>1</v>
          </cell>
          <cell r="C862">
            <v>48007</v>
          </cell>
          <cell r="D862" t="str">
            <v>紅鬼襲来！</v>
          </cell>
          <cell r="E862" t="str">
            <v>台湾版降臨8</v>
          </cell>
          <cell r="F862">
            <v>2</v>
          </cell>
          <cell r="G862" t="str">
            <v>ja</v>
          </cell>
          <cell r="H862" t="str">
            <v>【ウィザード級】紅鬼襲来</v>
          </cell>
          <cell r="I862" t="str">
            <v>地獄級</v>
          </cell>
          <cell r="J862">
            <v>8080</v>
          </cell>
          <cell r="K862">
            <v>40</v>
          </cell>
          <cell r="L862">
            <v>4500</v>
          </cell>
          <cell r="M862">
            <v>1</v>
          </cell>
          <cell r="N862">
            <v>1</v>
          </cell>
          <cell r="O862">
            <v>1</v>
          </cell>
          <cell r="P862">
            <v>1</v>
          </cell>
          <cell r="Q862">
            <v>1</v>
          </cell>
          <cell r="R862">
            <v>3</v>
          </cell>
          <cell r="S862" t="str">
            <v>polygon</v>
          </cell>
          <cell r="T862">
            <v>1</v>
          </cell>
          <cell r="U862" t="str">
            <v>NULL</v>
          </cell>
          <cell r="V862" t="str">
            <v>NULL</v>
          </cell>
          <cell r="W862" t="str">
            <v/>
          </cell>
          <cell r="X862">
            <v>0</v>
          </cell>
          <cell r="Y862">
            <v>0</v>
          </cell>
          <cell r="Z862">
            <v>0</v>
          </cell>
          <cell r="AA862">
            <v>0</v>
          </cell>
          <cell r="AB862" t="str">
            <v>anytime</v>
          </cell>
          <cell r="AC862">
            <v>931</v>
          </cell>
          <cell r="AD862">
            <v>6</v>
          </cell>
          <cell r="AE862" t="str">
            <v>everyone</v>
          </cell>
        </row>
        <row r="863">
          <cell r="A863" t="str">
            <v>48008_1</v>
          </cell>
          <cell r="B863">
            <v>1</v>
          </cell>
          <cell r="C863">
            <v>48008</v>
          </cell>
          <cell r="D863" t="str">
            <v>紀昌襲来！</v>
          </cell>
          <cell r="E863" t="str">
            <v>台湾版降臨9</v>
          </cell>
          <cell r="F863">
            <v>1</v>
          </cell>
          <cell r="G863" t="str">
            <v>ja</v>
          </cell>
          <cell r="H863" t="str">
            <v>【超絶級】紀昌襲来</v>
          </cell>
          <cell r="I863" t="str">
            <v>地獄級</v>
          </cell>
          <cell r="J863">
            <v>8037</v>
          </cell>
          <cell r="K863">
            <v>35</v>
          </cell>
          <cell r="L863">
            <v>4200</v>
          </cell>
          <cell r="M863">
            <v>1</v>
          </cell>
          <cell r="N863">
            <v>1</v>
          </cell>
          <cell r="O863">
            <v>1</v>
          </cell>
          <cell r="P863">
            <v>1</v>
          </cell>
          <cell r="Q863">
            <v>1</v>
          </cell>
          <cell r="R863">
            <v>3</v>
          </cell>
          <cell r="S863" t="str">
            <v>polygon</v>
          </cell>
          <cell r="T863">
            <v>1</v>
          </cell>
          <cell r="U863" t="str">
            <v>NULL</v>
          </cell>
          <cell r="V863" t="str">
            <v>NULL</v>
          </cell>
          <cell r="W863" t="str">
            <v/>
          </cell>
          <cell r="X863">
            <v>0</v>
          </cell>
          <cell r="Y863">
            <v>0</v>
          </cell>
          <cell r="Z863">
            <v>0</v>
          </cell>
          <cell r="AA863">
            <v>0</v>
          </cell>
          <cell r="AB863" t="str">
            <v>anytime</v>
          </cell>
          <cell r="AC863">
            <v>948</v>
          </cell>
          <cell r="AD863">
            <v>6</v>
          </cell>
          <cell r="AE863" t="str">
            <v>everyone</v>
          </cell>
        </row>
        <row r="864">
          <cell r="A864" t="str">
            <v>48008_2</v>
          </cell>
          <cell r="B864">
            <v>1</v>
          </cell>
          <cell r="C864">
            <v>48008</v>
          </cell>
          <cell r="D864" t="str">
            <v>紀昌襲来！</v>
          </cell>
          <cell r="E864" t="str">
            <v>台湾版降臨9</v>
          </cell>
          <cell r="F864">
            <v>2</v>
          </cell>
          <cell r="G864" t="str">
            <v>ja</v>
          </cell>
          <cell r="H864" t="str">
            <v>【ウィザード級】紀昌襲来</v>
          </cell>
          <cell r="I864" t="str">
            <v>地獄級</v>
          </cell>
          <cell r="J864">
            <v>8038</v>
          </cell>
          <cell r="K864">
            <v>40</v>
          </cell>
          <cell r="L864">
            <v>4500</v>
          </cell>
          <cell r="M864">
            <v>1</v>
          </cell>
          <cell r="N864">
            <v>1</v>
          </cell>
          <cell r="O864">
            <v>1</v>
          </cell>
          <cell r="P864">
            <v>1</v>
          </cell>
          <cell r="Q864">
            <v>1</v>
          </cell>
          <cell r="R864">
            <v>3</v>
          </cell>
          <cell r="S864" t="str">
            <v>polygon</v>
          </cell>
          <cell r="T864">
            <v>1</v>
          </cell>
          <cell r="U864" t="str">
            <v>NULL</v>
          </cell>
          <cell r="V864" t="str">
            <v>NULL</v>
          </cell>
          <cell r="W864" t="str">
            <v/>
          </cell>
          <cell r="X864">
            <v>0</v>
          </cell>
          <cell r="Y864">
            <v>0</v>
          </cell>
          <cell r="Z864">
            <v>0</v>
          </cell>
          <cell r="AA864">
            <v>0</v>
          </cell>
          <cell r="AB864" t="str">
            <v>anytime</v>
          </cell>
          <cell r="AC864">
            <v>948</v>
          </cell>
          <cell r="AD864">
            <v>6</v>
          </cell>
          <cell r="AE864" t="str">
            <v>everyone</v>
          </cell>
        </row>
        <row r="865">
          <cell r="A865" t="str">
            <v>48009_1</v>
          </cell>
          <cell r="B865">
            <v>1</v>
          </cell>
          <cell r="C865">
            <v>48009</v>
          </cell>
          <cell r="D865" t="str">
            <v>藍采和襲来！</v>
          </cell>
          <cell r="E865" t="str">
            <v>台湾版降臨10</v>
          </cell>
          <cell r="F865">
            <v>1</v>
          </cell>
          <cell r="G865" t="str">
            <v>ja</v>
          </cell>
          <cell r="H865" t="str">
            <v>【超絶級】藍采和襲来</v>
          </cell>
          <cell r="I865" t="str">
            <v>地獄級</v>
          </cell>
          <cell r="J865">
            <v>8042</v>
          </cell>
          <cell r="K865">
            <v>35</v>
          </cell>
          <cell r="L865">
            <v>4200</v>
          </cell>
          <cell r="M865">
            <v>1</v>
          </cell>
          <cell r="N865">
            <v>1</v>
          </cell>
          <cell r="O865">
            <v>1</v>
          </cell>
          <cell r="P865">
            <v>1</v>
          </cell>
          <cell r="Q865">
            <v>1</v>
          </cell>
          <cell r="R865">
            <v>3</v>
          </cell>
          <cell r="S865" t="str">
            <v>polygon</v>
          </cell>
          <cell r="T865">
            <v>1</v>
          </cell>
          <cell r="U865" t="str">
            <v>NULL</v>
          </cell>
          <cell r="V865" t="str">
            <v>NULL</v>
          </cell>
          <cell r="W865" t="str">
            <v/>
          </cell>
          <cell r="X865">
            <v>0</v>
          </cell>
          <cell r="Y865">
            <v>0</v>
          </cell>
          <cell r="Z865">
            <v>0</v>
          </cell>
          <cell r="AA865">
            <v>0</v>
          </cell>
          <cell r="AB865" t="str">
            <v>anytime</v>
          </cell>
          <cell r="AC865">
            <v>953</v>
          </cell>
          <cell r="AD865">
            <v>6</v>
          </cell>
          <cell r="AE865" t="str">
            <v>everyone</v>
          </cell>
        </row>
        <row r="866">
          <cell r="A866" t="str">
            <v>48009_2</v>
          </cell>
          <cell r="B866">
            <v>1</v>
          </cell>
          <cell r="C866">
            <v>48009</v>
          </cell>
          <cell r="D866" t="str">
            <v>藍采和襲来！</v>
          </cell>
          <cell r="E866" t="str">
            <v>台湾版降臨10</v>
          </cell>
          <cell r="F866">
            <v>2</v>
          </cell>
          <cell r="G866" t="str">
            <v>ja</v>
          </cell>
          <cell r="H866" t="str">
            <v>【ウィザード級】藍采和襲来</v>
          </cell>
          <cell r="I866" t="str">
            <v>地獄級</v>
          </cell>
          <cell r="J866">
            <v>8042</v>
          </cell>
          <cell r="K866">
            <v>40</v>
          </cell>
          <cell r="L866">
            <v>4500</v>
          </cell>
          <cell r="M866">
            <v>1</v>
          </cell>
          <cell r="N866">
            <v>1</v>
          </cell>
          <cell r="O866">
            <v>1</v>
          </cell>
          <cell r="P866">
            <v>1</v>
          </cell>
          <cell r="Q866">
            <v>1</v>
          </cell>
          <cell r="R866">
            <v>3</v>
          </cell>
          <cell r="S866" t="str">
            <v>polygon</v>
          </cell>
          <cell r="T866">
            <v>1</v>
          </cell>
          <cell r="U866" t="str">
            <v>NULL</v>
          </cell>
          <cell r="V866" t="str">
            <v>NULL</v>
          </cell>
          <cell r="W866" t="str">
            <v/>
          </cell>
          <cell r="X866">
            <v>0</v>
          </cell>
          <cell r="Y866">
            <v>0</v>
          </cell>
          <cell r="Z866">
            <v>0</v>
          </cell>
          <cell r="AA866">
            <v>0</v>
          </cell>
          <cell r="AB866" t="str">
            <v>anytime</v>
          </cell>
          <cell r="AC866">
            <v>953</v>
          </cell>
          <cell r="AD866">
            <v>6</v>
          </cell>
          <cell r="AE866" t="str">
            <v>everyone</v>
          </cell>
        </row>
        <row r="867">
          <cell r="A867" t="str">
            <v>48010_1</v>
          </cell>
          <cell r="B867">
            <v>1</v>
          </cell>
          <cell r="C867">
            <v>48010</v>
          </cell>
          <cell r="D867" t="str">
            <v>バハムートダックより祝福を</v>
          </cell>
          <cell r="E867" t="str">
            <v>台湾バハムート記念限定クエスト</v>
          </cell>
          <cell r="F867">
            <v>1</v>
          </cell>
          <cell r="G867" t="str">
            <v>ja</v>
          </cell>
          <cell r="H867" t="str">
            <v>バハムートダックより祝福を</v>
          </cell>
          <cell r="I867" t="str">
            <v>台湾バハムート記念限定クエスト</v>
          </cell>
          <cell r="J867">
            <v>8095</v>
          </cell>
          <cell r="K867">
            <v>1</v>
          </cell>
          <cell r="L867">
            <v>200</v>
          </cell>
          <cell r="M867">
            <v>1</v>
          </cell>
          <cell r="N867">
            <v>1</v>
          </cell>
          <cell r="O867">
            <v>1</v>
          </cell>
          <cell r="P867">
            <v>1</v>
          </cell>
          <cell r="Q867">
            <v>1</v>
          </cell>
          <cell r="R867">
            <v>3</v>
          </cell>
          <cell r="S867" t="str">
            <v>polygon</v>
          </cell>
          <cell r="T867">
            <v>1</v>
          </cell>
          <cell r="U867" t="str">
            <v>NULL</v>
          </cell>
          <cell r="V867" t="str">
            <v>NULL</v>
          </cell>
          <cell r="W867" t="str">
            <v/>
          </cell>
          <cell r="X867">
            <v>0</v>
          </cell>
          <cell r="Y867">
            <v>0</v>
          </cell>
          <cell r="Z867">
            <v>0</v>
          </cell>
          <cell r="AA867">
            <v>0</v>
          </cell>
          <cell r="AB867" t="str">
            <v>once</v>
          </cell>
          <cell r="AC867">
            <v>1</v>
          </cell>
          <cell r="AD867">
            <v>6</v>
          </cell>
          <cell r="AE867" t="str">
            <v>singleonly</v>
          </cell>
        </row>
        <row r="868">
          <cell r="A868" t="str">
            <v>48011_1</v>
          </cell>
          <cell r="B868">
            <v>1</v>
          </cell>
          <cell r="C868">
            <v>48011</v>
          </cell>
          <cell r="D868" t="str">
            <v>年獣襲来！</v>
          </cell>
          <cell r="E868" t="str">
            <v>台湾版降臨11</v>
          </cell>
          <cell r="F868">
            <v>1</v>
          </cell>
          <cell r="G868" t="str">
            <v>ja</v>
          </cell>
          <cell r="H868" t="str">
            <v>【超絶級】年獣襲来</v>
          </cell>
          <cell r="I868" t="str">
            <v>地獄級</v>
          </cell>
          <cell r="J868">
            <v>8090</v>
          </cell>
          <cell r="K868">
            <v>35</v>
          </cell>
          <cell r="L868">
            <v>4200</v>
          </cell>
          <cell r="M868">
            <v>1</v>
          </cell>
          <cell r="N868">
            <v>1</v>
          </cell>
          <cell r="O868">
            <v>1</v>
          </cell>
          <cell r="P868">
            <v>1</v>
          </cell>
          <cell r="Q868">
            <v>1</v>
          </cell>
          <cell r="R868">
            <v>3</v>
          </cell>
          <cell r="S868" t="str">
            <v>polygon</v>
          </cell>
          <cell r="T868">
            <v>1</v>
          </cell>
          <cell r="U868" t="str">
            <v>NULL</v>
          </cell>
          <cell r="V868" t="str">
            <v>NULL</v>
          </cell>
          <cell r="W868" t="str">
            <v/>
          </cell>
          <cell r="X868">
            <v>0</v>
          </cell>
          <cell r="Y868">
            <v>0</v>
          </cell>
          <cell r="Z868">
            <v>0</v>
          </cell>
          <cell r="AA868">
            <v>0</v>
          </cell>
          <cell r="AB868" t="str">
            <v>anytime</v>
          </cell>
          <cell r="AC868">
            <v>970</v>
          </cell>
          <cell r="AD868">
            <v>6</v>
          </cell>
          <cell r="AE868" t="str">
            <v>everyone</v>
          </cell>
        </row>
        <row r="869">
          <cell r="A869" t="str">
            <v>48011_2</v>
          </cell>
          <cell r="B869">
            <v>1</v>
          </cell>
          <cell r="C869">
            <v>48011</v>
          </cell>
          <cell r="D869" t="str">
            <v>年獣襲来！</v>
          </cell>
          <cell r="E869" t="str">
            <v>台湾版降臨11</v>
          </cell>
          <cell r="F869">
            <v>2</v>
          </cell>
          <cell r="G869" t="str">
            <v>ja</v>
          </cell>
          <cell r="H869" t="str">
            <v>【ウィザード級】年獣襲来</v>
          </cell>
          <cell r="I869" t="str">
            <v>地獄級</v>
          </cell>
          <cell r="J869">
            <v>8090</v>
          </cell>
          <cell r="K869">
            <v>40</v>
          </cell>
          <cell r="L869">
            <v>4500</v>
          </cell>
          <cell r="M869">
            <v>1</v>
          </cell>
          <cell r="N869">
            <v>1</v>
          </cell>
          <cell r="O869">
            <v>1</v>
          </cell>
          <cell r="P869">
            <v>1</v>
          </cell>
          <cell r="Q869">
            <v>1</v>
          </cell>
          <cell r="R869">
            <v>3</v>
          </cell>
          <cell r="S869" t="str">
            <v>polygon</v>
          </cell>
          <cell r="T869">
            <v>1</v>
          </cell>
          <cell r="U869" t="str">
            <v>NULL</v>
          </cell>
          <cell r="V869" t="str">
            <v>NULL</v>
          </cell>
          <cell r="W869" t="str">
            <v/>
          </cell>
          <cell r="X869">
            <v>0</v>
          </cell>
          <cell r="Y869">
            <v>0</v>
          </cell>
          <cell r="Z869">
            <v>0</v>
          </cell>
          <cell r="AA869">
            <v>0</v>
          </cell>
          <cell r="AB869" t="str">
            <v>anytime</v>
          </cell>
          <cell r="AC869">
            <v>970</v>
          </cell>
          <cell r="AD869">
            <v>6</v>
          </cell>
          <cell r="AE869" t="str">
            <v>everyone</v>
          </cell>
        </row>
        <row r="870">
          <cell r="A870" t="str">
            <v>48501_1</v>
          </cell>
          <cell r="B870">
            <v>1</v>
          </cell>
          <cell r="C870">
            <v>48501</v>
          </cell>
          <cell r="D870" t="str">
            <v>ナーガ襲来！</v>
          </cell>
          <cell r="E870" t="str">
            <v>グローバル版降臨1</v>
          </cell>
          <cell r="F870">
            <v>1</v>
          </cell>
          <cell r="G870" t="str">
            <v>ja</v>
          </cell>
          <cell r="H870" t="str">
            <v>【超絶級】ナーガ襲来</v>
          </cell>
          <cell r="I870" t="str">
            <v>地獄級</v>
          </cell>
          <cell r="J870">
            <v>5004</v>
          </cell>
          <cell r="K870">
            <v>35</v>
          </cell>
          <cell r="L870">
            <v>4200</v>
          </cell>
          <cell r="M870">
            <v>1</v>
          </cell>
          <cell r="N870">
            <v>1</v>
          </cell>
          <cell r="O870">
            <v>1</v>
          </cell>
          <cell r="P870">
            <v>1</v>
          </cell>
          <cell r="Q870">
            <v>1</v>
          </cell>
          <cell r="R870">
            <v>3</v>
          </cell>
          <cell r="S870" t="str">
            <v>polygon</v>
          </cell>
          <cell r="T870">
            <v>1</v>
          </cell>
          <cell r="U870" t="str">
            <v>NULL</v>
          </cell>
          <cell r="V870" t="str">
            <v>NULL</v>
          </cell>
          <cell r="W870" t="str">
            <v/>
          </cell>
          <cell r="X870">
            <v>0</v>
          </cell>
          <cell r="Y870">
            <v>0</v>
          </cell>
          <cell r="Z870">
            <v>0</v>
          </cell>
          <cell r="AA870">
            <v>0</v>
          </cell>
          <cell r="AB870" t="str">
            <v>anytime</v>
          </cell>
          <cell r="AC870">
            <v>963</v>
          </cell>
          <cell r="AD870">
            <v>6</v>
          </cell>
          <cell r="AE870" t="str">
            <v>everyone</v>
          </cell>
        </row>
        <row r="871">
          <cell r="A871" t="str">
            <v>48501_2</v>
          </cell>
          <cell r="B871">
            <v>1</v>
          </cell>
          <cell r="C871">
            <v>48501</v>
          </cell>
          <cell r="D871" t="str">
            <v>ナーガ襲来！</v>
          </cell>
          <cell r="E871" t="str">
            <v>グローバル版降臨1</v>
          </cell>
          <cell r="F871">
            <v>2</v>
          </cell>
          <cell r="G871" t="str">
            <v>ja</v>
          </cell>
          <cell r="H871" t="str">
            <v>【ウィザード級】ナーガ襲来</v>
          </cell>
          <cell r="I871" t="str">
            <v>地獄級</v>
          </cell>
          <cell r="J871">
            <v>5004</v>
          </cell>
          <cell r="K871">
            <v>40</v>
          </cell>
          <cell r="L871">
            <v>4500</v>
          </cell>
          <cell r="M871">
            <v>1</v>
          </cell>
          <cell r="N871">
            <v>1</v>
          </cell>
          <cell r="O871">
            <v>1</v>
          </cell>
          <cell r="P871">
            <v>1</v>
          </cell>
          <cell r="Q871">
            <v>1</v>
          </cell>
          <cell r="R871">
            <v>3</v>
          </cell>
          <cell r="S871" t="str">
            <v>polygon</v>
          </cell>
          <cell r="T871">
            <v>1</v>
          </cell>
          <cell r="U871" t="str">
            <v>NULL</v>
          </cell>
          <cell r="V871" t="str">
            <v>NULL</v>
          </cell>
          <cell r="W871" t="str">
            <v/>
          </cell>
          <cell r="X871">
            <v>0</v>
          </cell>
          <cell r="Y871">
            <v>0</v>
          </cell>
          <cell r="Z871">
            <v>0</v>
          </cell>
          <cell r="AA871">
            <v>0</v>
          </cell>
          <cell r="AB871" t="str">
            <v>anytime</v>
          </cell>
          <cell r="AC871">
            <v>963</v>
          </cell>
          <cell r="AD871">
            <v>6</v>
          </cell>
          <cell r="AE871" t="str">
            <v>everyone</v>
          </cell>
        </row>
        <row r="872">
          <cell r="A872" t="str">
            <v>48502_1</v>
          </cell>
          <cell r="B872">
            <v>1</v>
          </cell>
          <cell r="C872">
            <v>48502</v>
          </cell>
          <cell r="D872" t="str">
            <v>ヘルシング襲来！</v>
          </cell>
          <cell r="E872" t="str">
            <v>グローバル版降臨2</v>
          </cell>
          <cell r="F872">
            <v>1</v>
          </cell>
          <cell r="G872" t="str">
            <v>ja</v>
          </cell>
          <cell r="H872" t="str">
            <v>【超絶級】ヘルシング襲来</v>
          </cell>
          <cell r="I872" t="str">
            <v>地獄級</v>
          </cell>
          <cell r="J872">
            <v>5008</v>
          </cell>
          <cell r="K872">
            <v>35</v>
          </cell>
          <cell r="L872">
            <v>4200</v>
          </cell>
          <cell r="M872">
            <v>1</v>
          </cell>
          <cell r="N872">
            <v>1</v>
          </cell>
          <cell r="O872">
            <v>1</v>
          </cell>
          <cell r="P872">
            <v>1</v>
          </cell>
          <cell r="Q872">
            <v>1</v>
          </cell>
          <cell r="R872">
            <v>3</v>
          </cell>
          <cell r="S872" t="str">
            <v>polygon</v>
          </cell>
          <cell r="T872">
            <v>1</v>
          </cell>
          <cell r="U872" t="str">
            <v>NULL</v>
          </cell>
          <cell r="V872" t="str">
            <v>NULL</v>
          </cell>
          <cell r="W872" t="str">
            <v/>
          </cell>
          <cell r="X872">
            <v>0</v>
          </cell>
          <cell r="Y872">
            <v>0</v>
          </cell>
          <cell r="Z872">
            <v>0</v>
          </cell>
          <cell r="AA872">
            <v>0</v>
          </cell>
          <cell r="AB872" t="str">
            <v>anytime</v>
          </cell>
          <cell r="AC872">
            <v>963</v>
          </cell>
          <cell r="AD872">
            <v>6</v>
          </cell>
          <cell r="AE872" t="str">
            <v>everyone</v>
          </cell>
        </row>
        <row r="873">
          <cell r="A873" t="str">
            <v>48502_2</v>
          </cell>
          <cell r="B873">
            <v>1</v>
          </cell>
          <cell r="C873">
            <v>48502</v>
          </cell>
          <cell r="D873" t="str">
            <v>ヘルシング襲来！</v>
          </cell>
          <cell r="E873" t="str">
            <v>グローバル版降臨2</v>
          </cell>
          <cell r="F873">
            <v>2</v>
          </cell>
          <cell r="G873" t="str">
            <v>ja</v>
          </cell>
          <cell r="H873" t="str">
            <v>【ウィザード級】ヘルシング襲来</v>
          </cell>
          <cell r="I873" t="str">
            <v>地獄級</v>
          </cell>
          <cell r="J873">
            <v>5008</v>
          </cell>
          <cell r="K873">
            <v>40</v>
          </cell>
          <cell r="L873">
            <v>4500</v>
          </cell>
          <cell r="M873">
            <v>1</v>
          </cell>
          <cell r="N873">
            <v>1</v>
          </cell>
          <cell r="O873">
            <v>1</v>
          </cell>
          <cell r="P873">
            <v>1</v>
          </cell>
          <cell r="Q873">
            <v>1</v>
          </cell>
          <cell r="R873">
            <v>3</v>
          </cell>
          <cell r="S873" t="str">
            <v>polygon</v>
          </cell>
          <cell r="T873">
            <v>1</v>
          </cell>
          <cell r="U873" t="str">
            <v>NULL</v>
          </cell>
          <cell r="V873" t="str">
            <v>NULL</v>
          </cell>
          <cell r="W873" t="str">
            <v/>
          </cell>
          <cell r="X873">
            <v>0</v>
          </cell>
          <cell r="Y873">
            <v>0</v>
          </cell>
          <cell r="Z873">
            <v>0</v>
          </cell>
          <cell r="AA873">
            <v>0</v>
          </cell>
          <cell r="AB873" t="str">
            <v>anytime</v>
          </cell>
          <cell r="AC873">
            <v>963</v>
          </cell>
          <cell r="AD873">
            <v>6</v>
          </cell>
          <cell r="AE873" t="str">
            <v>everyone</v>
          </cell>
        </row>
        <row r="874">
          <cell r="A874" t="str">
            <v>48701_1</v>
          </cell>
          <cell r="B874">
            <v>1</v>
          </cell>
          <cell r="C874">
            <v>48701</v>
          </cell>
          <cell r="D874" t="str">
            <v>M.Dragon襲来！</v>
          </cell>
          <cell r="E874" t="str">
            <v>韓国版降臨1</v>
          </cell>
          <cell r="F874">
            <v>1</v>
          </cell>
          <cell r="G874" t="str">
            <v>ja</v>
          </cell>
          <cell r="H874" t="str">
            <v>【超絶級】M.Dragon襲来</v>
          </cell>
          <cell r="I874" t="str">
            <v>地獄級</v>
          </cell>
          <cell r="J874">
            <v>9004</v>
          </cell>
          <cell r="K874">
            <v>35</v>
          </cell>
          <cell r="L874">
            <v>4200</v>
          </cell>
          <cell r="M874">
            <v>1</v>
          </cell>
          <cell r="N874">
            <v>1</v>
          </cell>
          <cell r="O874">
            <v>1</v>
          </cell>
          <cell r="P874">
            <v>1</v>
          </cell>
          <cell r="Q874">
            <v>1</v>
          </cell>
          <cell r="R874">
            <v>3</v>
          </cell>
          <cell r="S874" t="str">
            <v>polygon</v>
          </cell>
          <cell r="T874">
            <v>1</v>
          </cell>
          <cell r="U874" t="str">
            <v>NULL</v>
          </cell>
          <cell r="V874" t="str">
            <v>NULL</v>
          </cell>
          <cell r="W874" t="str">
            <v/>
          </cell>
          <cell r="X874">
            <v>0</v>
          </cell>
          <cell r="Y874">
            <v>0</v>
          </cell>
          <cell r="Z874">
            <v>0</v>
          </cell>
          <cell r="AA874">
            <v>0</v>
          </cell>
          <cell r="AB874" t="str">
            <v>anytime</v>
          </cell>
          <cell r="AC874">
            <v>963</v>
          </cell>
          <cell r="AD874">
            <v>6</v>
          </cell>
          <cell r="AE874" t="str">
            <v>everyone</v>
          </cell>
        </row>
        <row r="875">
          <cell r="A875" t="str">
            <v>48701_2</v>
          </cell>
          <cell r="B875">
            <v>1</v>
          </cell>
          <cell r="C875">
            <v>48701</v>
          </cell>
          <cell r="D875" t="str">
            <v>M.Dragon襲来！</v>
          </cell>
          <cell r="E875" t="str">
            <v>韓国版降臨1</v>
          </cell>
          <cell r="F875">
            <v>2</v>
          </cell>
          <cell r="G875" t="str">
            <v>ja</v>
          </cell>
          <cell r="H875" t="str">
            <v>【ウィザード級】M.Dragon襲来</v>
          </cell>
          <cell r="I875" t="str">
            <v>地獄級</v>
          </cell>
          <cell r="J875">
            <v>9004</v>
          </cell>
          <cell r="K875">
            <v>40</v>
          </cell>
          <cell r="L875">
            <v>4500</v>
          </cell>
          <cell r="M875">
            <v>1</v>
          </cell>
          <cell r="N875">
            <v>1</v>
          </cell>
          <cell r="O875">
            <v>1</v>
          </cell>
          <cell r="P875">
            <v>1</v>
          </cell>
          <cell r="Q875">
            <v>1</v>
          </cell>
          <cell r="R875">
            <v>3</v>
          </cell>
          <cell r="S875" t="str">
            <v>polygon</v>
          </cell>
          <cell r="T875">
            <v>1</v>
          </cell>
          <cell r="U875" t="str">
            <v>NULL</v>
          </cell>
          <cell r="V875" t="str">
            <v>NULL</v>
          </cell>
          <cell r="W875" t="str">
            <v/>
          </cell>
          <cell r="X875">
            <v>0</v>
          </cell>
          <cell r="Y875">
            <v>0</v>
          </cell>
          <cell r="Z875">
            <v>0</v>
          </cell>
          <cell r="AA875">
            <v>0</v>
          </cell>
          <cell r="AB875" t="str">
            <v>anytime</v>
          </cell>
          <cell r="AC875">
            <v>963</v>
          </cell>
          <cell r="AD875">
            <v>6</v>
          </cell>
          <cell r="AE875" t="str">
            <v>everyone</v>
          </cell>
        </row>
        <row r="876">
          <cell r="A876" t="str">
            <v>49001_1</v>
          </cell>
          <cell r="B876">
            <v>3</v>
          </cell>
          <cell r="C876">
            <v>49001</v>
          </cell>
          <cell r="D876" t="str">
            <v>熱唱！初音ミクV3</v>
          </cell>
          <cell r="E876" t="str">
            <v>コラボ降臨1</v>
          </cell>
          <cell r="F876">
            <v>1</v>
          </cell>
          <cell r="G876" t="str">
            <v>ja</v>
          </cell>
          <cell r="H876" t="str">
            <v>【ウィザード級】熱唱！初音ミクV3</v>
          </cell>
          <cell r="I876" t="str">
            <v>地獄級</v>
          </cell>
          <cell r="J876">
            <v>528</v>
          </cell>
          <cell r="K876">
            <v>40</v>
          </cell>
          <cell r="L876">
            <v>4200</v>
          </cell>
          <cell r="M876">
            <v>1</v>
          </cell>
          <cell r="N876">
            <v>1</v>
          </cell>
          <cell r="O876">
            <v>1</v>
          </cell>
          <cell r="P876">
            <v>1</v>
          </cell>
          <cell r="Q876">
            <v>1</v>
          </cell>
          <cell r="R876">
            <v>3</v>
          </cell>
          <cell r="S876" t="str">
            <v>polygon</v>
          </cell>
          <cell r="T876">
            <v>1</v>
          </cell>
          <cell r="U876" t="str">
            <v>NULL</v>
          </cell>
          <cell r="V876" t="str">
            <v>NULL</v>
          </cell>
          <cell r="W876" t="str">
            <v/>
          </cell>
          <cell r="X876">
            <v>0</v>
          </cell>
          <cell r="Y876">
            <v>0</v>
          </cell>
          <cell r="Z876">
            <v>0</v>
          </cell>
          <cell r="AA876">
            <v>0</v>
          </cell>
          <cell r="AB876" t="str">
            <v>anytime</v>
          </cell>
          <cell r="AC876">
            <v>910</v>
          </cell>
          <cell r="AD876">
            <v>6</v>
          </cell>
          <cell r="AE876" t="str">
            <v>everyone</v>
          </cell>
        </row>
        <row r="877">
          <cell r="A877" t="str">
            <v>49002_1</v>
          </cell>
          <cell r="B877">
            <v>3</v>
          </cell>
          <cell r="C877">
            <v>49002</v>
          </cell>
          <cell r="D877" t="str">
            <v>園原杏里襲来！</v>
          </cell>
          <cell r="E877" t="str">
            <v>コラボ降臨2</v>
          </cell>
          <cell r="F877">
            <v>1</v>
          </cell>
          <cell r="G877" t="str">
            <v>ja</v>
          </cell>
          <cell r="H877" t="str">
            <v>【ウィザード級】園原杏里襲来</v>
          </cell>
          <cell r="I877" t="str">
            <v>地獄級</v>
          </cell>
          <cell r="J877">
            <v>699</v>
          </cell>
          <cell r="K877">
            <v>40</v>
          </cell>
          <cell r="L877">
            <v>4500</v>
          </cell>
          <cell r="M877">
            <v>1</v>
          </cell>
          <cell r="N877">
            <v>1</v>
          </cell>
          <cell r="O877">
            <v>1</v>
          </cell>
          <cell r="P877">
            <v>1</v>
          </cell>
          <cell r="Q877">
            <v>1</v>
          </cell>
          <cell r="R877">
            <v>3</v>
          </cell>
          <cell r="S877" t="str">
            <v>polygon</v>
          </cell>
          <cell r="T877">
            <v>1</v>
          </cell>
          <cell r="U877" t="str">
            <v>NULL</v>
          </cell>
          <cell r="V877" t="str">
            <v>NULL</v>
          </cell>
          <cell r="W877" t="str">
            <v/>
          </cell>
          <cell r="X877">
            <v>0</v>
          </cell>
          <cell r="Y877">
            <v>0</v>
          </cell>
          <cell r="Z877">
            <v>0</v>
          </cell>
          <cell r="AA877">
            <v>0</v>
          </cell>
          <cell r="AB877" t="str">
            <v>anytime</v>
          </cell>
          <cell r="AC877">
            <v>917</v>
          </cell>
          <cell r="AD877">
            <v>6</v>
          </cell>
          <cell r="AE877" t="str">
            <v>everyone</v>
          </cell>
        </row>
        <row r="878">
          <cell r="A878" t="str">
            <v>49002_2</v>
          </cell>
          <cell r="B878">
            <v>3</v>
          </cell>
          <cell r="C878">
            <v>49002</v>
          </cell>
          <cell r="D878" t="str">
            <v>園原杏里襲来！</v>
          </cell>
          <cell r="E878" t="str">
            <v>コラボ降臨2</v>
          </cell>
          <cell r="F878">
            <v>2</v>
          </cell>
          <cell r="G878" t="str">
            <v>ja</v>
          </cell>
          <cell r="H878" t="str">
            <v>【ノーコンテニュー】園原杏里襲来</v>
          </cell>
          <cell r="I878" t="str">
            <v>地獄級</v>
          </cell>
          <cell r="J878">
            <v>699</v>
          </cell>
          <cell r="K878">
            <v>40</v>
          </cell>
          <cell r="L878">
            <v>4500</v>
          </cell>
          <cell r="M878">
            <v>1</v>
          </cell>
          <cell r="N878">
            <v>1</v>
          </cell>
          <cell r="O878">
            <v>1</v>
          </cell>
          <cell r="P878">
            <v>1</v>
          </cell>
          <cell r="Q878">
            <v>1</v>
          </cell>
          <cell r="R878">
            <v>3</v>
          </cell>
          <cell r="S878" t="str">
            <v>polygon</v>
          </cell>
          <cell r="T878">
            <v>1</v>
          </cell>
          <cell r="U878" t="str">
            <v>NULL</v>
          </cell>
          <cell r="V878" t="str">
            <v>NULL</v>
          </cell>
          <cell r="W878" t="str">
            <v/>
          </cell>
          <cell r="X878">
            <v>0</v>
          </cell>
          <cell r="Y878">
            <v>0</v>
          </cell>
          <cell r="Z878">
            <v>0</v>
          </cell>
          <cell r="AA878">
            <v>0</v>
          </cell>
          <cell r="AB878" t="str">
            <v>anytime</v>
          </cell>
          <cell r="AC878">
            <v>917</v>
          </cell>
          <cell r="AD878">
            <v>6</v>
          </cell>
          <cell r="AE878" t="str">
            <v>everyone</v>
          </cell>
        </row>
        <row r="879">
          <cell r="A879" t="str">
            <v>49003_1</v>
          </cell>
          <cell r="B879">
            <v>3</v>
          </cell>
          <cell r="C879">
            <v>49003</v>
          </cell>
          <cell r="D879" t="str">
            <v>折原臨也襲来！</v>
          </cell>
          <cell r="E879" t="str">
            <v>コラボ降臨3</v>
          </cell>
          <cell r="F879">
            <v>1</v>
          </cell>
          <cell r="G879" t="str">
            <v>ja</v>
          </cell>
          <cell r="H879" t="str">
            <v>【ウィザード級】折原臨也襲来</v>
          </cell>
          <cell r="I879" t="str">
            <v>地獄級</v>
          </cell>
          <cell r="J879">
            <v>701</v>
          </cell>
          <cell r="K879">
            <v>40</v>
          </cell>
          <cell r="L879">
            <v>4500</v>
          </cell>
          <cell r="M879">
            <v>1</v>
          </cell>
          <cell r="N879">
            <v>1</v>
          </cell>
          <cell r="O879">
            <v>1</v>
          </cell>
          <cell r="P879">
            <v>1</v>
          </cell>
          <cell r="Q879">
            <v>1</v>
          </cell>
          <cell r="R879">
            <v>3</v>
          </cell>
          <cell r="S879" t="str">
            <v>polygon</v>
          </cell>
          <cell r="T879">
            <v>1</v>
          </cell>
          <cell r="U879" t="str">
            <v>NULL</v>
          </cell>
          <cell r="V879" t="str">
            <v>NULL</v>
          </cell>
          <cell r="W879" t="str">
            <v/>
          </cell>
          <cell r="X879">
            <v>0</v>
          </cell>
          <cell r="Y879">
            <v>0</v>
          </cell>
          <cell r="Z879">
            <v>0</v>
          </cell>
          <cell r="AA879">
            <v>0</v>
          </cell>
          <cell r="AB879" t="str">
            <v>anytime</v>
          </cell>
          <cell r="AC879">
            <v>918</v>
          </cell>
          <cell r="AD879">
            <v>6</v>
          </cell>
          <cell r="AE879" t="str">
            <v>everyone</v>
          </cell>
        </row>
        <row r="880">
          <cell r="A880" t="str">
            <v>49003_2</v>
          </cell>
          <cell r="B880">
            <v>3</v>
          </cell>
          <cell r="C880">
            <v>49003</v>
          </cell>
          <cell r="D880" t="str">
            <v>折原臨也襲来！</v>
          </cell>
          <cell r="E880" t="str">
            <v>コラボ降臨3</v>
          </cell>
          <cell r="F880">
            <v>2</v>
          </cell>
          <cell r="G880" t="str">
            <v>ja</v>
          </cell>
          <cell r="H880" t="str">
            <v>【ノーコンテニュー】折原臨也襲来</v>
          </cell>
          <cell r="I880" t="str">
            <v>地獄級</v>
          </cell>
          <cell r="J880">
            <v>701</v>
          </cell>
          <cell r="K880">
            <v>40</v>
          </cell>
          <cell r="L880">
            <v>4500</v>
          </cell>
          <cell r="M880">
            <v>1</v>
          </cell>
          <cell r="N880">
            <v>1</v>
          </cell>
          <cell r="O880">
            <v>1</v>
          </cell>
          <cell r="P880">
            <v>1</v>
          </cell>
          <cell r="Q880">
            <v>1</v>
          </cell>
          <cell r="R880">
            <v>3</v>
          </cell>
          <cell r="S880" t="str">
            <v>polygon</v>
          </cell>
          <cell r="T880">
            <v>1</v>
          </cell>
          <cell r="U880" t="str">
            <v>NULL</v>
          </cell>
          <cell r="V880" t="str">
            <v>NULL</v>
          </cell>
          <cell r="W880" t="str">
            <v/>
          </cell>
          <cell r="X880">
            <v>0</v>
          </cell>
          <cell r="Y880">
            <v>0</v>
          </cell>
          <cell r="Z880">
            <v>0</v>
          </cell>
          <cell r="AA880">
            <v>0</v>
          </cell>
          <cell r="AB880" t="str">
            <v>anytime</v>
          </cell>
          <cell r="AC880">
            <v>918</v>
          </cell>
          <cell r="AD880">
            <v>6</v>
          </cell>
          <cell r="AE880" t="str">
            <v>everyone</v>
          </cell>
        </row>
        <row r="881">
          <cell r="A881" t="str">
            <v>49004_1</v>
          </cell>
          <cell r="B881">
            <v>3</v>
          </cell>
          <cell r="C881">
            <v>49004</v>
          </cell>
          <cell r="D881" t="str">
            <v>サンリオ好きなのだーれだ♪</v>
          </cell>
          <cell r="E881" t="str">
            <v>コラボ降臨4</v>
          </cell>
          <cell r="F881">
            <v>1</v>
          </cell>
          <cell r="G881" t="str">
            <v>ja</v>
          </cell>
          <cell r="H881" t="str">
            <v>【超絶】サンリオ好きなのだーれだ♪</v>
          </cell>
          <cell r="I881" t="str">
            <v>地獄級</v>
          </cell>
          <cell r="J881">
            <v>0</v>
          </cell>
          <cell r="K881">
            <v>35</v>
          </cell>
          <cell r="L881">
            <v>4200</v>
          </cell>
          <cell r="M881">
            <v>1</v>
          </cell>
          <cell r="N881">
            <v>1</v>
          </cell>
          <cell r="O881">
            <v>1</v>
          </cell>
          <cell r="P881">
            <v>1</v>
          </cell>
          <cell r="Q881">
            <v>1</v>
          </cell>
          <cell r="R881">
            <v>3</v>
          </cell>
          <cell r="S881" t="str">
            <v>polygon</v>
          </cell>
          <cell r="T881">
            <v>1</v>
          </cell>
          <cell r="U881" t="str">
            <v>NULL</v>
          </cell>
          <cell r="V881" t="str">
            <v>NULL</v>
          </cell>
          <cell r="W881" t="str">
            <v/>
          </cell>
          <cell r="X881">
            <v>0</v>
          </cell>
          <cell r="Y881">
            <v>0</v>
          </cell>
          <cell r="Z881">
            <v>0</v>
          </cell>
          <cell r="AA881">
            <v>0</v>
          </cell>
          <cell r="AB881" t="str">
            <v>anytime</v>
          </cell>
          <cell r="AC881">
            <v>934</v>
          </cell>
          <cell r="AD881">
            <v>6</v>
          </cell>
          <cell r="AE881" t="str">
            <v>everyone</v>
          </cell>
        </row>
        <row r="882">
          <cell r="A882" t="str">
            <v>49004_2</v>
          </cell>
          <cell r="B882">
            <v>3</v>
          </cell>
          <cell r="C882">
            <v>49004</v>
          </cell>
          <cell r="D882" t="str">
            <v>サンリオ好きなのだーれだ♪</v>
          </cell>
          <cell r="E882" t="str">
            <v>コラボ降臨4</v>
          </cell>
          <cell r="F882">
            <v>2</v>
          </cell>
          <cell r="G882" t="str">
            <v>ja</v>
          </cell>
          <cell r="H882" t="str">
            <v>【ｳｨｻﾞ】サンリオ好きなのだーれだ♪</v>
          </cell>
          <cell r="I882" t="str">
            <v>地獄級</v>
          </cell>
          <cell r="J882">
            <v>0</v>
          </cell>
          <cell r="K882">
            <v>40</v>
          </cell>
          <cell r="L882">
            <v>4500</v>
          </cell>
          <cell r="M882">
            <v>1</v>
          </cell>
          <cell r="N882">
            <v>1</v>
          </cell>
          <cell r="O882">
            <v>1</v>
          </cell>
          <cell r="P882">
            <v>1</v>
          </cell>
          <cell r="Q882">
            <v>1</v>
          </cell>
          <cell r="R882">
            <v>3</v>
          </cell>
          <cell r="S882" t="str">
            <v>polygon</v>
          </cell>
          <cell r="T882">
            <v>1</v>
          </cell>
          <cell r="U882" t="str">
            <v>NULL</v>
          </cell>
          <cell r="V882" t="str">
            <v>NULL</v>
          </cell>
          <cell r="W882" t="str">
            <v/>
          </cell>
          <cell r="X882">
            <v>0</v>
          </cell>
          <cell r="Y882">
            <v>0</v>
          </cell>
          <cell r="Z882">
            <v>0</v>
          </cell>
          <cell r="AA882">
            <v>0</v>
          </cell>
          <cell r="AB882" t="str">
            <v>anytime</v>
          </cell>
          <cell r="AC882">
            <v>934</v>
          </cell>
          <cell r="AD882">
            <v>6</v>
          </cell>
          <cell r="AE882" t="str">
            <v>everyone</v>
          </cell>
        </row>
        <row r="883">
          <cell r="A883" t="str">
            <v>49004_3</v>
          </cell>
          <cell r="B883">
            <v>3</v>
          </cell>
          <cell r="C883">
            <v>49004</v>
          </cell>
          <cell r="D883" t="str">
            <v>サンリオ好きなのだーれだ♪</v>
          </cell>
          <cell r="E883" t="str">
            <v>コラボ降臨4</v>
          </cell>
          <cell r="F883">
            <v>3</v>
          </cell>
          <cell r="G883" t="str">
            <v>ja</v>
          </cell>
          <cell r="H883" t="str">
            <v>【ﾉｰｺﾝ】サンリオ好きなのだーれだ♪</v>
          </cell>
          <cell r="I883" t="str">
            <v>地獄級</v>
          </cell>
          <cell r="J883">
            <v>0</v>
          </cell>
          <cell r="K883">
            <v>40</v>
          </cell>
          <cell r="L883">
            <v>4500</v>
          </cell>
          <cell r="M883">
            <v>1</v>
          </cell>
          <cell r="N883">
            <v>1</v>
          </cell>
          <cell r="O883">
            <v>1</v>
          </cell>
          <cell r="P883">
            <v>1</v>
          </cell>
          <cell r="Q883">
            <v>1</v>
          </cell>
          <cell r="R883">
            <v>3</v>
          </cell>
          <cell r="S883" t="str">
            <v>polygon</v>
          </cell>
          <cell r="T883">
            <v>1</v>
          </cell>
          <cell r="U883" t="str">
            <v>NULL</v>
          </cell>
          <cell r="V883" t="str">
            <v>NULL</v>
          </cell>
          <cell r="W883" t="str">
            <v/>
          </cell>
          <cell r="X883">
            <v>0</v>
          </cell>
          <cell r="Y883">
            <v>0</v>
          </cell>
          <cell r="Z883">
            <v>0</v>
          </cell>
          <cell r="AA883">
            <v>0</v>
          </cell>
          <cell r="AB883" t="str">
            <v>anytime</v>
          </cell>
          <cell r="AC883">
            <v>934</v>
          </cell>
          <cell r="AD883">
            <v>6</v>
          </cell>
          <cell r="AE883" t="str">
            <v>everyone</v>
          </cell>
        </row>
        <row r="884">
          <cell r="A884" t="str">
            <v>49005_1</v>
          </cell>
          <cell r="B884">
            <v>1</v>
          </cell>
          <cell r="C884">
            <v>49005</v>
          </cell>
          <cell r="D884" t="str">
            <v>襲来クエスト</v>
          </cell>
          <cell r="E884" t="str">
            <v>コラボ降臨5</v>
          </cell>
          <cell r="F884">
            <v>1</v>
          </cell>
          <cell r="G884" t="str">
            <v>ja</v>
          </cell>
          <cell r="H884" t="str">
            <v>【ウィザード級】襲来クエスト</v>
          </cell>
          <cell r="I884" t="str">
            <v>地獄級</v>
          </cell>
          <cell r="J884">
            <v>8013</v>
          </cell>
          <cell r="K884">
            <v>40</v>
          </cell>
          <cell r="L884">
            <v>4200</v>
          </cell>
          <cell r="M884">
            <v>1</v>
          </cell>
          <cell r="N884">
            <v>1</v>
          </cell>
          <cell r="O884">
            <v>1</v>
          </cell>
          <cell r="P884">
            <v>1</v>
          </cell>
          <cell r="Q884">
            <v>1</v>
          </cell>
          <cell r="R884">
            <v>3</v>
          </cell>
          <cell r="S884" t="str">
            <v>polygon</v>
          </cell>
          <cell r="T884">
            <v>1</v>
          </cell>
          <cell r="U884" t="str">
            <v>NULL</v>
          </cell>
          <cell r="V884" t="str">
            <v>NULL</v>
          </cell>
          <cell r="W884" t="str">
            <v/>
          </cell>
          <cell r="X884">
            <v>0</v>
          </cell>
          <cell r="Y884">
            <v>0</v>
          </cell>
          <cell r="Z884">
            <v>0</v>
          </cell>
          <cell r="AA884">
            <v>0</v>
          </cell>
          <cell r="AB884" t="str">
            <v>anytime</v>
          </cell>
          <cell r="AC884">
            <v>910</v>
          </cell>
          <cell r="AD884">
            <v>6</v>
          </cell>
          <cell r="AE884" t="str">
            <v>everyone</v>
          </cell>
        </row>
        <row r="885">
          <cell r="A885" t="str">
            <v>49006_1</v>
          </cell>
          <cell r="B885">
            <v>3</v>
          </cell>
          <cell r="C885">
            <v>49006</v>
          </cell>
          <cell r="D885" t="str">
            <v>超大型巨人襲来！</v>
          </cell>
          <cell r="E885" t="str">
            <v>コラボ降臨6</v>
          </cell>
          <cell r="F885">
            <v>1</v>
          </cell>
          <cell r="G885" t="str">
            <v>ja</v>
          </cell>
          <cell r="H885" t="str">
            <v>【超絶級】超大型巨人襲来</v>
          </cell>
          <cell r="I885" t="str">
            <v>地獄級</v>
          </cell>
          <cell r="J885">
            <v>980</v>
          </cell>
          <cell r="K885">
            <v>35</v>
          </cell>
          <cell r="L885">
            <v>4200</v>
          </cell>
          <cell r="M885">
            <v>1</v>
          </cell>
          <cell r="N885">
            <v>1</v>
          </cell>
          <cell r="O885">
            <v>1</v>
          </cell>
          <cell r="P885">
            <v>1</v>
          </cell>
          <cell r="Q885">
            <v>1</v>
          </cell>
          <cell r="R885">
            <v>3</v>
          </cell>
          <cell r="S885" t="str">
            <v>polygon</v>
          </cell>
          <cell r="T885">
            <v>1</v>
          </cell>
          <cell r="U885" t="str">
            <v>NULL</v>
          </cell>
          <cell r="V885" t="str">
            <v>NULL</v>
          </cell>
          <cell r="W885" t="str">
            <v/>
          </cell>
          <cell r="X885">
            <v>0</v>
          </cell>
          <cell r="Y885">
            <v>0</v>
          </cell>
          <cell r="Z885">
            <v>0</v>
          </cell>
          <cell r="AA885">
            <v>0</v>
          </cell>
          <cell r="AB885" t="str">
            <v>anytime</v>
          </cell>
          <cell r="AC885">
            <v>937</v>
          </cell>
          <cell r="AD885">
            <v>6</v>
          </cell>
          <cell r="AE885" t="str">
            <v>everyone</v>
          </cell>
        </row>
        <row r="886">
          <cell r="A886" t="str">
            <v>49006_2</v>
          </cell>
          <cell r="B886">
            <v>3</v>
          </cell>
          <cell r="C886">
            <v>49006</v>
          </cell>
          <cell r="D886" t="str">
            <v>超大型巨人襲来！</v>
          </cell>
          <cell r="E886" t="str">
            <v>コラボ降臨6</v>
          </cell>
          <cell r="F886">
            <v>2</v>
          </cell>
          <cell r="G886" t="str">
            <v>ja</v>
          </cell>
          <cell r="H886" t="str">
            <v>【ウィザード級】超大型巨人襲来</v>
          </cell>
          <cell r="I886" t="str">
            <v>地獄級</v>
          </cell>
          <cell r="J886">
            <v>980</v>
          </cell>
          <cell r="K886">
            <v>40</v>
          </cell>
          <cell r="L886">
            <v>4500</v>
          </cell>
          <cell r="M886">
            <v>1</v>
          </cell>
          <cell r="N886">
            <v>1</v>
          </cell>
          <cell r="O886">
            <v>1</v>
          </cell>
          <cell r="P886">
            <v>1</v>
          </cell>
          <cell r="Q886">
            <v>1</v>
          </cell>
          <cell r="R886">
            <v>3</v>
          </cell>
          <cell r="S886" t="str">
            <v>polygon</v>
          </cell>
          <cell r="T886">
            <v>1</v>
          </cell>
          <cell r="U886" t="str">
            <v>NULL</v>
          </cell>
          <cell r="V886" t="str">
            <v>NULL</v>
          </cell>
          <cell r="W886" t="str">
            <v/>
          </cell>
          <cell r="X886">
            <v>0</v>
          </cell>
          <cell r="Y886">
            <v>0</v>
          </cell>
          <cell r="Z886">
            <v>0</v>
          </cell>
          <cell r="AA886">
            <v>0</v>
          </cell>
          <cell r="AB886" t="str">
            <v>anytime</v>
          </cell>
          <cell r="AC886">
            <v>937</v>
          </cell>
          <cell r="AD886">
            <v>6</v>
          </cell>
          <cell r="AE886" t="str">
            <v>everyone</v>
          </cell>
        </row>
        <row r="887">
          <cell r="A887" t="str">
            <v>49007_1</v>
          </cell>
          <cell r="B887">
            <v>1</v>
          </cell>
          <cell r="C887">
            <v>49007</v>
          </cell>
          <cell r="D887" t="str">
            <v>アザゼル（台）</v>
          </cell>
          <cell r="E887" t="str">
            <v>コラボ降臨4</v>
          </cell>
          <cell r="F887">
            <v>1</v>
          </cell>
          <cell r="G887" t="str">
            <v>ja</v>
          </cell>
          <cell r="H887" t="str">
            <v>【超絶】アザゼル（台）</v>
          </cell>
          <cell r="I887" t="str">
            <v>地獄級</v>
          </cell>
          <cell r="J887">
            <v>0</v>
          </cell>
          <cell r="K887">
            <v>35</v>
          </cell>
          <cell r="L887">
            <v>4200</v>
          </cell>
          <cell r="M887">
            <v>1</v>
          </cell>
          <cell r="N887">
            <v>1</v>
          </cell>
          <cell r="O887">
            <v>1</v>
          </cell>
          <cell r="P887">
            <v>1</v>
          </cell>
          <cell r="Q887">
            <v>1</v>
          </cell>
          <cell r="R887">
            <v>3</v>
          </cell>
          <cell r="S887" t="str">
            <v>polygon</v>
          </cell>
          <cell r="T887">
            <v>1</v>
          </cell>
          <cell r="U887" t="str">
            <v>NULL</v>
          </cell>
          <cell r="V887" t="str">
            <v>NULL</v>
          </cell>
          <cell r="W887" t="str">
            <v/>
          </cell>
          <cell r="X887">
            <v>0</v>
          </cell>
          <cell r="Y887">
            <v>0</v>
          </cell>
          <cell r="Z887">
            <v>0</v>
          </cell>
          <cell r="AA887">
            <v>0</v>
          </cell>
          <cell r="AB887" t="str">
            <v>anytime</v>
          </cell>
          <cell r="AC887">
            <v>934</v>
          </cell>
          <cell r="AD887">
            <v>6</v>
          </cell>
          <cell r="AE887" t="str">
            <v>everyone</v>
          </cell>
        </row>
        <row r="888">
          <cell r="A888" t="str">
            <v>49007_2</v>
          </cell>
          <cell r="B888">
            <v>1</v>
          </cell>
          <cell r="C888">
            <v>49007</v>
          </cell>
          <cell r="D888" t="str">
            <v>アザゼル（台）</v>
          </cell>
          <cell r="E888" t="str">
            <v>コラボ降臨4</v>
          </cell>
          <cell r="F888">
            <v>2</v>
          </cell>
          <cell r="G888" t="str">
            <v>ja</v>
          </cell>
          <cell r="H888" t="str">
            <v>【ｳｨｻﾞ】アザゼル（台）</v>
          </cell>
          <cell r="I888" t="str">
            <v>地獄級</v>
          </cell>
          <cell r="J888">
            <v>0</v>
          </cell>
          <cell r="K888">
            <v>40</v>
          </cell>
          <cell r="L888">
            <v>4500</v>
          </cell>
          <cell r="M888">
            <v>1</v>
          </cell>
          <cell r="N888">
            <v>1</v>
          </cell>
          <cell r="O888">
            <v>1</v>
          </cell>
          <cell r="P888">
            <v>1</v>
          </cell>
          <cell r="Q888">
            <v>1</v>
          </cell>
          <cell r="R888">
            <v>3</v>
          </cell>
          <cell r="S888" t="str">
            <v>polygon</v>
          </cell>
          <cell r="T888">
            <v>1</v>
          </cell>
          <cell r="U888" t="str">
            <v>NULL</v>
          </cell>
          <cell r="V888" t="str">
            <v>NULL</v>
          </cell>
          <cell r="W888" t="str">
            <v/>
          </cell>
          <cell r="X888">
            <v>0</v>
          </cell>
          <cell r="Y888">
            <v>0</v>
          </cell>
          <cell r="Z888">
            <v>0</v>
          </cell>
          <cell r="AA888">
            <v>0</v>
          </cell>
          <cell r="AB888" t="str">
            <v>anytime</v>
          </cell>
          <cell r="AC888">
            <v>934</v>
          </cell>
          <cell r="AD888">
            <v>6</v>
          </cell>
          <cell r="AE888" t="str">
            <v>everyone</v>
          </cell>
        </row>
        <row r="889">
          <cell r="A889" t="str">
            <v>49007_3</v>
          </cell>
          <cell r="B889">
            <v>1</v>
          </cell>
          <cell r="C889">
            <v>49007</v>
          </cell>
          <cell r="D889" t="str">
            <v>アザゼル（台）</v>
          </cell>
          <cell r="E889" t="str">
            <v>コラボ降臨4</v>
          </cell>
          <cell r="F889">
            <v>3</v>
          </cell>
          <cell r="G889" t="str">
            <v>ja</v>
          </cell>
          <cell r="H889" t="str">
            <v>【ﾉｰｺﾝ】アザゼル（台）</v>
          </cell>
          <cell r="I889" t="str">
            <v>地獄級</v>
          </cell>
          <cell r="J889">
            <v>0</v>
          </cell>
          <cell r="K889">
            <v>40</v>
          </cell>
          <cell r="L889">
            <v>4500</v>
          </cell>
          <cell r="M889">
            <v>1</v>
          </cell>
          <cell r="N889">
            <v>1</v>
          </cell>
          <cell r="O889">
            <v>1</v>
          </cell>
          <cell r="P889">
            <v>1</v>
          </cell>
          <cell r="Q889">
            <v>1</v>
          </cell>
          <cell r="R889">
            <v>3</v>
          </cell>
          <cell r="S889" t="str">
            <v>polygon</v>
          </cell>
          <cell r="T889">
            <v>1</v>
          </cell>
          <cell r="U889" t="str">
            <v>NULL</v>
          </cell>
          <cell r="V889" t="str">
            <v>NULL</v>
          </cell>
          <cell r="W889" t="str">
            <v/>
          </cell>
          <cell r="X889">
            <v>0</v>
          </cell>
          <cell r="Y889">
            <v>0</v>
          </cell>
          <cell r="Z889">
            <v>0</v>
          </cell>
          <cell r="AA889">
            <v>0</v>
          </cell>
          <cell r="AB889" t="str">
            <v>anytime</v>
          </cell>
          <cell r="AC889">
            <v>934</v>
          </cell>
          <cell r="AD889">
            <v>6</v>
          </cell>
          <cell r="AE889" t="str">
            <v>everyone</v>
          </cell>
        </row>
        <row r="890">
          <cell r="A890" t="str">
            <v>49008_1</v>
          </cell>
          <cell r="B890">
            <v>3</v>
          </cell>
          <cell r="C890">
            <v>49008</v>
          </cell>
          <cell r="D890" t="str">
            <v>熱唱！初音ミクV3</v>
          </cell>
          <cell r="E890" t="str">
            <v>コラボ降臨1</v>
          </cell>
          <cell r="F890">
            <v>1</v>
          </cell>
          <cell r="G890" t="str">
            <v>ja</v>
          </cell>
          <cell r="H890" t="str">
            <v>【ウィザード級】熱唱！初音ミクV3</v>
          </cell>
          <cell r="I890" t="str">
            <v>地獄級</v>
          </cell>
          <cell r="J890">
            <v>1299</v>
          </cell>
          <cell r="K890">
            <v>30</v>
          </cell>
          <cell r="L890">
            <v>4500</v>
          </cell>
          <cell r="M890">
            <v>1</v>
          </cell>
          <cell r="N890">
            <v>1</v>
          </cell>
          <cell r="O890">
            <v>1</v>
          </cell>
          <cell r="P890">
            <v>1</v>
          </cell>
          <cell r="Q890">
            <v>1</v>
          </cell>
          <cell r="R890">
            <v>3</v>
          </cell>
          <cell r="S890" t="str">
            <v>polygon</v>
          </cell>
          <cell r="T890">
            <v>1</v>
          </cell>
          <cell r="U890" t="str">
            <v>NULL</v>
          </cell>
          <cell r="V890" t="str">
            <v>NULL</v>
          </cell>
          <cell r="W890" t="str">
            <v/>
          </cell>
          <cell r="X890">
            <v>0</v>
          </cell>
          <cell r="Y890">
            <v>0</v>
          </cell>
          <cell r="Z890">
            <v>0</v>
          </cell>
          <cell r="AA890">
            <v>0</v>
          </cell>
          <cell r="AB890" t="str">
            <v>anytime</v>
          </cell>
          <cell r="AC890">
            <v>910</v>
          </cell>
          <cell r="AD890">
            <v>6</v>
          </cell>
          <cell r="AE890" t="str">
            <v>everyone</v>
          </cell>
        </row>
        <row r="891">
          <cell r="A891" t="str">
            <v>49009_1</v>
          </cell>
          <cell r="B891">
            <v>3</v>
          </cell>
          <cell r="C891">
            <v>49009</v>
          </cell>
          <cell r="D891" t="str">
            <v>電子音協奏曲</v>
          </cell>
          <cell r="E891" t="str">
            <v>コラボ降臨7</v>
          </cell>
          <cell r="F891">
            <v>1</v>
          </cell>
          <cell r="G891" t="str">
            <v>ja</v>
          </cell>
          <cell r="H891" t="str">
            <v>【ウィザード級】電子音協奏曲</v>
          </cell>
          <cell r="I891" t="str">
            <v>地獄級</v>
          </cell>
          <cell r="J891">
            <v>1305</v>
          </cell>
          <cell r="K891">
            <v>30</v>
          </cell>
          <cell r="L891">
            <v>4500</v>
          </cell>
          <cell r="M891">
            <v>1</v>
          </cell>
          <cell r="N891">
            <v>1</v>
          </cell>
          <cell r="O891">
            <v>1</v>
          </cell>
          <cell r="P891">
            <v>1</v>
          </cell>
          <cell r="Q891">
            <v>1</v>
          </cell>
          <cell r="R891">
            <v>3</v>
          </cell>
          <cell r="S891" t="str">
            <v>polygon</v>
          </cell>
          <cell r="T891">
            <v>1</v>
          </cell>
          <cell r="U891" t="str">
            <v>NULL</v>
          </cell>
          <cell r="V891" t="str">
            <v>NULL</v>
          </cell>
          <cell r="W891" t="str">
            <v/>
          </cell>
          <cell r="X891">
            <v>0</v>
          </cell>
          <cell r="Y891">
            <v>0</v>
          </cell>
          <cell r="Z891">
            <v>0</v>
          </cell>
          <cell r="AA891">
            <v>0</v>
          </cell>
          <cell r="AB891" t="str">
            <v>anytime</v>
          </cell>
          <cell r="AC891">
            <v>910</v>
          </cell>
          <cell r="AD891">
            <v>6</v>
          </cell>
          <cell r="AE891" t="str">
            <v>everyone</v>
          </cell>
        </row>
        <row r="892">
          <cell r="A892" t="str">
            <v>49010_1</v>
          </cell>
          <cell r="B892">
            <v>3</v>
          </cell>
          <cell r="C892">
            <v>49010</v>
          </cell>
          <cell r="D892" t="str">
            <v>走り抜けろ！ALICE GP</v>
          </cell>
          <cell r="E892" t="str">
            <v>コラボ降臨8</v>
          </cell>
          <cell r="F892">
            <v>1</v>
          </cell>
          <cell r="G892" t="str">
            <v>ja</v>
          </cell>
          <cell r="H892" t="str">
            <v>【ｳｨｻﾞ】走り抜けろ！ALICE GP</v>
          </cell>
          <cell r="I892" t="str">
            <v>地獄級</v>
          </cell>
          <cell r="J892">
            <v>1303</v>
          </cell>
          <cell r="K892">
            <v>30</v>
          </cell>
          <cell r="L892">
            <v>4500</v>
          </cell>
          <cell r="M892">
            <v>1</v>
          </cell>
          <cell r="N892">
            <v>0</v>
          </cell>
          <cell r="O892">
            <v>1</v>
          </cell>
          <cell r="P892">
            <v>1</v>
          </cell>
          <cell r="Q892">
            <v>1</v>
          </cell>
          <cell r="R892">
            <v>3</v>
          </cell>
          <cell r="S892" t="str">
            <v>polygon</v>
          </cell>
          <cell r="T892">
            <v>1</v>
          </cell>
          <cell r="U892" t="str">
            <v>NULL</v>
          </cell>
          <cell r="V892" t="str">
            <v>NULL</v>
          </cell>
          <cell r="W892" t="str">
            <v/>
          </cell>
          <cell r="X892">
            <v>0</v>
          </cell>
          <cell r="Y892">
            <v>0</v>
          </cell>
          <cell r="Z892">
            <v>0</v>
          </cell>
          <cell r="AA892">
            <v>0</v>
          </cell>
          <cell r="AB892" t="str">
            <v>anytime</v>
          </cell>
          <cell r="AC892">
            <v>987</v>
          </cell>
          <cell r="AD892">
            <v>6</v>
          </cell>
          <cell r="AE892" t="str">
            <v>everyone</v>
          </cell>
        </row>
        <row r="893">
          <cell r="A893" t="str">
            <v>49011_1</v>
          </cell>
          <cell r="B893">
            <v>3</v>
          </cell>
          <cell r="C893">
            <v>49011</v>
          </cell>
          <cell r="D893" t="str">
            <v>秘密のイベント潜入作戦</v>
          </cell>
          <cell r="E893" t="str">
            <v>コラボ降臨9</v>
          </cell>
          <cell r="F893">
            <v>1</v>
          </cell>
          <cell r="G893" t="str">
            <v>ja</v>
          </cell>
          <cell r="H893" t="str">
            <v>【ｳｨｻﾞ】秘密のイベント潜入作戦</v>
          </cell>
          <cell r="I893" t="str">
            <v>地獄級</v>
          </cell>
          <cell r="J893">
            <v>1301</v>
          </cell>
          <cell r="K893">
            <v>30</v>
          </cell>
          <cell r="L893">
            <v>4500</v>
          </cell>
          <cell r="M893">
            <v>1</v>
          </cell>
          <cell r="N893">
            <v>1</v>
          </cell>
          <cell r="O893">
            <v>1</v>
          </cell>
          <cell r="P893">
            <v>1</v>
          </cell>
          <cell r="Q893">
            <v>1</v>
          </cell>
          <cell r="R893">
            <v>3</v>
          </cell>
          <cell r="S893" t="str">
            <v>polygon</v>
          </cell>
          <cell r="T893">
            <v>1</v>
          </cell>
          <cell r="U893" t="str">
            <v>NULL</v>
          </cell>
          <cell r="V893" t="str">
            <v>NULL</v>
          </cell>
          <cell r="W893" t="str">
            <v/>
          </cell>
          <cell r="X893">
            <v>0</v>
          </cell>
          <cell r="Y893">
            <v>0</v>
          </cell>
          <cell r="Z893">
            <v>0</v>
          </cell>
          <cell r="AA893">
            <v>0</v>
          </cell>
          <cell r="AB893" t="str">
            <v>anytime</v>
          </cell>
          <cell r="AC893">
            <v>909</v>
          </cell>
          <cell r="AD893">
            <v>6</v>
          </cell>
          <cell r="AE893" t="str">
            <v>everyone</v>
          </cell>
        </row>
        <row r="894">
          <cell r="A894" t="str">
            <v>49012_1</v>
          </cell>
          <cell r="B894">
            <v>3</v>
          </cell>
          <cell r="C894">
            <v>49012</v>
          </cell>
          <cell r="D894" t="str">
            <v>園原杏里襲来！</v>
          </cell>
          <cell r="E894" t="str">
            <v>コラボ降臨2（復刻）</v>
          </cell>
          <cell r="F894">
            <v>1</v>
          </cell>
          <cell r="G894" t="str">
            <v>ja</v>
          </cell>
          <cell r="H894" t="str">
            <v>【ウィザード級】園原杏里襲来</v>
          </cell>
          <cell r="I894" t="str">
            <v>地獄級</v>
          </cell>
          <cell r="J894">
            <v>699</v>
          </cell>
          <cell r="K894">
            <v>40</v>
          </cell>
          <cell r="L894">
            <v>4500</v>
          </cell>
          <cell r="M894">
            <v>1</v>
          </cell>
          <cell r="N894">
            <v>1</v>
          </cell>
          <cell r="O894">
            <v>1</v>
          </cell>
          <cell r="P894">
            <v>1</v>
          </cell>
          <cell r="Q894">
            <v>1</v>
          </cell>
          <cell r="R894">
            <v>3</v>
          </cell>
          <cell r="S894" t="str">
            <v>polygon</v>
          </cell>
          <cell r="T894">
            <v>1</v>
          </cell>
          <cell r="U894" t="str">
            <v>NULL</v>
          </cell>
          <cell r="V894" t="str">
            <v>NULL</v>
          </cell>
          <cell r="W894" t="str">
            <v/>
          </cell>
          <cell r="X894">
            <v>0</v>
          </cell>
          <cell r="Y894">
            <v>0</v>
          </cell>
          <cell r="Z894">
            <v>0</v>
          </cell>
          <cell r="AA894">
            <v>0</v>
          </cell>
          <cell r="AB894" t="str">
            <v>anytime</v>
          </cell>
          <cell r="AC894">
            <v>917</v>
          </cell>
          <cell r="AD894">
            <v>6</v>
          </cell>
          <cell r="AE894" t="str">
            <v>everyone</v>
          </cell>
        </row>
        <row r="895">
          <cell r="A895" t="str">
            <v>49013_1</v>
          </cell>
          <cell r="B895">
            <v>3</v>
          </cell>
          <cell r="C895">
            <v>49013</v>
          </cell>
          <cell r="D895" t="str">
            <v>折原臨也襲来！</v>
          </cell>
          <cell r="E895" t="str">
            <v>コラボ降臨3（復刻）</v>
          </cell>
          <cell r="F895">
            <v>1</v>
          </cell>
          <cell r="G895" t="str">
            <v>ja</v>
          </cell>
          <cell r="H895" t="str">
            <v>【ウィザード級】折原臨也襲来</v>
          </cell>
          <cell r="I895" t="str">
            <v>地獄級</v>
          </cell>
          <cell r="J895">
            <v>701</v>
          </cell>
          <cell r="K895">
            <v>40</v>
          </cell>
          <cell r="L895">
            <v>4500</v>
          </cell>
          <cell r="M895">
            <v>1</v>
          </cell>
          <cell r="N895">
            <v>1</v>
          </cell>
          <cell r="O895">
            <v>1</v>
          </cell>
          <cell r="P895">
            <v>1</v>
          </cell>
          <cell r="Q895">
            <v>1</v>
          </cell>
          <cell r="R895">
            <v>3</v>
          </cell>
          <cell r="S895" t="str">
            <v>polygon</v>
          </cell>
          <cell r="T895">
            <v>1</v>
          </cell>
          <cell r="U895" t="str">
            <v>NULL</v>
          </cell>
          <cell r="V895" t="str">
            <v>NULL</v>
          </cell>
          <cell r="W895" t="str">
            <v/>
          </cell>
          <cell r="X895">
            <v>0</v>
          </cell>
          <cell r="Y895">
            <v>0</v>
          </cell>
          <cell r="Z895">
            <v>0</v>
          </cell>
          <cell r="AA895">
            <v>0</v>
          </cell>
          <cell r="AB895" t="str">
            <v>anytime</v>
          </cell>
          <cell r="AC895">
            <v>918</v>
          </cell>
          <cell r="AD895">
            <v>6</v>
          </cell>
          <cell r="AE895" t="str">
            <v>everyone</v>
          </cell>
        </row>
        <row r="896">
          <cell r="A896" t="str">
            <v>49014_1</v>
          </cell>
          <cell r="B896">
            <v>1</v>
          </cell>
          <cell r="C896">
            <v>49014</v>
          </cell>
          <cell r="D896" t="str">
            <v>C魔</v>
          </cell>
          <cell r="E896" t="str">
            <v>コラボ降臨10</v>
          </cell>
          <cell r="F896">
            <v>1</v>
          </cell>
          <cell r="G896" t="str">
            <v>ja</v>
          </cell>
          <cell r="H896" t="str">
            <v>【超絶級】C魔</v>
          </cell>
          <cell r="I896" t="str">
            <v>地獄級</v>
          </cell>
          <cell r="J896">
            <v>1524</v>
          </cell>
          <cell r="K896">
            <v>35</v>
          </cell>
          <cell r="L896">
            <v>4200</v>
          </cell>
          <cell r="M896">
            <v>1</v>
          </cell>
          <cell r="N896">
            <v>1</v>
          </cell>
          <cell r="O896">
            <v>1</v>
          </cell>
          <cell r="P896">
            <v>1</v>
          </cell>
          <cell r="Q896">
            <v>1</v>
          </cell>
          <cell r="R896">
            <v>3</v>
          </cell>
          <cell r="S896" t="str">
            <v>polygon</v>
          </cell>
          <cell r="T896">
            <v>1</v>
          </cell>
          <cell r="U896" t="str">
            <v>NULL</v>
          </cell>
          <cell r="V896" t="str">
            <v>NULL</v>
          </cell>
          <cell r="W896" t="str">
            <v/>
          </cell>
          <cell r="X896">
            <v>0</v>
          </cell>
          <cell r="Y896">
            <v>0</v>
          </cell>
          <cell r="Z896">
            <v>0</v>
          </cell>
          <cell r="AA896">
            <v>0</v>
          </cell>
          <cell r="AB896" t="str">
            <v>anytime</v>
          </cell>
          <cell r="AC896">
            <v>918</v>
          </cell>
          <cell r="AD896">
            <v>6</v>
          </cell>
          <cell r="AE896" t="str">
            <v>everyone</v>
          </cell>
        </row>
        <row r="897">
          <cell r="A897" t="str">
            <v>49014_2</v>
          </cell>
          <cell r="B897">
            <v>1</v>
          </cell>
          <cell r="C897">
            <v>49014</v>
          </cell>
          <cell r="D897" t="str">
            <v>C魔</v>
          </cell>
          <cell r="E897" t="str">
            <v>コラボ降臨10</v>
          </cell>
          <cell r="F897">
            <v>2</v>
          </cell>
          <cell r="G897" t="str">
            <v>ja</v>
          </cell>
          <cell r="H897" t="str">
            <v>【ウィザード級】C魔</v>
          </cell>
          <cell r="I897" t="str">
            <v>地獄級</v>
          </cell>
          <cell r="J897">
            <v>1524</v>
          </cell>
          <cell r="K897">
            <v>40</v>
          </cell>
          <cell r="L897">
            <v>4500</v>
          </cell>
          <cell r="M897">
            <v>1</v>
          </cell>
          <cell r="N897">
            <v>1</v>
          </cell>
          <cell r="O897">
            <v>1</v>
          </cell>
          <cell r="P897">
            <v>1</v>
          </cell>
          <cell r="Q897">
            <v>1</v>
          </cell>
          <cell r="R897">
            <v>3</v>
          </cell>
          <cell r="S897" t="str">
            <v>polygon</v>
          </cell>
          <cell r="T897">
            <v>1</v>
          </cell>
          <cell r="U897" t="str">
            <v>NULL</v>
          </cell>
          <cell r="V897" t="str">
            <v>NULL</v>
          </cell>
          <cell r="W897" t="str">
            <v/>
          </cell>
          <cell r="X897">
            <v>0</v>
          </cell>
          <cell r="Y897">
            <v>0</v>
          </cell>
          <cell r="Z897">
            <v>0</v>
          </cell>
          <cell r="AA897">
            <v>0</v>
          </cell>
          <cell r="AB897" t="str">
            <v>anytime</v>
          </cell>
          <cell r="AC897">
            <v>918</v>
          </cell>
          <cell r="AD897">
            <v>6</v>
          </cell>
          <cell r="AE897" t="str">
            <v>everyone</v>
          </cell>
        </row>
        <row r="898">
          <cell r="A898" t="str">
            <v>49015_1</v>
          </cell>
          <cell r="B898">
            <v>1</v>
          </cell>
          <cell r="C898">
            <v>49015</v>
          </cell>
          <cell r="D898" t="str">
            <v>FA</v>
          </cell>
          <cell r="E898" t="str">
            <v>コラボ降臨11</v>
          </cell>
          <cell r="F898">
            <v>1</v>
          </cell>
          <cell r="G898" t="str">
            <v>ja</v>
          </cell>
          <cell r="H898" t="str">
            <v>【上級】FA</v>
          </cell>
          <cell r="I898" t="str">
            <v>地獄級</v>
          </cell>
          <cell r="J898">
            <v>1524</v>
          </cell>
          <cell r="K898">
            <v>20</v>
          </cell>
          <cell r="L898">
            <v>2000</v>
          </cell>
          <cell r="M898">
            <v>1</v>
          </cell>
          <cell r="N898">
            <v>1</v>
          </cell>
          <cell r="O898">
            <v>1</v>
          </cell>
          <cell r="P898">
            <v>1</v>
          </cell>
          <cell r="Q898">
            <v>1</v>
          </cell>
          <cell r="R898">
            <v>3</v>
          </cell>
          <cell r="S898" t="str">
            <v>none</v>
          </cell>
          <cell r="T898">
            <v>0</v>
          </cell>
          <cell r="U898" t="str">
            <v>NULL</v>
          </cell>
          <cell r="V898" t="str">
            <v>NULL</v>
          </cell>
          <cell r="W898" t="str">
            <v/>
          </cell>
          <cell r="X898">
            <v>0</v>
          </cell>
          <cell r="Y898">
            <v>0</v>
          </cell>
          <cell r="Z898">
            <v>0</v>
          </cell>
          <cell r="AA898">
            <v>0</v>
          </cell>
          <cell r="AB898" t="str">
            <v>anytime</v>
          </cell>
          <cell r="AC898">
            <v>994</v>
          </cell>
          <cell r="AD898">
            <v>6</v>
          </cell>
          <cell r="AE898" t="str">
            <v>everyone</v>
          </cell>
        </row>
        <row r="899">
          <cell r="A899" t="str">
            <v>49015_2</v>
          </cell>
          <cell r="B899">
            <v>1</v>
          </cell>
          <cell r="C899">
            <v>49015</v>
          </cell>
          <cell r="D899" t="str">
            <v>FA</v>
          </cell>
          <cell r="E899" t="str">
            <v>コラボ降臨11</v>
          </cell>
          <cell r="F899">
            <v>2</v>
          </cell>
          <cell r="G899" t="str">
            <v>ja</v>
          </cell>
          <cell r="H899" t="str">
            <v>【超級】FA</v>
          </cell>
          <cell r="I899" t="str">
            <v>地獄級</v>
          </cell>
          <cell r="J899">
            <v>1524</v>
          </cell>
          <cell r="K899">
            <v>30</v>
          </cell>
          <cell r="L899">
            <v>3300</v>
          </cell>
          <cell r="M899">
            <v>1</v>
          </cell>
          <cell r="N899">
            <v>1</v>
          </cell>
          <cell r="O899">
            <v>1</v>
          </cell>
          <cell r="P899">
            <v>1</v>
          </cell>
          <cell r="Q899">
            <v>1</v>
          </cell>
          <cell r="R899">
            <v>3</v>
          </cell>
          <cell r="S899" t="str">
            <v>none</v>
          </cell>
          <cell r="T899">
            <v>0</v>
          </cell>
          <cell r="U899" t="str">
            <v>NULL</v>
          </cell>
          <cell r="V899" t="str">
            <v>NULL</v>
          </cell>
          <cell r="W899" t="str">
            <v/>
          </cell>
          <cell r="X899">
            <v>0</v>
          </cell>
          <cell r="Y899">
            <v>0</v>
          </cell>
          <cell r="Z899">
            <v>0</v>
          </cell>
          <cell r="AA899">
            <v>0</v>
          </cell>
          <cell r="AB899" t="str">
            <v>anytime</v>
          </cell>
          <cell r="AC899">
            <v>994</v>
          </cell>
          <cell r="AD899">
            <v>6</v>
          </cell>
          <cell r="AE899" t="str">
            <v>everyone</v>
          </cell>
        </row>
        <row r="900">
          <cell r="A900" t="str">
            <v>49015_3</v>
          </cell>
          <cell r="B900">
            <v>1</v>
          </cell>
          <cell r="C900">
            <v>49015</v>
          </cell>
          <cell r="D900" t="str">
            <v>FA</v>
          </cell>
          <cell r="E900" t="str">
            <v>コラボ降臨11</v>
          </cell>
          <cell r="F900">
            <v>3</v>
          </cell>
          <cell r="G900" t="str">
            <v>ja</v>
          </cell>
          <cell r="H900" t="str">
            <v>【ウィザード級】FA</v>
          </cell>
          <cell r="I900" t="str">
            <v>地獄級</v>
          </cell>
          <cell r="J900">
            <v>1524</v>
          </cell>
          <cell r="K900">
            <v>40</v>
          </cell>
          <cell r="L900">
            <v>4500</v>
          </cell>
          <cell r="M900">
            <v>1</v>
          </cell>
          <cell r="N900">
            <v>1</v>
          </cell>
          <cell r="O900">
            <v>1</v>
          </cell>
          <cell r="P900">
            <v>1</v>
          </cell>
          <cell r="Q900">
            <v>1</v>
          </cell>
          <cell r="R900">
            <v>3</v>
          </cell>
          <cell r="S900" t="str">
            <v>polygon</v>
          </cell>
          <cell r="T900">
            <v>1</v>
          </cell>
          <cell r="U900" t="str">
            <v>NULL</v>
          </cell>
          <cell r="V900" t="str">
            <v>NULL</v>
          </cell>
          <cell r="W900" t="str">
            <v/>
          </cell>
          <cell r="X900">
            <v>0</v>
          </cell>
          <cell r="Y900">
            <v>0</v>
          </cell>
          <cell r="Z900">
            <v>0</v>
          </cell>
          <cell r="AA900">
            <v>0</v>
          </cell>
          <cell r="AB900" t="str">
            <v>anytime</v>
          </cell>
          <cell r="AC900">
            <v>994</v>
          </cell>
          <cell r="AD900">
            <v>6</v>
          </cell>
          <cell r="AE900" t="str">
            <v>everyone</v>
          </cell>
        </row>
        <row r="901">
          <cell r="A901" t="str">
            <v>50001_1</v>
          </cell>
          <cell r="B901">
            <v>3</v>
          </cell>
          <cell r="C901">
            <v>50001</v>
          </cell>
          <cell r="D901" t="str">
            <v>麒麟襲来！</v>
          </cell>
          <cell r="E901" t="str">
            <v>超降臨1</v>
          </cell>
          <cell r="F901">
            <v>1</v>
          </cell>
          <cell r="G901" t="str">
            <v>ja</v>
          </cell>
          <cell r="H901" t="str">
            <v xml:space="preserve">【超ウィザード級】麒麟襲来 </v>
          </cell>
          <cell r="I901" t="str">
            <v>超地獄級</v>
          </cell>
          <cell r="J901">
            <v>329</v>
          </cell>
          <cell r="K901">
            <v>40</v>
          </cell>
          <cell r="L901">
            <v>5200</v>
          </cell>
          <cell r="M901">
            <v>1</v>
          </cell>
          <cell r="N901">
            <v>1</v>
          </cell>
          <cell r="O901">
            <v>1</v>
          </cell>
          <cell r="P901">
            <v>1</v>
          </cell>
          <cell r="Q901">
            <v>1</v>
          </cell>
          <cell r="R901">
            <v>3</v>
          </cell>
          <cell r="S901" t="str">
            <v>character</v>
          </cell>
          <cell r="T901">
            <v>432</v>
          </cell>
          <cell r="U901" t="str">
            <v>NULL</v>
          </cell>
          <cell r="V901" t="str">
            <v>NULL</v>
          </cell>
          <cell r="W901" t="str">
            <v/>
          </cell>
          <cell r="X901">
            <v>0</v>
          </cell>
          <cell r="Y901">
            <v>0</v>
          </cell>
          <cell r="Z901">
            <v>0</v>
          </cell>
          <cell r="AA901">
            <v>0</v>
          </cell>
          <cell r="AB901" t="str">
            <v>anytime</v>
          </cell>
          <cell r="AC901">
            <v>905</v>
          </cell>
          <cell r="AD901">
            <v>6</v>
          </cell>
          <cell r="AE901" t="str">
            <v>everyone</v>
          </cell>
        </row>
        <row r="902">
          <cell r="A902" t="str">
            <v>50002_1</v>
          </cell>
          <cell r="B902">
            <v>3</v>
          </cell>
          <cell r="C902">
            <v>50002</v>
          </cell>
          <cell r="D902" t="str">
            <v>オーディン襲来！</v>
          </cell>
          <cell r="E902" t="str">
            <v>超降臨2</v>
          </cell>
          <cell r="F902">
            <v>1</v>
          </cell>
          <cell r="G902" t="str">
            <v>ja</v>
          </cell>
          <cell r="H902" t="str">
            <v xml:space="preserve">【超ウィザード級】オーディン襲来 </v>
          </cell>
          <cell r="I902" t="str">
            <v>超地獄級</v>
          </cell>
          <cell r="J902">
            <v>331</v>
          </cell>
          <cell r="K902">
            <v>40</v>
          </cell>
          <cell r="L902">
            <v>5200</v>
          </cell>
          <cell r="M902">
            <v>1</v>
          </cell>
          <cell r="N902">
            <v>1</v>
          </cell>
          <cell r="O902">
            <v>1</v>
          </cell>
          <cell r="P902">
            <v>1</v>
          </cell>
          <cell r="Q902">
            <v>1</v>
          </cell>
          <cell r="R902">
            <v>3</v>
          </cell>
          <cell r="S902" t="str">
            <v>character</v>
          </cell>
          <cell r="T902">
            <v>573</v>
          </cell>
          <cell r="U902" t="str">
            <v>NULL</v>
          </cell>
          <cell r="V902" t="str">
            <v>NULL</v>
          </cell>
          <cell r="W902" t="str">
            <v/>
          </cell>
          <cell r="X902">
            <v>0</v>
          </cell>
          <cell r="Y902">
            <v>0</v>
          </cell>
          <cell r="Z902">
            <v>0</v>
          </cell>
          <cell r="AA902">
            <v>0</v>
          </cell>
          <cell r="AB902" t="str">
            <v>anytime</v>
          </cell>
          <cell r="AC902">
            <v>911</v>
          </cell>
          <cell r="AD902">
            <v>6</v>
          </cell>
          <cell r="AE902" t="str">
            <v>everyone</v>
          </cell>
        </row>
        <row r="903">
          <cell r="A903" t="str">
            <v>50003_1</v>
          </cell>
          <cell r="B903">
            <v>3</v>
          </cell>
          <cell r="C903">
            <v>50003</v>
          </cell>
          <cell r="D903" t="str">
            <v>織田信長襲来！</v>
          </cell>
          <cell r="E903" t="str">
            <v>超降臨3</v>
          </cell>
          <cell r="F903">
            <v>1</v>
          </cell>
          <cell r="G903" t="str">
            <v>ja</v>
          </cell>
          <cell r="H903" t="str">
            <v xml:space="preserve">【超ウィザード級】織田信長襲来 </v>
          </cell>
          <cell r="I903" t="str">
            <v>超地獄級</v>
          </cell>
          <cell r="J903">
            <v>0</v>
          </cell>
          <cell r="K903">
            <v>40</v>
          </cell>
          <cell r="L903">
            <v>5200</v>
          </cell>
          <cell r="M903">
            <v>1</v>
          </cell>
          <cell r="N903">
            <v>1</v>
          </cell>
          <cell r="O903">
            <v>1</v>
          </cell>
          <cell r="P903">
            <v>1</v>
          </cell>
          <cell r="Q903">
            <v>1</v>
          </cell>
          <cell r="R903">
            <v>3</v>
          </cell>
          <cell r="S903" t="str">
            <v>character</v>
          </cell>
          <cell r="T903">
            <v>726</v>
          </cell>
          <cell r="U903" t="str">
            <v>NULL</v>
          </cell>
          <cell r="V903" t="str">
            <v>NULL</v>
          </cell>
          <cell r="W903" t="str">
            <v/>
          </cell>
          <cell r="X903">
            <v>0</v>
          </cell>
          <cell r="Y903">
            <v>0</v>
          </cell>
          <cell r="Z903">
            <v>0</v>
          </cell>
          <cell r="AA903">
            <v>0</v>
          </cell>
          <cell r="AB903" t="str">
            <v>anytime</v>
          </cell>
          <cell r="AC903">
            <v>920</v>
          </cell>
          <cell r="AD903">
            <v>6</v>
          </cell>
          <cell r="AE903" t="str">
            <v>everyone</v>
          </cell>
        </row>
        <row r="904">
          <cell r="A904" t="str">
            <v>50004_1</v>
          </cell>
          <cell r="B904">
            <v>3</v>
          </cell>
          <cell r="C904">
            <v>50004</v>
          </cell>
          <cell r="D904" t="str">
            <v>ルシファー襲来！</v>
          </cell>
          <cell r="E904" t="str">
            <v>超降臨4</v>
          </cell>
          <cell r="F904">
            <v>1</v>
          </cell>
          <cell r="G904" t="str">
            <v>ja</v>
          </cell>
          <cell r="H904" t="str">
            <v xml:space="preserve">【超ウィザード級】ルシファー襲来 </v>
          </cell>
          <cell r="I904" t="str">
            <v>超地獄級</v>
          </cell>
          <cell r="J904">
            <v>0</v>
          </cell>
          <cell r="K904">
            <v>40</v>
          </cell>
          <cell r="L904">
            <v>5200</v>
          </cell>
          <cell r="M904">
            <v>1</v>
          </cell>
          <cell r="N904">
            <v>1</v>
          </cell>
          <cell r="O904">
            <v>1</v>
          </cell>
          <cell r="P904">
            <v>1</v>
          </cell>
          <cell r="Q904">
            <v>1</v>
          </cell>
          <cell r="R904">
            <v>3</v>
          </cell>
          <cell r="S904" t="str">
            <v>character</v>
          </cell>
          <cell r="T904">
            <v>846</v>
          </cell>
          <cell r="U904" t="str">
            <v>NULL</v>
          </cell>
          <cell r="V904" t="str">
            <v>NULL</v>
          </cell>
          <cell r="W904" t="str">
            <v/>
          </cell>
          <cell r="X904">
            <v>0</v>
          </cell>
          <cell r="Y904">
            <v>0</v>
          </cell>
          <cell r="Z904">
            <v>0</v>
          </cell>
          <cell r="AA904">
            <v>0</v>
          </cell>
          <cell r="AB904" t="str">
            <v>anytime</v>
          </cell>
          <cell r="AC904">
            <v>928</v>
          </cell>
          <cell r="AD904">
            <v>6</v>
          </cell>
          <cell r="AE904" t="str">
            <v>everyone</v>
          </cell>
        </row>
        <row r="905">
          <cell r="A905" t="str">
            <v>50005_1</v>
          </cell>
          <cell r="B905">
            <v>3</v>
          </cell>
          <cell r="C905">
            <v>50005</v>
          </cell>
          <cell r="D905" t="str">
            <v>ゼウス襲来！</v>
          </cell>
          <cell r="E905" t="str">
            <v>超降臨5</v>
          </cell>
          <cell r="F905">
            <v>1</v>
          </cell>
          <cell r="G905" t="str">
            <v>ja</v>
          </cell>
          <cell r="H905" t="str">
            <v>【超ウィザード級】ゼウス襲来</v>
          </cell>
          <cell r="I905" t="str">
            <v>超地獄級</v>
          </cell>
          <cell r="J905">
            <v>0</v>
          </cell>
          <cell r="K905">
            <v>40</v>
          </cell>
          <cell r="L905">
            <v>5200</v>
          </cell>
          <cell r="M905">
            <v>1</v>
          </cell>
          <cell r="N905">
            <v>1</v>
          </cell>
          <cell r="O905">
            <v>1</v>
          </cell>
          <cell r="P905">
            <v>1</v>
          </cell>
          <cell r="Q905">
            <v>1</v>
          </cell>
          <cell r="R905">
            <v>3</v>
          </cell>
          <cell r="S905" t="str">
            <v>character</v>
          </cell>
          <cell r="T905">
            <v>929</v>
          </cell>
          <cell r="U905" t="str">
            <v>NULL</v>
          </cell>
          <cell r="V905" t="str">
            <v>NULL</v>
          </cell>
          <cell r="W905" t="str">
            <v/>
          </cell>
          <cell r="X905">
            <v>0</v>
          </cell>
          <cell r="Y905">
            <v>0</v>
          </cell>
          <cell r="Z905">
            <v>0</v>
          </cell>
          <cell r="AA905">
            <v>0</v>
          </cell>
          <cell r="AB905" t="str">
            <v>anytime</v>
          </cell>
          <cell r="AC905">
            <v>935</v>
          </cell>
          <cell r="AD905">
            <v>6</v>
          </cell>
          <cell r="AE905" t="str">
            <v>everyone</v>
          </cell>
        </row>
        <row r="906">
          <cell r="A906" t="str">
            <v>50006_1</v>
          </cell>
          <cell r="B906">
            <v>3</v>
          </cell>
          <cell r="C906">
            <v>50006</v>
          </cell>
          <cell r="D906" t="str">
            <v>セト襲来！</v>
          </cell>
          <cell r="E906" t="str">
            <v>超降臨6</v>
          </cell>
          <cell r="F906">
            <v>1</v>
          </cell>
          <cell r="G906" t="str">
            <v>ja</v>
          </cell>
          <cell r="H906" t="str">
            <v>【超ウィザード級】セト襲来</v>
          </cell>
          <cell r="I906" t="str">
            <v>超地獄級</v>
          </cell>
          <cell r="J906">
            <v>0</v>
          </cell>
          <cell r="K906">
            <v>40</v>
          </cell>
          <cell r="L906">
            <v>5200</v>
          </cell>
          <cell r="M906">
            <v>1</v>
          </cell>
          <cell r="N906">
            <v>1</v>
          </cell>
          <cell r="O906">
            <v>1</v>
          </cell>
          <cell r="P906">
            <v>1</v>
          </cell>
          <cell r="Q906">
            <v>1</v>
          </cell>
          <cell r="R906">
            <v>3</v>
          </cell>
          <cell r="S906" t="str">
            <v>character</v>
          </cell>
          <cell r="T906">
            <v>1010</v>
          </cell>
          <cell r="U906" t="str">
            <v>NULL</v>
          </cell>
          <cell r="V906" t="str">
            <v>NULL</v>
          </cell>
          <cell r="W906" t="str">
            <v/>
          </cell>
          <cell r="X906">
            <v>0</v>
          </cell>
          <cell r="Y906">
            <v>0</v>
          </cell>
          <cell r="Z906">
            <v>0</v>
          </cell>
          <cell r="AA906">
            <v>0</v>
          </cell>
          <cell r="AB906" t="str">
            <v>anytime</v>
          </cell>
          <cell r="AC906">
            <v>939</v>
          </cell>
          <cell r="AD906">
            <v>6</v>
          </cell>
          <cell r="AE906" t="str">
            <v>everyone</v>
          </cell>
        </row>
        <row r="907">
          <cell r="A907" t="str">
            <v>50007_1</v>
          </cell>
          <cell r="B907">
            <v>3</v>
          </cell>
          <cell r="C907">
            <v>50007</v>
          </cell>
          <cell r="D907" t="str">
            <v>ギルガメッシュ襲来！</v>
          </cell>
          <cell r="E907" t="str">
            <v>超降臨7</v>
          </cell>
          <cell r="F907">
            <v>1</v>
          </cell>
          <cell r="G907" t="str">
            <v>ja</v>
          </cell>
          <cell r="H907" t="str">
            <v>【超ウィザ】ギルガメッシュ襲来</v>
          </cell>
          <cell r="I907" t="str">
            <v>超地獄級</v>
          </cell>
          <cell r="J907">
            <v>0</v>
          </cell>
          <cell r="K907">
            <v>40</v>
          </cell>
          <cell r="L907">
            <v>5200</v>
          </cell>
          <cell r="M907">
            <v>1</v>
          </cell>
          <cell r="N907">
            <v>1</v>
          </cell>
          <cell r="O907">
            <v>1</v>
          </cell>
          <cell r="P907">
            <v>1</v>
          </cell>
          <cell r="Q907">
            <v>1</v>
          </cell>
          <cell r="R907">
            <v>3</v>
          </cell>
          <cell r="S907" t="str">
            <v>character</v>
          </cell>
          <cell r="T907">
            <v>1065</v>
          </cell>
          <cell r="U907" t="str">
            <v>NULL</v>
          </cell>
          <cell r="V907" t="str">
            <v>NULL</v>
          </cell>
          <cell r="W907" t="str">
            <v/>
          </cell>
          <cell r="X907">
            <v>0</v>
          </cell>
          <cell r="Y907">
            <v>0</v>
          </cell>
          <cell r="Z907">
            <v>0</v>
          </cell>
          <cell r="AA907">
            <v>0</v>
          </cell>
          <cell r="AB907" t="str">
            <v>anytime</v>
          </cell>
          <cell r="AC907">
            <v>945</v>
          </cell>
          <cell r="AD907">
            <v>6</v>
          </cell>
          <cell r="AE907" t="str">
            <v>everyone</v>
          </cell>
        </row>
        <row r="908">
          <cell r="A908" t="str">
            <v>50008_1</v>
          </cell>
          <cell r="B908">
            <v>3</v>
          </cell>
          <cell r="C908">
            <v>50008</v>
          </cell>
          <cell r="D908" t="str">
            <v>呂布襲来！</v>
          </cell>
          <cell r="E908" t="str">
            <v>超降臨8</v>
          </cell>
          <cell r="F908">
            <v>1</v>
          </cell>
          <cell r="G908" t="str">
            <v>ja</v>
          </cell>
          <cell r="H908" t="str">
            <v>【超ウィザード級】呂布襲来</v>
          </cell>
          <cell r="I908" t="str">
            <v>超地獄級</v>
          </cell>
          <cell r="J908">
            <v>0</v>
          </cell>
          <cell r="K908">
            <v>40</v>
          </cell>
          <cell r="L908">
            <v>5200</v>
          </cell>
          <cell r="M908">
            <v>1</v>
          </cell>
          <cell r="N908">
            <v>1</v>
          </cell>
          <cell r="O908">
            <v>1</v>
          </cell>
          <cell r="P908">
            <v>1</v>
          </cell>
          <cell r="Q908">
            <v>1</v>
          </cell>
          <cell r="R908">
            <v>3</v>
          </cell>
          <cell r="S908" t="str">
            <v>character</v>
          </cell>
          <cell r="T908">
            <v>1135</v>
          </cell>
          <cell r="U908" t="str">
            <v>NULL</v>
          </cell>
          <cell r="V908" t="str">
            <v>NULL</v>
          </cell>
          <cell r="W908" t="str">
            <v/>
          </cell>
          <cell r="X908">
            <v>0</v>
          </cell>
          <cell r="Y908">
            <v>0</v>
          </cell>
          <cell r="Z908">
            <v>0</v>
          </cell>
          <cell r="AA908">
            <v>0</v>
          </cell>
          <cell r="AB908" t="str">
            <v>anytime</v>
          </cell>
          <cell r="AC908">
            <v>950</v>
          </cell>
          <cell r="AD908">
            <v>6</v>
          </cell>
          <cell r="AE908" t="str">
            <v>everyone</v>
          </cell>
        </row>
        <row r="909">
          <cell r="A909" t="str">
            <v>50009_1</v>
          </cell>
          <cell r="B909">
            <v>1</v>
          </cell>
          <cell r="C909">
            <v>50009</v>
          </cell>
          <cell r="D909" t="str">
            <v>ヘラ襲来！</v>
          </cell>
          <cell r="E909" t="str">
            <v>超降臨9</v>
          </cell>
          <cell r="F909">
            <v>1</v>
          </cell>
          <cell r="G909" t="str">
            <v>ja</v>
          </cell>
          <cell r="H909" t="str">
            <v>【超ウィザード級】ヘラ襲来</v>
          </cell>
          <cell r="I909" t="str">
            <v>超地獄級</v>
          </cell>
          <cell r="J909">
            <v>0</v>
          </cell>
          <cell r="K909">
            <v>40</v>
          </cell>
          <cell r="L909">
            <v>5200</v>
          </cell>
          <cell r="M909">
            <v>1</v>
          </cell>
          <cell r="N909">
            <v>1</v>
          </cell>
          <cell r="O909">
            <v>1</v>
          </cell>
          <cell r="P909">
            <v>1</v>
          </cell>
          <cell r="Q909">
            <v>1</v>
          </cell>
          <cell r="R909">
            <v>3</v>
          </cell>
          <cell r="S909" t="str">
            <v>character</v>
          </cell>
          <cell r="T909">
            <v>1206</v>
          </cell>
          <cell r="U909" t="str">
            <v>NULL</v>
          </cell>
          <cell r="V909" t="str">
            <v>NULL</v>
          </cell>
          <cell r="W909" t="str">
            <v/>
          </cell>
          <cell r="X909">
            <v>0</v>
          </cell>
          <cell r="Y909">
            <v>0</v>
          </cell>
          <cell r="Z909">
            <v>0</v>
          </cell>
          <cell r="AA909">
            <v>0</v>
          </cell>
          <cell r="AB909" t="str">
            <v>anytime</v>
          </cell>
          <cell r="AC909">
            <v>955</v>
          </cell>
          <cell r="AD909">
            <v>6</v>
          </cell>
          <cell r="AE909" t="str">
            <v>everyone</v>
          </cell>
        </row>
        <row r="910">
          <cell r="A910" t="str">
            <v>50010_1</v>
          </cell>
          <cell r="B910">
            <v>3</v>
          </cell>
          <cell r="C910">
            <v>50010</v>
          </cell>
          <cell r="D910" t="str">
            <v>カフカ襲来！</v>
          </cell>
          <cell r="E910" t="str">
            <v>超降臨10</v>
          </cell>
          <cell r="F910">
            <v>1</v>
          </cell>
          <cell r="G910" t="str">
            <v>ja</v>
          </cell>
          <cell r="H910" t="str">
            <v>【超ウィザード級】カフカ襲来</v>
          </cell>
          <cell r="I910" t="str">
            <v>超地獄級</v>
          </cell>
          <cell r="J910">
            <v>0</v>
          </cell>
          <cell r="K910">
            <v>40</v>
          </cell>
          <cell r="L910">
            <v>5200</v>
          </cell>
          <cell r="M910">
            <v>1</v>
          </cell>
          <cell r="N910">
            <v>1</v>
          </cell>
          <cell r="O910">
            <v>1</v>
          </cell>
          <cell r="P910">
            <v>1</v>
          </cell>
          <cell r="Q910">
            <v>1</v>
          </cell>
          <cell r="R910">
            <v>3</v>
          </cell>
          <cell r="S910" t="str">
            <v>character</v>
          </cell>
          <cell r="T910">
            <v>1222</v>
          </cell>
          <cell r="U910" t="str">
            <v>NULL</v>
          </cell>
          <cell r="V910" t="str">
            <v>NULL</v>
          </cell>
          <cell r="W910" t="str">
            <v/>
          </cell>
          <cell r="X910">
            <v>0</v>
          </cell>
          <cell r="Y910">
            <v>0</v>
          </cell>
          <cell r="Z910">
            <v>0</v>
          </cell>
          <cell r="AA910">
            <v>0</v>
          </cell>
          <cell r="AB910" t="str">
            <v>anytime</v>
          </cell>
          <cell r="AC910">
            <v>957</v>
          </cell>
          <cell r="AD910">
            <v>6</v>
          </cell>
          <cell r="AE910" t="str">
            <v>everyone</v>
          </cell>
        </row>
        <row r="911">
          <cell r="A911" t="str">
            <v>50011_1</v>
          </cell>
          <cell r="B911">
            <v>3</v>
          </cell>
          <cell r="C911">
            <v>50011</v>
          </cell>
          <cell r="D911" t="str">
            <v>ヘラ襲来！</v>
          </cell>
          <cell r="E911" t="str">
            <v>超降臨9</v>
          </cell>
          <cell r="F911">
            <v>1</v>
          </cell>
          <cell r="G911" t="str">
            <v>ja</v>
          </cell>
          <cell r="H911" t="str">
            <v>【超ウィザード級】ヘラ襲来</v>
          </cell>
          <cell r="I911" t="str">
            <v>超地獄級</v>
          </cell>
          <cell r="J911">
            <v>0</v>
          </cell>
          <cell r="K911">
            <v>40</v>
          </cell>
          <cell r="L911">
            <v>5200</v>
          </cell>
          <cell r="M911">
            <v>1</v>
          </cell>
          <cell r="N911">
            <v>1</v>
          </cell>
          <cell r="O911">
            <v>1</v>
          </cell>
          <cell r="P911">
            <v>1</v>
          </cell>
          <cell r="Q911">
            <v>1</v>
          </cell>
          <cell r="R911">
            <v>3</v>
          </cell>
          <cell r="S911" t="str">
            <v>character</v>
          </cell>
          <cell r="T911">
            <v>1206</v>
          </cell>
          <cell r="U911" t="str">
            <v>NULL</v>
          </cell>
          <cell r="V911" t="str">
            <v>NULL</v>
          </cell>
          <cell r="W911" t="str">
            <v/>
          </cell>
          <cell r="X911">
            <v>0</v>
          </cell>
          <cell r="Y911">
            <v>0</v>
          </cell>
          <cell r="Z911">
            <v>0</v>
          </cell>
          <cell r="AA911">
            <v>0</v>
          </cell>
          <cell r="AB911" t="str">
            <v>anytime</v>
          </cell>
          <cell r="AC911">
            <v>955</v>
          </cell>
          <cell r="AD911">
            <v>6</v>
          </cell>
          <cell r="AE911" t="str">
            <v>everyone</v>
          </cell>
        </row>
        <row r="912">
          <cell r="A912" t="str">
            <v>50012_1</v>
          </cell>
          <cell r="B912">
            <v>3</v>
          </cell>
          <cell r="C912">
            <v>50012</v>
          </cell>
          <cell r="D912" t="str">
            <v>豊臣秀吉襲来！</v>
          </cell>
          <cell r="E912" t="str">
            <v>超降臨11</v>
          </cell>
          <cell r="F912">
            <v>1</v>
          </cell>
          <cell r="G912" t="str">
            <v>ja</v>
          </cell>
          <cell r="H912" t="str">
            <v>【超ウィザード級】豊臣秀吉襲来</v>
          </cell>
          <cell r="I912" t="str">
            <v>超地獄級</v>
          </cell>
          <cell r="J912">
            <v>0</v>
          </cell>
          <cell r="K912">
            <v>40</v>
          </cell>
          <cell r="L912">
            <v>5200</v>
          </cell>
          <cell r="M912">
            <v>1</v>
          </cell>
          <cell r="N912">
            <v>1</v>
          </cell>
          <cell r="O912">
            <v>1</v>
          </cell>
          <cell r="P912">
            <v>1</v>
          </cell>
          <cell r="Q912">
            <v>1</v>
          </cell>
          <cell r="R912">
            <v>3</v>
          </cell>
          <cell r="S912" t="str">
            <v>character</v>
          </cell>
          <cell r="T912">
            <v>1242</v>
          </cell>
          <cell r="U912" t="str">
            <v>NULL</v>
          </cell>
          <cell r="V912" t="str">
            <v>NULL</v>
          </cell>
          <cell r="W912" t="str">
            <v/>
          </cell>
          <cell r="X912">
            <v>0</v>
          </cell>
          <cell r="Y912">
            <v>0</v>
          </cell>
          <cell r="Z912">
            <v>0</v>
          </cell>
          <cell r="AA912">
            <v>0</v>
          </cell>
          <cell r="AB912" t="str">
            <v>anytime</v>
          </cell>
          <cell r="AC912">
            <v>959</v>
          </cell>
          <cell r="AD912">
            <v>6</v>
          </cell>
          <cell r="AE912" t="str">
            <v>everyone</v>
          </cell>
        </row>
        <row r="913">
          <cell r="A913" t="str">
            <v>50013_1</v>
          </cell>
          <cell r="B913">
            <v>3</v>
          </cell>
          <cell r="C913">
            <v>50013</v>
          </cell>
          <cell r="D913" t="str">
            <v>ロキ襲来！</v>
          </cell>
          <cell r="E913" t="str">
            <v>超降臨12</v>
          </cell>
          <cell r="F913">
            <v>1</v>
          </cell>
          <cell r="G913" t="str">
            <v>ja</v>
          </cell>
          <cell r="H913" t="str">
            <v>【超ウィザード級】ロキ襲来</v>
          </cell>
          <cell r="I913" t="str">
            <v>超地獄級</v>
          </cell>
          <cell r="J913">
            <v>0</v>
          </cell>
          <cell r="K913">
            <v>40</v>
          </cell>
          <cell r="L913">
            <v>5200</v>
          </cell>
          <cell r="M913">
            <v>1</v>
          </cell>
          <cell r="N913">
            <v>1</v>
          </cell>
          <cell r="O913">
            <v>1</v>
          </cell>
          <cell r="P913">
            <v>1</v>
          </cell>
          <cell r="Q913">
            <v>1</v>
          </cell>
          <cell r="R913">
            <v>3</v>
          </cell>
          <cell r="S913" t="str">
            <v>character</v>
          </cell>
          <cell r="T913">
            <v>1258</v>
          </cell>
          <cell r="U913" t="str">
            <v>NULL</v>
          </cell>
          <cell r="V913" t="str">
            <v>NULL</v>
          </cell>
          <cell r="W913" t="str">
            <v/>
          </cell>
          <cell r="X913">
            <v>0</v>
          </cell>
          <cell r="Y913">
            <v>0</v>
          </cell>
          <cell r="Z913">
            <v>0</v>
          </cell>
          <cell r="AA913">
            <v>0</v>
          </cell>
          <cell r="AB913" t="str">
            <v>anytime</v>
          </cell>
          <cell r="AC913">
            <v>961</v>
          </cell>
          <cell r="AD913">
            <v>6</v>
          </cell>
          <cell r="AE913" t="str">
            <v>everyone</v>
          </cell>
        </row>
        <row r="914">
          <cell r="A914" t="str">
            <v>50014_1</v>
          </cell>
          <cell r="B914">
            <v>3</v>
          </cell>
          <cell r="C914">
            <v>50014</v>
          </cell>
          <cell r="D914" t="str">
            <v>スサノオ襲来！</v>
          </cell>
          <cell r="E914" t="str">
            <v>超降臨13</v>
          </cell>
          <cell r="F914">
            <v>1</v>
          </cell>
          <cell r="G914" t="str">
            <v>ja</v>
          </cell>
          <cell r="H914" t="str">
            <v>【超ウィザード級】スサノオ襲来</v>
          </cell>
          <cell r="I914" t="str">
            <v>超地獄級</v>
          </cell>
          <cell r="J914">
            <v>0</v>
          </cell>
          <cell r="K914">
            <v>40</v>
          </cell>
          <cell r="L914">
            <v>5200</v>
          </cell>
          <cell r="M914">
            <v>1</v>
          </cell>
          <cell r="N914">
            <v>1</v>
          </cell>
          <cell r="O914">
            <v>1</v>
          </cell>
          <cell r="P914">
            <v>1</v>
          </cell>
          <cell r="Q914">
            <v>1</v>
          </cell>
          <cell r="R914">
            <v>3</v>
          </cell>
          <cell r="S914" t="str">
            <v>character</v>
          </cell>
          <cell r="T914">
            <v>1330</v>
          </cell>
          <cell r="U914" t="str">
            <v>NULL</v>
          </cell>
          <cell r="V914" t="str">
            <v>NULL</v>
          </cell>
          <cell r="W914" t="str">
            <v/>
          </cell>
          <cell r="X914">
            <v>0</v>
          </cell>
          <cell r="Y914">
            <v>0</v>
          </cell>
          <cell r="Z914">
            <v>0</v>
          </cell>
          <cell r="AA914">
            <v>0</v>
          </cell>
          <cell r="AB914" t="str">
            <v>anytime</v>
          </cell>
          <cell r="AC914">
            <v>967</v>
          </cell>
          <cell r="AD914">
            <v>6</v>
          </cell>
          <cell r="AE914" t="str">
            <v>everyone</v>
          </cell>
        </row>
        <row r="915">
          <cell r="A915" t="str">
            <v>51001_1</v>
          </cell>
          <cell r="B915">
            <v>3</v>
          </cell>
          <cell r="C915">
            <v>51001</v>
          </cell>
          <cell r="D915" t="str">
            <v>麒麟襲来！</v>
          </cell>
          <cell r="E915" t="str">
            <v>超降臨1</v>
          </cell>
          <cell r="F915">
            <v>1</v>
          </cell>
          <cell r="G915" t="str">
            <v>ja</v>
          </cell>
          <cell r="H915" t="str">
            <v xml:space="preserve">【超ウィザード級】麒麟襲来 </v>
          </cell>
          <cell r="I915" t="str">
            <v>超地獄級</v>
          </cell>
          <cell r="J915">
            <v>0</v>
          </cell>
          <cell r="K915">
            <v>40</v>
          </cell>
          <cell r="L915">
            <v>5200</v>
          </cell>
          <cell r="M915">
            <v>1</v>
          </cell>
          <cell r="N915">
            <v>1</v>
          </cell>
          <cell r="O915">
            <v>1</v>
          </cell>
          <cell r="P915">
            <v>1</v>
          </cell>
          <cell r="Q915">
            <v>1</v>
          </cell>
          <cell r="R915">
            <v>3</v>
          </cell>
          <cell r="S915" t="str">
            <v>character</v>
          </cell>
          <cell r="T915">
            <v>432</v>
          </cell>
          <cell r="U915" t="str">
            <v>NULL</v>
          </cell>
          <cell r="V915" t="str">
            <v>NULL</v>
          </cell>
          <cell r="W915" t="str">
            <v/>
          </cell>
          <cell r="X915">
            <v>0</v>
          </cell>
          <cell r="Y915">
            <v>0</v>
          </cell>
          <cell r="Z915">
            <v>0</v>
          </cell>
          <cell r="AA915">
            <v>0</v>
          </cell>
          <cell r="AB915" t="str">
            <v>anytime</v>
          </cell>
          <cell r="AC915">
            <v>905</v>
          </cell>
          <cell r="AD915">
            <v>6</v>
          </cell>
          <cell r="AE915" t="str">
            <v>everyone</v>
          </cell>
        </row>
        <row r="916">
          <cell r="A916" t="str">
            <v>51002_1</v>
          </cell>
          <cell r="B916">
            <v>3</v>
          </cell>
          <cell r="C916">
            <v>51002</v>
          </cell>
          <cell r="D916" t="str">
            <v>オーディン襲来！</v>
          </cell>
          <cell r="E916" t="str">
            <v>超降臨2</v>
          </cell>
          <cell r="F916">
            <v>1</v>
          </cell>
          <cell r="G916" t="str">
            <v>ja</v>
          </cell>
          <cell r="H916" t="str">
            <v>【超ウィザード級】オーディン襲来</v>
          </cell>
          <cell r="I916" t="str">
            <v>超地獄級</v>
          </cell>
          <cell r="J916">
            <v>0</v>
          </cell>
          <cell r="K916">
            <v>40</v>
          </cell>
          <cell r="L916">
            <v>5200</v>
          </cell>
          <cell r="M916">
            <v>1</v>
          </cell>
          <cell r="N916">
            <v>1</v>
          </cell>
          <cell r="O916">
            <v>1</v>
          </cell>
          <cell r="P916">
            <v>1</v>
          </cell>
          <cell r="Q916">
            <v>1</v>
          </cell>
          <cell r="R916">
            <v>3</v>
          </cell>
          <cell r="S916" t="str">
            <v>character</v>
          </cell>
          <cell r="T916">
            <v>573</v>
          </cell>
          <cell r="U916" t="str">
            <v>NULL</v>
          </cell>
          <cell r="V916" t="str">
            <v>NULL</v>
          </cell>
          <cell r="W916" t="str">
            <v/>
          </cell>
          <cell r="X916">
            <v>0</v>
          </cell>
          <cell r="Y916">
            <v>0</v>
          </cell>
          <cell r="Z916">
            <v>0</v>
          </cell>
          <cell r="AA916">
            <v>0</v>
          </cell>
          <cell r="AB916" t="str">
            <v>anytime</v>
          </cell>
          <cell r="AC916">
            <v>911</v>
          </cell>
          <cell r="AD916">
            <v>6</v>
          </cell>
          <cell r="AE916" t="str">
            <v>everyone</v>
          </cell>
        </row>
        <row r="917">
          <cell r="A917" t="str">
            <v>58001_1</v>
          </cell>
          <cell r="B917">
            <v>1</v>
          </cell>
          <cell r="C917">
            <v>58001</v>
          </cell>
          <cell r="D917" t="str">
            <v>曹操襲来！</v>
          </cell>
          <cell r="E917" t="str">
            <v>繁体字版超降臨1</v>
          </cell>
          <cell r="F917">
            <v>1</v>
          </cell>
          <cell r="G917" t="str">
            <v>ja</v>
          </cell>
          <cell r="H917" t="str">
            <v>【超ウィザード級】曹操襲来</v>
          </cell>
          <cell r="I917" t="str">
            <v>超地獄級</v>
          </cell>
          <cell r="J917">
            <v>0</v>
          </cell>
          <cell r="K917">
            <v>40</v>
          </cell>
          <cell r="L917">
            <v>5200</v>
          </cell>
          <cell r="M917">
            <v>1</v>
          </cell>
          <cell r="N917">
            <v>1</v>
          </cell>
          <cell r="O917">
            <v>1</v>
          </cell>
          <cell r="P917">
            <v>1</v>
          </cell>
          <cell r="Q917">
            <v>1</v>
          </cell>
          <cell r="R917">
            <v>3</v>
          </cell>
          <cell r="S917" t="str">
            <v>character</v>
          </cell>
          <cell r="T917">
            <v>8083</v>
          </cell>
          <cell r="U917" t="str">
            <v>NULL</v>
          </cell>
          <cell r="V917" t="str">
            <v>NULL</v>
          </cell>
          <cell r="W917" t="str">
            <v/>
          </cell>
          <cell r="X917">
            <v>0</v>
          </cell>
          <cell r="Y917">
            <v>0</v>
          </cell>
          <cell r="Z917">
            <v>0</v>
          </cell>
          <cell r="AA917">
            <v>0</v>
          </cell>
          <cell r="AB917" t="str">
            <v>anytime</v>
          </cell>
          <cell r="AC917">
            <v>964</v>
          </cell>
          <cell r="AD917">
            <v>6</v>
          </cell>
          <cell r="AE917" t="str">
            <v>everyone</v>
          </cell>
        </row>
        <row r="918">
          <cell r="A918" t="str">
            <v>59001_1</v>
          </cell>
          <cell r="B918">
            <v>3</v>
          </cell>
          <cell r="C918">
            <v>59001</v>
          </cell>
          <cell r="D918" t="str">
            <v>電子歌姫の堕天使</v>
          </cell>
          <cell r="E918" t="str">
            <v>コラボ超降臨1</v>
          </cell>
          <cell r="F918">
            <v>1</v>
          </cell>
          <cell r="G918" t="str">
            <v>ja</v>
          </cell>
          <cell r="H918" t="str">
            <v>【超ウィザード級】電子歌姫の堕天使</v>
          </cell>
          <cell r="I918" t="str">
            <v>超地獄級</v>
          </cell>
          <cell r="J918">
            <v>0</v>
          </cell>
          <cell r="K918">
            <v>30</v>
          </cell>
          <cell r="L918">
            <v>5200</v>
          </cell>
          <cell r="M918">
            <v>1</v>
          </cell>
          <cell r="N918">
            <v>1</v>
          </cell>
          <cell r="O918">
            <v>1</v>
          </cell>
          <cell r="P918">
            <v>1</v>
          </cell>
          <cell r="Q918">
            <v>1</v>
          </cell>
          <cell r="R918">
            <v>3</v>
          </cell>
          <cell r="S918" t="str">
            <v>character</v>
          </cell>
          <cell r="T918">
            <v>1306</v>
          </cell>
          <cell r="U918" t="str">
            <v>NULL</v>
          </cell>
          <cell r="V918" t="str">
            <v>NULL</v>
          </cell>
          <cell r="W918" t="str">
            <v/>
          </cell>
          <cell r="X918">
            <v>0</v>
          </cell>
          <cell r="Y918">
            <v>0</v>
          </cell>
          <cell r="Z918">
            <v>0</v>
          </cell>
          <cell r="AA918">
            <v>0</v>
          </cell>
          <cell r="AB918" t="str">
            <v>anytime</v>
          </cell>
          <cell r="AC918">
            <v>968</v>
          </cell>
          <cell r="AD918">
            <v>6</v>
          </cell>
          <cell r="AE918" t="str">
            <v>everyone</v>
          </cell>
        </row>
        <row r="919">
          <cell r="A919" t="str">
            <v>59002_1</v>
          </cell>
          <cell r="B919">
            <v>1</v>
          </cell>
          <cell r="C919">
            <v>59002</v>
          </cell>
          <cell r="D919" t="str">
            <v>C超魔</v>
          </cell>
          <cell r="E919" t="str">
            <v>コラボ超降臨2</v>
          </cell>
          <cell r="F919">
            <v>1</v>
          </cell>
          <cell r="G919" t="str">
            <v>ja</v>
          </cell>
          <cell r="H919" t="str">
            <v>【超ウィザード級】C超魔</v>
          </cell>
          <cell r="I919" t="str">
            <v>超地獄級</v>
          </cell>
          <cell r="J919">
            <v>0</v>
          </cell>
          <cell r="K919">
            <v>40</v>
          </cell>
          <cell r="L919">
            <v>5200</v>
          </cell>
          <cell r="M919">
            <v>1</v>
          </cell>
          <cell r="N919">
            <v>1</v>
          </cell>
          <cell r="O919">
            <v>1</v>
          </cell>
          <cell r="P919">
            <v>1</v>
          </cell>
          <cell r="Q919">
            <v>1</v>
          </cell>
          <cell r="R919">
            <v>3</v>
          </cell>
          <cell r="S919" t="str">
            <v>character</v>
          </cell>
          <cell r="T919">
            <v>1525</v>
          </cell>
          <cell r="U919" t="str">
            <v>NULL</v>
          </cell>
          <cell r="V919" t="str">
            <v>NULL</v>
          </cell>
          <cell r="W919" t="str">
            <v/>
          </cell>
          <cell r="X919">
            <v>0</v>
          </cell>
          <cell r="Y919">
            <v>0</v>
          </cell>
          <cell r="Z919">
            <v>0</v>
          </cell>
          <cell r="AA919">
            <v>0</v>
          </cell>
          <cell r="AB919" t="str">
            <v>anytime</v>
          </cell>
          <cell r="AC919">
            <v>967</v>
          </cell>
          <cell r="AD919">
            <v>6</v>
          </cell>
          <cell r="AE919" t="str">
            <v>everyone</v>
          </cell>
        </row>
        <row r="920">
          <cell r="A920" t="str">
            <v>60001_1</v>
          </cell>
          <cell r="B920">
            <v>1</v>
          </cell>
          <cell r="C920">
            <v>60001</v>
          </cell>
          <cell r="D920" t="str">
            <v>ヘンペルチャレンジ</v>
          </cell>
          <cell r="E920" t="str">
            <v>ランキング1</v>
          </cell>
          <cell r="F920">
            <v>1</v>
          </cell>
          <cell r="G920" t="str">
            <v>ja</v>
          </cell>
          <cell r="H920" t="str">
            <v>[ウィザード] 第一回</v>
          </cell>
          <cell r="I920" t="str">
            <v>ランキング</v>
          </cell>
          <cell r="J920">
            <v>488</v>
          </cell>
          <cell r="K920">
            <v>5</v>
          </cell>
          <cell r="L920">
            <v>0</v>
          </cell>
          <cell r="M920">
            <v>1</v>
          </cell>
          <cell r="N920">
            <v>1</v>
          </cell>
          <cell r="O920">
            <v>1</v>
          </cell>
          <cell r="P920">
            <v>1</v>
          </cell>
          <cell r="Q920">
            <v>1</v>
          </cell>
          <cell r="R920">
            <v>3</v>
          </cell>
          <cell r="S920" t="str">
            <v>none</v>
          </cell>
          <cell r="T920">
            <v>0</v>
          </cell>
          <cell r="U920" t="str">
            <v>NULL</v>
          </cell>
          <cell r="V920" t="str">
            <v>NULL</v>
          </cell>
          <cell r="W920" t="str">
            <v/>
          </cell>
          <cell r="X920">
            <v>0</v>
          </cell>
          <cell r="Y920">
            <v>0</v>
          </cell>
          <cell r="Z920">
            <v>0</v>
          </cell>
          <cell r="AA920">
            <v>0</v>
          </cell>
          <cell r="AB920" t="str">
            <v>anytime</v>
          </cell>
          <cell r="AC920">
            <v>911</v>
          </cell>
          <cell r="AD920">
            <v>6</v>
          </cell>
          <cell r="AE920" t="str">
            <v>singleonly</v>
          </cell>
        </row>
        <row r="921">
          <cell r="A921" t="str">
            <v>60002_1</v>
          </cell>
          <cell r="B921">
            <v>1</v>
          </cell>
          <cell r="C921">
            <v>60002</v>
          </cell>
          <cell r="D921" t="str">
            <v>ヘンペルチャレンジ</v>
          </cell>
          <cell r="E921" t="str">
            <v>ランキング1</v>
          </cell>
          <cell r="F921">
            <v>1</v>
          </cell>
          <cell r="G921" t="str">
            <v>ja</v>
          </cell>
          <cell r="H921" t="str">
            <v>[超級] 第2回　※Wizと難易度は同じ</v>
          </cell>
          <cell r="I921" t="str">
            <v>ランキング</v>
          </cell>
          <cell r="J921">
            <v>488</v>
          </cell>
          <cell r="K921">
            <v>5</v>
          </cell>
          <cell r="L921">
            <v>0</v>
          </cell>
          <cell r="M921">
            <v>1</v>
          </cell>
          <cell r="N921">
            <v>1</v>
          </cell>
          <cell r="O921">
            <v>1</v>
          </cell>
          <cell r="P921">
            <v>1</v>
          </cell>
          <cell r="Q921">
            <v>1</v>
          </cell>
          <cell r="R921">
            <v>3</v>
          </cell>
          <cell r="S921" t="str">
            <v>none</v>
          </cell>
          <cell r="T921">
            <v>0</v>
          </cell>
          <cell r="U921" t="str">
            <v>NULL</v>
          </cell>
          <cell r="V921" t="str">
            <v>NULL</v>
          </cell>
          <cell r="W921" t="str">
            <v/>
          </cell>
          <cell r="X921">
            <v>0</v>
          </cell>
          <cell r="Y921">
            <v>0</v>
          </cell>
          <cell r="Z921">
            <v>0</v>
          </cell>
          <cell r="AA921">
            <v>0</v>
          </cell>
          <cell r="AB921" t="str">
            <v>anytime</v>
          </cell>
          <cell r="AC921">
            <v>911</v>
          </cell>
          <cell r="AD921">
            <v>6</v>
          </cell>
          <cell r="AE921" t="str">
            <v>singleonly</v>
          </cell>
        </row>
        <row r="922">
          <cell r="A922" t="str">
            <v>60002_2</v>
          </cell>
          <cell r="B922">
            <v>1</v>
          </cell>
          <cell r="C922">
            <v>60002</v>
          </cell>
          <cell r="D922" t="str">
            <v>ヘンペルチャレンジ</v>
          </cell>
          <cell r="E922" t="str">
            <v>ランキング1</v>
          </cell>
          <cell r="F922">
            <v>2</v>
          </cell>
          <cell r="G922" t="str">
            <v>ja</v>
          </cell>
          <cell r="H922" t="str">
            <v>[ウィザード] 第2回　※Wizと難易度は同じ</v>
          </cell>
          <cell r="I922" t="str">
            <v>ランキング</v>
          </cell>
          <cell r="J922">
            <v>488</v>
          </cell>
          <cell r="K922">
            <v>5</v>
          </cell>
          <cell r="L922">
            <v>0</v>
          </cell>
          <cell r="M922">
            <v>1</v>
          </cell>
          <cell r="N922">
            <v>1</v>
          </cell>
          <cell r="O922">
            <v>1</v>
          </cell>
          <cell r="P922">
            <v>1</v>
          </cell>
          <cell r="Q922">
            <v>1</v>
          </cell>
          <cell r="R922">
            <v>3</v>
          </cell>
          <cell r="S922" t="str">
            <v>none</v>
          </cell>
          <cell r="T922">
            <v>0</v>
          </cell>
          <cell r="U922" t="str">
            <v>NULL</v>
          </cell>
          <cell r="V922" t="str">
            <v>NULL</v>
          </cell>
          <cell r="W922" t="str">
            <v/>
          </cell>
          <cell r="X922">
            <v>0</v>
          </cell>
          <cell r="Y922">
            <v>0</v>
          </cell>
          <cell r="Z922">
            <v>0</v>
          </cell>
          <cell r="AA922">
            <v>0</v>
          </cell>
          <cell r="AB922" t="str">
            <v>anytime</v>
          </cell>
          <cell r="AC922">
            <v>911</v>
          </cell>
          <cell r="AD922">
            <v>6</v>
          </cell>
          <cell r="AE922" t="str">
            <v>singleonly</v>
          </cell>
        </row>
        <row r="923">
          <cell r="A923" t="str">
            <v>60003_1</v>
          </cell>
          <cell r="B923">
            <v>1</v>
          </cell>
          <cell r="C923">
            <v>60003</v>
          </cell>
          <cell r="D923" t="str">
            <v>ヘンペルチャレンジ</v>
          </cell>
          <cell r="E923" t="str">
            <v>ランキング1</v>
          </cell>
          <cell r="F923">
            <v>1</v>
          </cell>
          <cell r="G923" t="str">
            <v>ja</v>
          </cell>
          <cell r="H923" t="str">
            <v>[中級] 第3回　</v>
          </cell>
          <cell r="I923" t="str">
            <v>ランキング</v>
          </cell>
          <cell r="J923">
            <v>488</v>
          </cell>
          <cell r="K923">
            <v>5</v>
          </cell>
          <cell r="L923">
            <v>0</v>
          </cell>
          <cell r="M923">
            <v>1</v>
          </cell>
          <cell r="N923">
            <v>1</v>
          </cell>
          <cell r="O923">
            <v>1</v>
          </cell>
          <cell r="P923">
            <v>1</v>
          </cell>
          <cell r="Q923">
            <v>1</v>
          </cell>
          <cell r="R923">
            <v>3</v>
          </cell>
          <cell r="S923" t="str">
            <v>none</v>
          </cell>
          <cell r="T923">
            <v>0</v>
          </cell>
          <cell r="U923" t="str">
            <v>NULL</v>
          </cell>
          <cell r="V923" t="str">
            <v>NULL</v>
          </cell>
          <cell r="W923" t="str">
            <v/>
          </cell>
          <cell r="X923">
            <v>0</v>
          </cell>
          <cell r="Y923">
            <v>0</v>
          </cell>
          <cell r="Z923">
            <v>0</v>
          </cell>
          <cell r="AA923">
            <v>0</v>
          </cell>
          <cell r="AB923" t="str">
            <v>anytime</v>
          </cell>
          <cell r="AC923">
            <v>911</v>
          </cell>
          <cell r="AD923">
            <v>6</v>
          </cell>
          <cell r="AE923" t="str">
            <v>singleonly</v>
          </cell>
        </row>
        <row r="924">
          <cell r="A924" t="str">
            <v>60003_2</v>
          </cell>
          <cell r="B924">
            <v>1</v>
          </cell>
          <cell r="C924">
            <v>60003</v>
          </cell>
          <cell r="D924" t="str">
            <v>ヘンペルチャレンジ</v>
          </cell>
          <cell r="E924" t="str">
            <v>ランキング1</v>
          </cell>
          <cell r="F924">
            <v>2</v>
          </cell>
          <cell r="G924" t="str">
            <v>ja</v>
          </cell>
          <cell r="H924" t="str">
            <v>[超級] 第3回　</v>
          </cell>
          <cell r="I924" t="str">
            <v>ランキング</v>
          </cell>
          <cell r="J924">
            <v>488</v>
          </cell>
          <cell r="K924">
            <v>5</v>
          </cell>
          <cell r="L924">
            <v>0</v>
          </cell>
          <cell r="M924">
            <v>1</v>
          </cell>
          <cell r="N924">
            <v>1</v>
          </cell>
          <cell r="O924">
            <v>1</v>
          </cell>
          <cell r="P924">
            <v>1</v>
          </cell>
          <cell r="Q924">
            <v>1</v>
          </cell>
          <cell r="R924">
            <v>3</v>
          </cell>
          <cell r="S924" t="str">
            <v>none</v>
          </cell>
          <cell r="T924">
            <v>0</v>
          </cell>
          <cell r="U924">
            <v>60003</v>
          </cell>
          <cell r="V924">
            <v>1</v>
          </cell>
          <cell r="W924" t="str">
            <v>[中級] 第3回　</v>
          </cell>
          <cell r="X924">
            <v>0</v>
          </cell>
          <cell r="Y924">
            <v>0</v>
          </cell>
          <cell r="Z924">
            <v>0</v>
          </cell>
          <cell r="AA924">
            <v>0</v>
          </cell>
          <cell r="AB924" t="str">
            <v>anytime</v>
          </cell>
          <cell r="AC924">
            <v>911</v>
          </cell>
          <cell r="AD924">
            <v>6</v>
          </cell>
          <cell r="AE924" t="str">
            <v>singleonly</v>
          </cell>
        </row>
        <row r="925">
          <cell r="A925" t="str">
            <v>60003_3</v>
          </cell>
          <cell r="B925">
            <v>1</v>
          </cell>
          <cell r="C925">
            <v>60003</v>
          </cell>
          <cell r="D925" t="str">
            <v>ヘンペルチャレンジ</v>
          </cell>
          <cell r="E925" t="str">
            <v>ランキング1</v>
          </cell>
          <cell r="F925">
            <v>3</v>
          </cell>
          <cell r="G925" t="str">
            <v>ja</v>
          </cell>
          <cell r="H925" t="str">
            <v>[ウィザード] 第3回　</v>
          </cell>
          <cell r="I925" t="str">
            <v>ランキング</v>
          </cell>
          <cell r="J925">
            <v>488</v>
          </cell>
          <cell r="K925">
            <v>5</v>
          </cell>
          <cell r="L925">
            <v>0</v>
          </cell>
          <cell r="M925">
            <v>1</v>
          </cell>
          <cell r="N925">
            <v>1</v>
          </cell>
          <cell r="O925">
            <v>1</v>
          </cell>
          <cell r="P925">
            <v>1</v>
          </cell>
          <cell r="Q925">
            <v>1</v>
          </cell>
          <cell r="R925">
            <v>3</v>
          </cell>
          <cell r="S925" t="str">
            <v>none</v>
          </cell>
          <cell r="T925">
            <v>0</v>
          </cell>
          <cell r="U925">
            <v>60003</v>
          </cell>
          <cell r="V925">
            <v>2</v>
          </cell>
          <cell r="W925" t="str">
            <v>[超級] 第3回　</v>
          </cell>
          <cell r="X925">
            <v>0</v>
          </cell>
          <cell r="Y925">
            <v>0</v>
          </cell>
          <cell r="Z925">
            <v>0</v>
          </cell>
          <cell r="AA925">
            <v>0</v>
          </cell>
          <cell r="AB925" t="str">
            <v>anytime</v>
          </cell>
          <cell r="AC925">
            <v>911</v>
          </cell>
          <cell r="AD925">
            <v>6</v>
          </cell>
          <cell r="AE925" t="str">
            <v>singleonly</v>
          </cell>
        </row>
        <row r="926">
          <cell r="A926" t="str">
            <v>60004_1</v>
          </cell>
          <cell r="B926">
            <v>1</v>
          </cell>
          <cell r="C926">
            <v>60004</v>
          </cell>
          <cell r="D926" t="str">
            <v>ヘンペルチャレンジ</v>
          </cell>
          <cell r="E926" t="str">
            <v>ランキング1</v>
          </cell>
          <cell r="F926">
            <v>1</v>
          </cell>
          <cell r="G926" t="str">
            <v>ja</v>
          </cell>
          <cell r="H926" t="str">
            <v>[ウィザード] 第4回　</v>
          </cell>
          <cell r="I926" t="str">
            <v>ランキング</v>
          </cell>
          <cell r="J926">
            <v>488</v>
          </cell>
          <cell r="K926">
            <v>5</v>
          </cell>
          <cell r="L926">
            <v>0</v>
          </cell>
          <cell r="M926">
            <v>1</v>
          </cell>
          <cell r="N926">
            <v>1</v>
          </cell>
          <cell r="O926">
            <v>1</v>
          </cell>
          <cell r="P926">
            <v>1</v>
          </cell>
          <cell r="Q926">
            <v>1</v>
          </cell>
          <cell r="R926">
            <v>3</v>
          </cell>
          <cell r="S926" t="str">
            <v>none</v>
          </cell>
          <cell r="T926">
            <v>0</v>
          </cell>
          <cell r="U926" t="str">
            <v>NULL</v>
          </cell>
          <cell r="V926" t="str">
            <v>NULL</v>
          </cell>
          <cell r="W926" t="str">
            <v/>
          </cell>
          <cell r="X926">
            <v>0</v>
          </cell>
          <cell r="Y926">
            <v>0</v>
          </cell>
          <cell r="Z926">
            <v>0</v>
          </cell>
          <cell r="AA926">
            <v>0</v>
          </cell>
          <cell r="AB926" t="str">
            <v>anytime</v>
          </cell>
          <cell r="AC926">
            <v>911</v>
          </cell>
          <cell r="AD926">
            <v>6</v>
          </cell>
          <cell r="AE926" t="str">
            <v>singleonly</v>
          </cell>
        </row>
        <row r="927">
          <cell r="A927" t="str">
            <v>60005_1</v>
          </cell>
          <cell r="B927">
            <v>1</v>
          </cell>
          <cell r="C927">
            <v>60005</v>
          </cell>
          <cell r="D927" t="str">
            <v>オイラーチャレンジ</v>
          </cell>
          <cell r="E927" t="str">
            <v>ランキング1</v>
          </cell>
          <cell r="F927">
            <v>1</v>
          </cell>
          <cell r="G927" t="str">
            <v>ja</v>
          </cell>
          <cell r="H927" t="str">
            <v>[ウィザード] 第5回　</v>
          </cell>
          <cell r="I927" t="str">
            <v>ランキング</v>
          </cell>
          <cell r="J927">
            <v>379</v>
          </cell>
          <cell r="K927">
            <v>5</v>
          </cell>
          <cell r="L927">
            <v>0</v>
          </cell>
          <cell r="M927">
            <v>1</v>
          </cell>
          <cell r="N927">
            <v>1</v>
          </cell>
          <cell r="O927">
            <v>1</v>
          </cell>
          <cell r="P927">
            <v>1</v>
          </cell>
          <cell r="Q927">
            <v>1</v>
          </cell>
          <cell r="R927">
            <v>3</v>
          </cell>
          <cell r="S927" t="str">
            <v>none</v>
          </cell>
          <cell r="T927">
            <v>0</v>
          </cell>
          <cell r="U927" t="str">
            <v>NULL</v>
          </cell>
          <cell r="V927" t="str">
            <v>NULL</v>
          </cell>
          <cell r="W927" t="str">
            <v/>
          </cell>
          <cell r="X927">
            <v>0</v>
          </cell>
          <cell r="Y927">
            <v>0</v>
          </cell>
          <cell r="Z927">
            <v>0</v>
          </cell>
          <cell r="AA927">
            <v>0</v>
          </cell>
          <cell r="AB927" t="str">
            <v>anytime</v>
          </cell>
          <cell r="AC927">
            <v>923</v>
          </cell>
          <cell r="AD927">
            <v>6</v>
          </cell>
          <cell r="AE927" t="str">
            <v>singleonly</v>
          </cell>
        </row>
        <row r="928">
          <cell r="A928" t="str">
            <v>60006_1</v>
          </cell>
          <cell r="B928">
            <v>0</v>
          </cell>
          <cell r="C928">
            <v>60006</v>
          </cell>
          <cell r="D928" t="str">
            <v>オイラーチャレンジ</v>
          </cell>
          <cell r="E928" t="str">
            <v>ランキング1（本番実装用）</v>
          </cell>
          <cell r="F928">
            <v>1</v>
          </cell>
          <cell r="G928" t="str">
            <v>ja</v>
          </cell>
          <cell r="H928" t="str">
            <v>【中級】オイラーチャレンジ</v>
          </cell>
          <cell r="I928" t="str">
            <v>中級</v>
          </cell>
          <cell r="J928">
            <v>378</v>
          </cell>
          <cell r="K928">
            <v>15</v>
          </cell>
          <cell r="L928">
            <v>1200</v>
          </cell>
          <cell r="M928">
            <v>1</v>
          </cell>
          <cell r="N928">
            <v>1</v>
          </cell>
          <cell r="O928">
            <v>1</v>
          </cell>
          <cell r="P928">
            <v>1</v>
          </cell>
          <cell r="Q928">
            <v>1</v>
          </cell>
          <cell r="R928">
            <v>3</v>
          </cell>
          <cell r="S928" t="str">
            <v>none</v>
          </cell>
          <cell r="T928">
            <v>0</v>
          </cell>
          <cell r="U928">
            <v>60006</v>
          </cell>
          <cell r="V928">
            <v>1</v>
          </cell>
          <cell r="W928" t="str">
            <v>【中級】オイラーチャレンジ</v>
          </cell>
          <cell r="X928">
            <v>0</v>
          </cell>
          <cell r="Y928">
            <v>0</v>
          </cell>
          <cell r="Z928">
            <v>0</v>
          </cell>
          <cell r="AA928">
            <v>0</v>
          </cell>
          <cell r="AB928" t="str">
            <v>anytime</v>
          </cell>
          <cell r="AC928">
            <v>923</v>
          </cell>
          <cell r="AD928">
            <v>6</v>
          </cell>
          <cell r="AE928" t="str">
            <v>singleonly</v>
          </cell>
        </row>
        <row r="929">
          <cell r="A929" t="str">
            <v>60006_2</v>
          </cell>
          <cell r="B929">
            <v>0</v>
          </cell>
          <cell r="C929">
            <v>60006</v>
          </cell>
          <cell r="D929" t="str">
            <v>オイラーチャレンジ</v>
          </cell>
          <cell r="E929" t="str">
            <v>ランキング1（本番実装用）</v>
          </cell>
          <cell r="F929">
            <v>2</v>
          </cell>
          <cell r="G929" t="str">
            <v>ja</v>
          </cell>
          <cell r="H929" t="str">
            <v>【超級】オイラーチャレンジ</v>
          </cell>
          <cell r="I929" t="str">
            <v>超級</v>
          </cell>
          <cell r="J929">
            <v>378</v>
          </cell>
          <cell r="K929">
            <v>30</v>
          </cell>
          <cell r="L929">
            <v>3300</v>
          </cell>
          <cell r="M929">
            <v>1</v>
          </cell>
          <cell r="N929">
            <v>1</v>
          </cell>
          <cell r="O929">
            <v>1</v>
          </cell>
          <cell r="P929">
            <v>1</v>
          </cell>
          <cell r="Q929">
            <v>1</v>
          </cell>
          <cell r="R929">
            <v>3</v>
          </cell>
          <cell r="S929" t="str">
            <v>none</v>
          </cell>
          <cell r="T929">
            <v>0</v>
          </cell>
          <cell r="U929">
            <v>60006</v>
          </cell>
          <cell r="V929">
            <v>2</v>
          </cell>
          <cell r="W929" t="str">
            <v>【超級】オイラーチャレンジ</v>
          </cell>
          <cell r="X929">
            <v>0</v>
          </cell>
          <cell r="Y929">
            <v>0</v>
          </cell>
          <cell r="Z929">
            <v>0</v>
          </cell>
          <cell r="AA929">
            <v>0</v>
          </cell>
          <cell r="AB929" t="str">
            <v>anytime</v>
          </cell>
          <cell r="AC929">
            <v>923</v>
          </cell>
          <cell r="AD929">
            <v>6</v>
          </cell>
          <cell r="AE929" t="str">
            <v>singleonly</v>
          </cell>
        </row>
        <row r="930">
          <cell r="A930" t="str">
            <v>60006_3</v>
          </cell>
          <cell r="B930">
            <v>3</v>
          </cell>
          <cell r="C930">
            <v>60006</v>
          </cell>
          <cell r="D930" t="str">
            <v>オイラーチャレンジ</v>
          </cell>
          <cell r="E930" t="str">
            <v>ランキング1（本番実装用）</v>
          </cell>
          <cell r="F930">
            <v>3</v>
          </cell>
          <cell r="G930" t="str">
            <v>ja</v>
          </cell>
          <cell r="H930" t="str">
            <v>【ウィザード級】オイラーチャレンジ</v>
          </cell>
          <cell r="I930" t="str">
            <v>ウィザード級</v>
          </cell>
          <cell r="J930">
            <v>379</v>
          </cell>
          <cell r="K930">
            <v>35</v>
          </cell>
          <cell r="L930">
            <v>4200</v>
          </cell>
          <cell r="M930">
            <v>1</v>
          </cell>
          <cell r="N930">
            <v>1</v>
          </cell>
          <cell r="O930">
            <v>1</v>
          </cell>
          <cell r="P930">
            <v>1</v>
          </cell>
          <cell r="Q930">
            <v>1</v>
          </cell>
          <cell r="R930">
            <v>3</v>
          </cell>
          <cell r="S930" t="str">
            <v>none</v>
          </cell>
          <cell r="T930">
            <v>0</v>
          </cell>
          <cell r="U930">
            <v>60006</v>
          </cell>
          <cell r="V930">
            <v>3</v>
          </cell>
          <cell r="W930" t="str">
            <v>【ウィザード級】オイラーチャレンジ</v>
          </cell>
          <cell r="X930">
            <v>0</v>
          </cell>
          <cell r="Y930">
            <v>0</v>
          </cell>
          <cell r="Z930">
            <v>0</v>
          </cell>
          <cell r="AA930">
            <v>0</v>
          </cell>
          <cell r="AB930" t="str">
            <v>anytime</v>
          </cell>
          <cell r="AC930">
            <v>923</v>
          </cell>
          <cell r="AD930">
            <v>6</v>
          </cell>
          <cell r="AE930" t="str">
            <v>singleonly</v>
          </cell>
        </row>
        <row r="931">
          <cell r="A931" t="str">
            <v>60007_1</v>
          </cell>
          <cell r="B931">
            <v>0</v>
          </cell>
          <cell r="C931">
            <v>60007</v>
          </cell>
          <cell r="D931" t="str">
            <v>オイラーチャレンジ</v>
          </cell>
          <cell r="E931" t="str">
            <v>ランキング1（改修版）</v>
          </cell>
          <cell r="F931">
            <v>1</v>
          </cell>
          <cell r="G931" t="str">
            <v>ja</v>
          </cell>
          <cell r="H931" t="str">
            <v>【中級】オイラーチャレンジ</v>
          </cell>
          <cell r="I931" t="str">
            <v>中級</v>
          </cell>
          <cell r="J931">
            <v>378</v>
          </cell>
          <cell r="K931">
            <v>15</v>
          </cell>
          <cell r="L931">
            <v>1200</v>
          </cell>
          <cell r="M931">
            <v>1</v>
          </cell>
          <cell r="N931">
            <v>1</v>
          </cell>
          <cell r="O931">
            <v>1</v>
          </cell>
          <cell r="P931">
            <v>1</v>
          </cell>
          <cell r="Q931">
            <v>1</v>
          </cell>
          <cell r="R931">
            <v>3</v>
          </cell>
          <cell r="S931" t="str">
            <v>none</v>
          </cell>
          <cell r="T931">
            <v>0</v>
          </cell>
          <cell r="U931" t="str">
            <v>NULL</v>
          </cell>
          <cell r="V931" t="str">
            <v>NULL</v>
          </cell>
          <cell r="W931" t="str">
            <v/>
          </cell>
          <cell r="X931">
            <v>0</v>
          </cell>
          <cell r="Y931">
            <v>0</v>
          </cell>
          <cell r="Z931">
            <v>0</v>
          </cell>
          <cell r="AA931">
            <v>0</v>
          </cell>
          <cell r="AB931" t="str">
            <v>anytime</v>
          </cell>
          <cell r="AC931">
            <v>923</v>
          </cell>
          <cell r="AD931">
            <v>6</v>
          </cell>
          <cell r="AE931" t="str">
            <v>singleonly</v>
          </cell>
        </row>
        <row r="932">
          <cell r="A932" t="str">
            <v>60007_2</v>
          </cell>
          <cell r="B932">
            <v>0</v>
          </cell>
          <cell r="C932">
            <v>60007</v>
          </cell>
          <cell r="D932" t="str">
            <v>オイラーチャレンジ</v>
          </cell>
          <cell r="E932" t="str">
            <v>ランキング1（改修版）</v>
          </cell>
          <cell r="F932">
            <v>2</v>
          </cell>
          <cell r="G932" t="str">
            <v>ja</v>
          </cell>
          <cell r="H932" t="str">
            <v>【超級】オイラーチャレンジ</v>
          </cell>
          <cell r="I932" t="str">
            <v>超級</v>
          </cell>
          <cell r="J932">
            <v>378</v>
          </cell>
          <cell r="K932">
            <v>30</v>
          </cell>
          <cell r="L932">
            <v>3300</v>
          </cell>
          <cell r="M932">
            <v>1</v>
          </cell>
          <cell r="N932">
            <v>1</v>
          </cell>
          <cell r="O932">
            <v>1</v>
          </cell>
          <cell r="P932">
            <v>1</v>
          </cell>
          <cell r="Q932">
            <v>1</v>
          </cell>
          <cell r="R932">
            <v>3</v>
          </cell>
          <cell r="S932" t="str">
            <v>none</v>
          </cell>
          <cell r="T932">
            <v>0</v>
          </cell>
          <cell r="U932" t="str">
            <v>NULL</v>
          </cell>
          <cell r="V932" t="str">
            <v>NULL</v>
          </cell>
          <cell r="W932" t="str">
            <v/>
          </cell>
          <cell r="X932">
            <v>0</v>
          </cell>
          <cell r="Y932">
            <v>0</v>
          </cell>
          <cell r="Z932">
            <v>0</v>
          </cell>
          <cell r="AA932">
            <v>0</v>
          </cell>
          <cell r="AB932" t="str">
            <v>anytime</v>
          </cell>
          <cell r="AC932">
            <v>923</v>
          </cell>
          <cell r="AD932">
            <v>6</v>
          </cell>
          <cell r="AE932" t="str">
            <v>singleonly</v>
          </cell>
        </row>
        <row r="933">
          <cell r="A933" t="str">
            <v>60007_3</v>
          </cell>
          <cell r="B933">
            <v>3</v>
          </cell>
          <cell r="C933">
            <v>60007</v>
          </cell>
          <cell r="D933" t="str">
            <v>オイラーチャレンジ</v>
          </cell>
          <cell r="E933" t="str">
            <v>ランキング1（改修版）</v>
          </cell>
          <cell r="F933">
            <v>3</v>
          </cell>
          <cell r="G933" t="str">
            <v>ja</v>
          </cell>
          <cell r="H933" t="str">
            <v>【ウィザード級】オイラーチャレンジ</v>
          </cell>
          <cell r="I933" t="str">
            <v>ウィザード級</v>
          </cell>
          <cell r="J933">
            <v>379</v>
          </cell>
          <cell r="K933">
            <v>35</v>
          </cell>
          <cell r="L933">
            <v>4200</v>
          </cell>
          <cell r="M933">
            <v>1</v>
          </cell>
          <cell r="N933">
            <v>1</v>
          </cell>
          <cell r="O933">
            <v>1</v>
          </cell>
          <cell r="P933">
            <v>1</v>
          </cell>
          <cell r="Q933">
            <v>1</v>
          </cell>
          <cell r="R933">
            <v>3</v>
          </cell>
          <cell r="S933" t="str">
            <v>none</v>
          </cell>
          <cell r="T933">
            <v>0</v>
          </cell>
          <cell r="U933" t="str">
            <v>NULL</v>
          </cell>
          <cell r="V933" t="str">
            <v>NULL</v>
          </cell>
          <cell r="W933" t="str">
            <v/>
          </cell>
          <cell r="X933">
            <v>0</v>
          </cell>
          <cell r="Y933">
            <v>0</v>
          </cell>
          <cell r="Z933">
            <v>0</v>
          </cell>
          <cell r="AA933">
            <v>0</v>
          </cell>
          <cell r="AB933" t="str">
            <v>anytime</v>
          </cell>
          <cell r="AC933">
            <v>923</v>
          </cell>
          <cell r="AD933">
            <v>6</v>
          </cell>
          <cell r="AE933" t="str">
            <v>singleonly</v>
          </cell>
        </row>
        <row r="934">
          <cell r="A934" t="str">
            <v>60010_1</v>
          </cell>
          <cell r="B934">
            <v>3</v>
          </cell>
          <cell r="C934">
            <v>60010</v>
          </cell>
          <cell r="D934" t="str">
            <v>ラグランジュチャレンジ</v>
          </cell>
          <cell r="E934" t="str">
            <v>ランキング2（ラグランジュ）</v>
          </cell>
          <cell r="F934">
            <v>1</v>
          </cell>
          <cell r="G934" t="str">
            <v>ja</v>
          </cell>
          <cell r="H934" t="str">
            <v>ラグランジュチャレンジ</v>
          </cell>
          <cell r="I934" t="str">
            <v>ウィザード級</v>
          </cell>
          <cell r="J934">
            <v>796</v>
          </cell>
          <cell r="K934">
            <v>35</v>
          </cell>
          <cell r="L934">
            <v>4200</v>
          </cell>
          <cell r="M934">
            <v>1</v>
          </cell>
          <cell r="N934">
            <v>1</v>
          </cell>
          <cell r="O934">
            <v>1</v>
          </cell>
          <cell r="P934">
            <v>1</v>
          </cell>
          <cell r="Q934">
            <v>1</v>
          </cell>
          <cell r="R934">
            <v>3</v>
          </cell>
          <cell r="S934" t="str">
            <v>none</v>
          </cell>
          <cell r="T934">
            <v>0</v>
          </cell>
          <cell r="U934" t="str">
            <v>NULL</v>
          </cell>
          <cell r="V934" t="str">
            <v>NULL</v>
          </cell>
          <cell r="W934" t="str">
            <v/>
          </cell>
          <cell r="X934">
            <v>0</v>
          </cell>
          <cell r="Y934">
            <v>0</v>
          </cell>
          <cell r="Z934">
            <v>0</v>
          </cell>
          <cell r="AA934">
            <v>0</v>
          </cell>
          <cell r="AB934" t="str">
            <v>anytime</v>
          </cell>
          <cell r="AC934">
            <v>922</v>
          </cell>
          <cell r="AD934">
            <v>6</v>
          </cell>
          <cell r="AE934" t="str">
            <v>singleonly</v>
          </cell>
        </row>
        <row r="935">
          <cell r="A935" t="str">
            <v>60011_1</v>
          </cell>
          <cell r="B935">
            <v>3</v>
          </cell>
          <cell r="C935">
            <v>60011</v>
          </cell>
          <cell r="D935" t="str">
            <v>ユークリッドチャレンジ</v>
          </cell>
          <cell r="E935" t="str">
            <v>ランキング3（ユークリッド）</v>
          </cell>
          <cell r="F935">
            <v>1</v>
          </cell>
          <cell r="G935" t="str">
            <v>ja</v>
          </cell>
          <cell r="H935" t="str">
            <v>ウィザード級</v>
          </cell>
          <cell r="I935" t="str">
            <v>ウィザード級</v>
          </cell>
          <cell r="J935">
            <v>690</v>
          </cell>
          <cell r="K935">
            <v>35</v>
          </cell>
          <cell r="L935">
            <v>4200</v>
          </cell>
          <cell r="M935">
            <v>1</v>
          </cell>
          <cell r="N935">
            <v>1</v>
          </cell>
          <cell r="O935">
            <v>1</v>
          </cell>
          <cell r="P935">
            <v>1</v>
          </cell>
          <cell r="Q935">
            <v>1</v>
          </cell>
          <cell r="R935">
            <v>3</v>
          </cell>
          <cell r="S935" t="str">
            <v>none</v>
          </cell>
          <cell r="T935">
            <v>0</v>
          </cell>
          <cell r="U935" t="str">
            <v>NULL</v>
          </cell>
          <cell r="V935" t="str">
            <v>NULL</v>
          </cell>
          <cell r="W935" t="str">
            <v/>
          </cell>
          <cell r="X935">
            <v>0</v>
          </cell>
          <cell r="Y935">
            <v>0</v>
          </cell>
          <cell r="Z935">
            <v>0</v>
          </cell>
          <cell r="AA935">
            <v>0</v>
          </cell>
          <cell r="AB935" t="str">
            <v>anytime</v>
          </cell>
          <cell r="AC935">
            <v>924</v>
          </cell>
          <cell r="AD935">
            <v>6</v>
          </cell>
          <cell r="AE935" t="str">
            <v>singleonly</v>
          </cell>
        </row>
        <row r="936">
          <cell r="A936" t="str">
            <v>60011_2</v>
          </cell>
          <cell r="B936">
            <v>1</v>
          </cell>
          <cell r="C936">
            <v>60011</v>
          </cell>
          <cell r="D936" t="str">
            <v>ユークリッドチャレンジ</v>
          </cell>
          <cell r="E936" t="str">
            <v>ランキング3（ユークリッド）</v>
          </cell>
          <cell r="F936">
            <v>2</v>
          </cell>
          <cell r="G936" t="str">
            <v>ja</v>
          </cell>
          <cell r="H936" t="str">
            <v>超絶級</v>
          </cell>
          <cell r="I936" t="str">
            <v>ウィザード級</v>
          </cell>
          <cell r="J936">
            <v>690</v>
          </cell>
          <cell r="K936">
            <v>30</v>
          </cell>
          <cell r="L936">
            <v>3300</v>
          </cell>
          <cell r="M936">
            <v>1</v>
          </cell>
          <cell r="N936">
            <v>1</v>
          </cell>
          <cell r="O936">
            <v>1</v>
          </cell>
          <cell r="P936">
            <v>1</v>
          </cell>
          <cell r="Q936">
            <v>1</v>
          </cell>
          <cell r="R936">
            <v>3</v>
          </cell>
          <cell r="S936" t="str">
            <v>none</v>
          </cell>
          <cell r="T936">
            <v>0</v>
          </cell>
          <cell r="U936" t="str">
            <v>NULL</v>
          </cell>
          <cell r="V936" t="str">
            <v>NULL</v>
          </cell>
          <cell r="W936" t="str">
            <v/>
          </cell>
          <cell r="X936">
            <v>0</v>
          </cell>
          <cell r="Y936">
            <v>0</v>
          </cell>
          <cell r="Z936">
            <v>0</v>
          </cell>
          <cell r="AA936">
            <v>0</v>
          </cell>
          <cell r="AB936" t="str">
            <v>anytime</v>
          </cell>
          <cell r="AC936">
            <v>924</v>
          </cell>
          <cell r="AD936">
            <v>6</v>
          </cell>
          <cell r="AE936" t="str">
            <v>singleonly</v>
          </cell>
        </row>
        <row r="937">
          <cell r="A937" t="str">
            <v>60012_1</v>
          </cell>
          <cell r="B937">
            <v>3</v>
          </cell>
          <cell r="C937">
            <v>60012</v>
          </cell>
          <cell r="D937" t="str">
            <v>ユークリッドチャレンジ</v>
          </cell>
          <cell r="E937" t="str">
            <v>ランキング3（ユークリッド）</v>
          </cell>
          <cell r="F937">
            <v>1</v>
          </cell>
          <cell r="G937" t="str">
            <v>ja</v>
          </cell>
          <cell r="H937" t="str">
            <v>ユークリッドチャレンジ</v>
          </cell>
          <cell r="I937" t="str">
            <v>ウィザード級</v>
          </cell>
          <cell r="J937">
            <v>690</v>
          </cell>
          <cell r="K937">
            <v>35</v>
          </cell>
          <cell r="L937">
            <v>4200</v>
          </cell>
          <cell r="M937">
            <v>1</v>
          </cell>
          <cell r="N937">
            <v>1</v>
          </cell>
          <cell r="O937">
            <v>1</v>
          </cell>
          <cell r="P937">
            <v>1</v>
          </cell>
          <cell r="Q937">
            <v>1</v>
          </cell>
          <cell r="R937">
            <v>3</v>
          </cell>
          <cell r="S937" t="str">
            <v>none</v>
          </cell>
          <cell r="T937">
            <v>0</v>
          </cell>
          <cell r="U937" t="str">
            <v>NULL</v>
          </cell>
          <cell r="V937" t="str">
            <v>NULL</v>
          </cell>
          <cell r="W937" t="str">
            <v/>
          </cell>
          <cell r="X937">
            <v>0</v>
          </cell>
          <cell r="Y937">
            <v>0</v>
          </cell>
          <cell r="Z937">
            <v>0</v>
          </cell>
          <cell r="AA937">
            <v>0</v>
          </cell>
          <cell r="AB937" t="str">
            <v>anytime</v>
          </cell>
          <cell r="AC937">
            <v>924</v>
          </cell>
          <cell r="AD937">
            <v>6</v>
          </cell>
          <cell r="AE937" t="str">
            <v>singleonly</v>
          </cell>
        </row>
        <row r="938">
          <cell r="A938" t="str">
            <v>60013_1</v>
          </cell>
          <cell r="B938">
            <v>0</v>
          </cell>
          <cell r="C938">
            <v>60013</v>
          </cell>
          <cell r="D938" t="str">
            <v>オイラーチャレンジ</v>
          </cell>
          <cell r="E938" t="str">
            <v>ランキング1（再開催版）</v>
          </cell>
          <cell r="F938">
            <v>1</v>
          </cell>
          <cell r="G938" t="str">
            <v>ja</v>
          </cell>
          <cell r="H938" t="str">
            <v>【中級】オイラーチャレンジ</v>
          </cell>
          <cell r="I938" t="str">
            <v>中級</v>
          </cell>
          <cell r="J938">
            <v>378</v>
          </cell>
          <cell r="K938">
            <v>15</v>
          </cell>
          <cell r="L938">
            <v>1200</v>
          </cell>
          <cell r="M938">
            <v>1</v>
          </cell>
          <cell r="N938">
            <v>1</v>
          </cell>
          <cell r="O938">
            <v>1</v>
          </cell>
          <cell r="P938">
            <v>1</v>
          </cell>
          <cell r="Q938">
            <v>1</v>
          </cell>
          <cell r="R938">
            <v>3</v>
          </cell>
          <cell r="S938" t="str">
            <v>none</v>
          </cell>
          <cell r="T938">
            <v>0</v>
          </cell>
          <cell r="U938" t="str">
            <v>NULL</v>
          </cell>
          <cell r="V938" t="str">
            <v>NULL</v>
          </cell>
          <cell r="W938" t="str">
            <v/>
          </cell>
          <cell r="X938">
            <v>0</v>
          </cell>
          <cell r="Y938">
            <v>0</v>
          </cell>
          <cell r="Z938">
            <v>0</v>
          </cell>
          <cell r="AA938">
            <v>0</v>
          </cell>
          <cell r="AB938" t="str">
            <v>anytime</v>
          </cell>
          <cell r="AC938">
            <v>923</v>
          </cell>
          <cell r="AD938">
            <v>6</v>
          </cell>
          <cell r="AE938" t="str">
            <v>singleonly</v>
          </cell>
        </row>
        <row r="939">
          <cell r="A939" t="str">
            <v>60013_2</v>
          </cell>
          <cell r="B939">
            <v>0</v>
          </cell>
          <cell r="C939">
            <v>60013</v>
          </cell>
          <cell r="D939" t="str">
            <v>オイラーチャレンジ</v>
          </cell>
          <cell r="E939" t="str">
            <v>ランキング1（再開催版）</v>
          </cell>
          <cell r="F939">
            <v>2</v>
          </cell>
          <cell r="G939" t="str">
            <v>ja</v>
          </cell>
          <cell r="H939" t="str">
            <v>【超級】オイラーチャレンジ</v>
          </cell>
          <cell r="I939" t="str">
            <v>超級</v>
          </cell>
          <cell r="J939">
            <v>378</v>
          </cell>
          <cell r="K939">
            <v>30</v>
          </cell>
          <cell r="L939">
            <v>3300</v>
          </cell>
          <cell r="M939">
            <v>1</v>
          </cell>
          <cell r="N939">
            <v>1</v>
          </cell>
          <cell r="O939">
            <v>1</v>
          </cell>
          <cell r="P939">
            <v>1</v>
          </cell>
          <cell r="Q939">
            <v>1</v>
          </cell>
          <cell r="R939">
            <v>3</v>
          </cell>
          <cell r="S939" t="str">
            <v>none</v>
          </cell>
          <cell r="T939">
            <v>0</v>
          </cell>
          <cell r="U939" t="str">
            <v>NULL</v>
          </cell>
          <cell r="V939" t="str">
            <v>NULL</v>
          </cell>
          <cell r="W939" t="str">
            <v/>
          </cell>
          <cell r="X939">
            <v>0</v>
          </cell>
          <cell r="Y939">
            <v>0</v>
          </cell>
          <cell r="Z939">
            <v>0</v>
          </cell>
          <cell r="AA939">
            <v>0</v>
          </cell>
          <cell r="AB939" t="str">
            <v>anytime</v>
          </cell>
          <cell r="AC939">
            <v>923</v>
          </cell>
          <cell r="AD939">
            <v>6</v>
          </cell>
          <cell r="AE939" t="str">
            <v>singleonly</v>
          </cell>
        </row>
        <row r="940">
          <cell r="A940" t="str">
            <v>60013_3</v>
          </cell>
          <cell r="B940">
            <v>3</v>
          </cell>
          <cell r="C940">
            <v>60013</v>
          </cell>
          <cell r="D940" t="str">
            <v>オイラーチャレンジ</v>
          </cell>
          <cell r="E940" t="str">
            <v>ランキング1（再開催版）</v>
          </cell>
          <cell r="F940">
            <v>3</v>
          </cell>
          <cell r="G940" t="str">
            <v>ja</v>
          </cell>
          <cell r="H940" t="str">
            <v>【ウィザード級】オイラーチャレンジ</v>
          </cell>
          <cell r="I940" t="str">
            <v>ウィザード級</v>
          </cell>
          <cell r="J940">
            <v>379</v>
          </cell>
          <cell r="K940">
            <v>35</v>
          </cell>
          <cell r="L940">
            <v>4200</v>
          </cell>
          <cell r="M940">
            <v>1</v>
          </cell>
          <cell r="N940">
            <v>1</v>
          </cell>
          <cell r="O940">
            <v>1</v>
          </cell>
          <cell r="P940">
            <v>1</v>
          </cell>
          <cell r="Q940">
            <v>1</v>
          </cell>
          <cell r="R940">
            <v>3</v>
          </cell>
          <cell r="S940" t="str">
            <v>none</v>
          </cell>
          <cell r="T940">
            <v>0</v>
          </cell>
          <cell r="U940" t="str">
            <v>NULL</v>
          </cell>
          <cell r="V940" t="str">
            <v>NULL</v>
          </cell>
          <cell r="W940" t="str">
            <v/>
          </cell>
          <cell r="X940">
            <v>0</v>
          </cell>
          <cell r="Y940">
            <v>0</v>
          </cell>
          <cell r="Z940">
            <v>0</v>
          </cell>
          <cell r="AA940">
            <v>0</v>
          </cell>
          <cell r="AB940" t="str">
            <v>anytime</v>
          </cell>
          <cell r="AC940">
            <v>923</v>
          </cell>
          <cell r="AD940">
            <v>6</v>
          </cell>
          <cell r="AE940" t="str">
            <v>singleonly</v>
          </cell>
        </row>
        <row r="941">
          <cell r="A941" t="str">
            <v>60014_1</v>
          </cell>
          <cell r="B941">
            <v>3</v>
          </cell>
          <cell r="C941">
            <v>60014</v>
          </cell>
          <cell r="D941" t="str">
            <v xml:space="preserve">クロネッカーチャレンジ </v>
          </cell>
          <cell r="E941" t="str">
            <v>ランキング4（クロネッカー）</v>
          </cell>
          <cell r="F941">
            <v>1</v>
          </cell>
          <cell r="G941" t="str">
            <v>ja</v>
          </cell>
          <cell r="H941" t="str">
            <v>クロネッカーチャレンジ</v>
          </cell>
          <cell r="I941" t="str">
            <v>ウィザード級</v>
          </cell>
          <cell r="J941">
            <v>761</v>
          </cell>
          <cell r="K941">
            <v>35</v>
          </cell>
          <cell r="L941">
            <v>4200</v>
          </cell>
          <cell r="M941">
            <v>1</v>
          </cell>
          <cell r="N941">
            <v>1</v>
          </cell>
          <cell r="O941">
            <v>1</v>
          </cell>
          <cell r="P941">
            <v>1</v>
          </cell>
          <cell r="Q941">
            <v>1</v>
          </cell>
          <cell r="R941">
            <v>3</v>
          </cell>
          <cell r="S941" t="str">
            <v>none</v>
          </cell>
          <cell r="T941">
            <v>0</v>
          </cell>
          <cell r="U941" t="str">
            <v>NULL</v>
          </cell>
          <cell r="V941" t="str">
            <v>NULL</v>
          </cell>
          <cell r="W941" t="str">
            <v/>
          </cell>
          <cell r="X941">
            <v>0</v>
          </cell>
          <cell r="Y941">
            <v>0</v>
          </cell>
          <cell r="Z941">
            <v>0</v>
          </cell>
          <cell r="AA941">
            <v>0</v>
          </cell>
          <cell r="AB941" t="str">
            <v>anytime</v>
          </cell>
          <cell r="AC941">
            <v>925</v>
          </cell>
          <cell r="AD941">
            <v>6</v>
          </cell>
          <cell r="AE941" t="str">
            <v>singleonly</v>
          </cell>
        </row>
        <row r="942">
          <cell r="A942" t="str">
            <v>60015_1</v>
          </cell>
          <cell r="B942">
            <v>3</v>
          </cell>
          <cell r="C942">
            <v>60015</v>
          </cell>
          <cell r="D942" t="str">
            <v>ラグランジュチャレンジ</v>
          </cell>
          <cell r="E942" t="str">
            <v>ランキング2（再開催）</v>
          </cell>
          <cell r="F942">
            <v>1</v>
          </cell>
          <cell r="G942" t="str">
            <v>ja</v>
          </cell>
          <cell r="H942" t="str">
            <v>ラグランジュチャレンジ</v>
          </cell>
          <cell r="I942" t="str">
            <v>ウィザード級</v>
          </cell>
          <cell r="J942">
            <v>796</v>
          </cell>
          <cell r="K942">
            <v>35</v>
          </cell>
          <cell r="L942">
            <v>4200</v>
          </cell>
          <cell r="M942">
            <v>1</v>
          </cell>
          <cell r="N942">
            <v>1</v>
          </cell>
          <cell r="O942">
            <v>1</v>
          </cell>
          <cell r="P942">
            <v>1</v>
          </cell>
          <cell r="Q942">
            <v>1</v>
          </cell>
          <cell r="R942">
            <v>3</v>
          </cell>
          <cell r="S942" t="str">
            <v>none</v>
          </cell>
          <cell r="T942">
            <v>0</v>
          </cell>
          <cell r="U942" t="str">
            <v>NULL</v>
          </cell>
          <cell r="V942" t="str">
            <v>NULL</v>
          </cell>
          <cell r="W942" t="str">
            <v/>
          </cell>
          <cell r="X942">
            <v>0</v>
          </cell>
          <cell r="Y942">
            <v>0</v>
          </cell>
          <cell r="Z942">
            <v>0</v>
          </cell>
          <cell r="AA942">
            <v>0</v>
          </cell>
          <cell r="AB942" t="str">
            <v>anytime</v>
          </cell>
          <cell r="AC942">
            <v>922</v>
          </cell>
          <cell r="AD942">
            <v>6</v>
          </cell>
          <cell r="AE942" t="str">
            <v>singleonly</v>
          </cell>
        </row>
        <row r="943">
          <cell r="A943" t="str">
            <v>60016_1</v>
          </cell>
          <cell r="B943">
            <v>3</v>
          </cell>
          <cell r="C943">
            <v>60016</v>
          </cell>
          <cell r="D943" t="str">
            <v>シュレディンガーチャレンジ</v>
          </cell>
          <cell r="E943" t="str">
            <v>ランキング5（シュレディンガー）</v>
          </cell>
          <cell r="F943">
            <v>1</v>
          </cell>
          <cell r="G943" t="str">
            <v>ja</v>
          </cell>
          <cell r="H943" t="str">
            <v>シュレディンガーチャレンジ</v>
          </cell>
          <cell r="I943" t="str">
            <v>ウィザード級</v>
          </cell>
          <cell r="J943">
            <v>797</v>
          </cell>
          <cell r="K943">
            <v>35</v>
          </cell>
          <cell r="L943">
            <v>4200</v>
          </cell>
          <cell r="M943">
            <v>1</v>
          </cell>
          <cell r="N943">
            <v>1</v>
          </cell>
          <cell r="O943">
            <v>1</v>
          </cell>
          <cell r="P943">
            <v>1</v>
          </cell>
          <cell r="Q943">
            <v>1</v>
          </cell>
          <cell r="R943">
            <v>3</v>
          </cell>
          <cell r="S943" t="str">
            <v>none</v>
          </cell>
          <cell r="T943">
            <v>0</v>
          </cell>
          <cell r="U943" t="str">
            <v>NULL</v>
          </cell>
          <cell r="V943" t="str">
            <v>NULL</v>
          </cell>
          <cell r="W943" t="str">
            <v/>
          </cell>
          <cell r="X943">
            <v>0</v>
          </cell>
          <cell r="Y943">
            <v>0</v>
          </cell>
          <cell r="Z943">
            <v>0</v>
          </cell>
          <cell r="AA943">
            <v>0</v>
          </cell>
          <cell r="AB943" t="str">
            <v>anytime</v>
          </cell>
          <cell r="AC943">
            <v>922</v>
          </cell>
          <cell r="AD943">
            <v>6</v>
          </cell>
          <cell r="AE943" t="str">
            <v>singleonly</v>
          </cell>
        </row>
        <row r="944">
          <cell r="A944" t="str">
            <v>60017_1</v>
          </cell>
          <cell r="B944">
            <v>3</v>
          </cell>
          <cell r="C944">
            <v>60017</v>
          </cell>
          <cell r="D944" t="str">
            <v>ユークリッドチャレンジ</v>
          </cell>
          <cell r="E944" t="str">
            <v>ランキング3（再開催）</v>
          </cell>
          <cell r="F944">
            <v>1</v>
          </cell>
          <cell r="G944" t="str">
            <v>ja</v>
          </cell>
          <cell r="H944" t="str">
            <v>ユークリッドチャレンジ</v>
          </cell>
          <cell r="I944" t="str">
            <v>ウィザード級</v>
          </cell>
          <cell r="J944">
            <v>690</v>
          </cell>
          <cell r="K944">
            <v>35</v>
          </cell>
          <cell r="L944">
            <v>4200</v>
          </cell>
          <cell r="M944">
            <v>1</v>
          </cell>
          <cell r="N944">
            <v>1</v>
          </cell>
          <cell r="O944">
            <v>1</v>
          </cell>
          <cell r="P944">
            <v>1</v>
          </cell>
          <cell r="Q944">
            <v>1</v>
          </cell>
          <cell r="R944">
            <v>3</v>
          </cell>
          <cell r="S944" t="str">
            <v>none</v>
          </cell>
          <cell r="T944">
            <v>0</v>
          </cell>
          <cell r="U944" t="str">
            <v>NULL</v>
          </cell>
          <cell r="V944" t="str">
            <v>NULL</v>
          </cell>
          <cell r="W944" t="str">
            <v/>
          </cell>
          <cell r="X944">
            <v>0</v>
          </cell>
          <cell r="Y944">
            <v>0</v>
          </cell>
          <cell r="Z944">
            <v>0</v>
          </cell>
          <cell r="AA944">
            <v>0</v>
          </cell>
          <cell r="AB944" t="str">
            <v>anytime</v>
          </cell>
          <cell r="AC944">
            <v>924</v>
          </cell>
          <cell r="AD944">
            <v>6</v>
          </cell>
          <cell r="AE944" t="str">
            <v>singleonly</v>
          </cell>
        </row>
        <row r="945">
          <cell r="A945" t="str">
            <v>60018_1</v>
          </cell>
          <cell r="B945">
            <v>3</v>
          </cell>
          <cell r="C945">
            <v>60018</v>
          </cell>
          <cell r="D945" t="str">
            <v>チューリングチャレンジ</v>
          </cell>
          <cell r="E945" t="str">
            <v>ランキング6</v>
          </cell>
          <cell r="F945">
            <v>1</v>
          </cell>
          <cell r="G945" t="str">
            <v>ja</v>
          </cell>
          <cell r="H945" t="str">
            <v>チューリングチャレンジ</v>
          </cell>
          <cell r="I945" t="str">
            <v>ウィザード級</v>
          </cell>
          <cell r="J945">
            <v>799</v>
          </cell>
          <cell r="K945">
            <v>35</v>
          </cell>
          <cell r="L945">
            <v>4200</v>
          </cell>
          <cell r="M945">
            <v>1</v>
          </cell>
          <cell r="N945">
            <v>1</v>
          </cell>
          <cell r="O945">
            <v>1</v>
          </cell>
          <cell r="P945">
            <v>1</v>
          </cell>
          <cell r="Q945">
            <v>1</v>
          </cell>
          <cell r="R945">
            <v>3</v>
          </cell>
          <cell r="S945" t="str">
            <v>none</v>
          </cell>
          <cell r="T945">
            <v>0</v>
          </cell>
          <cell r="U945" t="str">
            <v>NULL</v>
          </cell>
          <cell r="V945" t="str">
            <v>NULL</v>
          </cell>
          <cell r="W945" t="str">
            <v/>
          </cell>
          <cell r="X945">
            <v>0</v>
          </cell>
          <cell r="Y945">
            <v>0</v>
          </cell>
          <cell r="Z945">
            <v>0</v>
          </cell>
          <cell r="AA945">
            <v>0</v>
          </cell>
          <cell r="AB945" t="str">
            <v>anytime</v>
          </cell>
          <cell r="AC945">
            <v>923</v>
          </cell>
          <cell r="AD945">
            <v>6</v>
          </cell>
          <cell r="AE945" t="str">
            <v>singleonly</v>
          </cell>
        </row>
        <row r="946">
          <cell r="A946" t="str">
            <v>60019_1</v>
          </cell>
          <cell r="B946">
            <v>3</v>
          </cell>
          <cell r="C946">
            <v>60019</v>
          </cell>
          <cell r="D946" t="str">
            <v>ヘンペルチャレンジ</v>
          </cell>
          <cell r="E946" t="str">
            <v>ランキング7</v>
          </cell>
          <cell r="F946">
            <v>1</v>
          </cell>
          <cell r="G946" t="str">
            <v>ja</v>
          </cell>
          <cell r="H946" t="str">
            <v>ヘンペルチャレンジ</v>
          </cell>
          <cell r="I946" t="str">
            <v>ウィザード級</v>
          </cell>
          <cell r="J946">
            <v>800</v>
          </cell>
          <cell r="K946">
            <v>35</v>
          </cell>
          <cell r="L946">
            <v>4200</v>
          </cell>
          <cell r="M946">
            <v>1</v>
          </cell>
          <cell r="N946">
            <v>1</v>
          </cell>
          <cell r="O946">
            <v>1</v>
          </cell>
          <cell r="P946">
            <v>1</v>
          </cell>
          <cell r="Q946">
            <v>1</v>
          </cell>
          <cell r="R946">
            <v>3</v>
          </cell>
          <cell r="S946" t="str">
            <v>none</v>
          </cell>
          <cell r="T946">
            <v>0</v>
          </cell>
          <cell r="U946" t="str">
            <v>NULL</v>
          </cell>
          <cell r="V946" t="str">
            <v>NULL</v>
          </cell>
          <cell r="W946" t="str">
            <v/>
          </cell>
          <cell r="X946">
            <v>0</v>
          </cell>
          <cell r="Y946">
            <v>0</v>
          </cell>
          <cell r="Z946">
            <v>0</v>
          </cell>
          <cell r="AA946">
            <v>0</v>
          </cell>
          <cell r="AB946" t="str">
            <v>anytime</v>
          </cell>
          <cell r="AC946">
            <v>924</v>
          </cell>
          <cell r="AD946">
            <v>6</v>
          </cell>
          <cell r="AE946" t="str">
            <v>singleonly</v>
          </cell>
        </row>
        <row r="947">
          <cell r="A947" t="str">
            <v>60020_1</v>
          </cell>
          <cell r="B947">
            <v>3</v>
          </cell>
          <cell r="C947">
            <v>60020</v>
          </cell>
          <cell r="D947" t="str">
            <v>シュレディンガーチャレンジ</v>
          </cell>
          <cell r="E947" t="str">
            <v>ランキング5（再開催）</v>
          </cell>
          <cell r="F947">
            <v>1</v>
          </cell>
          <cell r="G947" t="str">
            <v>ja</v>
          </cell>
          <cell r="H947" t="str">
            <v>シュレディンガーチャレンジ</v>
          </cell>
          <cell r="I947" t="str">
            <v>ウィザード級</v>
          </cell>
          <cell r="J947">
            <v>797</v>
          </cell>
          <cell r="K947">
            <v>35</v>
          </cell>
          <cell r="L947">
            <v>4200</v>
          </cell>
          <cell r="M947">
            <v>1</v>
          </cell>
          <cell r="N947">
            <v>1</v>
          </cell>
          <cell r="O947">
            <v>1</v>
          </cell>
          <cell r="P947">
            <v>1</v>
          </cell>
          <cell r="Q947">
            <v>1</v>
          </cell>
          <cell r="R947">
            <v>3</v>
          </cell>
          <cell r="S947" t="str">
            <v>none</v>
          </cell>
          <cell r="T947">
            <v>0</v>
          </cell>
          <cell r="U947" t="str">
            <v>NULL</v>
          </cell>
          <cell r="V947" t="str">
            <v>NULL</v>
          </cell>
          <cell r="W947" t="str">
            <v/>
          </cell>
          <cell r="X947">
            <v>0</v>
          </cell>
          <cell r="Y947">
            <v>0</v>
          </cell>
          <cell r="Z947">
            <v>0</v>
          </cell>
          <cell r="AA947">
            <v>0</v>
          </cell>
          <cell r="AB947" t="str">
            <v>anytime</v>
          </cell>
          <cell r="AC947">
            <v>922</v>
          </cell>
          <cell r="AD947">
            <v>6</v>
          </cell>
          <cell r="AE947" t="str">
            <v>singleonly</v>
          </cell>
        </row>
        <row r="948">
          <cell r="A948" t="str">
            <v>60021_3</v>
          </cell>
          <cell r="B948">
            <v>1</v>
          </cell>
          <cell r="C948">
            <v>60021</v>
          </cell>
          <cell r="D948" t="str">
            <v>【月曜限定】 黄の素材verハンプ検証</v>
          </cell>
          <cell r="E948" t="str">
            <v>検証</v>
          </cell>
          <cell r="F948">
            <v>3</v>
          </cell>
          <cell r="G948" t="str">
            <v>ja</v>
          </cell>
          <cell r="H948" t="str">
            <v>【上級】ハンプティ検証</v>
          </cell>
          <cell r="I948" t="str">
            <v>上級</v>
          </cell>
          <cell r="J948">
            <v>84</v>
          </cell>
          <cell r="K948">
            <v>20</v>
          </cell>
          <cell r="L948">
            <v>860</v>
          </cell>
          <cell r="M948">
            <v>1</v>
          </cell>
          <cell r="N948">
            <v>1</v>
          </cell>
          <cell r="O948">
            <v>1</v>
          </cell>
          <cell r="P948">
            <v>1</v>
          </cell>
          <cell r="Q948">
            <v>1</v>
          </cell>
          <cell r="R948">
            <v>3</v>
          </cell>
          <cell r="S948" t="str">
            <v>none</v>
          </cell>
          <cell r="T948">
            <v>0</v>
          </cell>
          <cell r="U948" t="str">
            <v>NULL</v>
          </cell>
          <cell r="V948" t="str">
            <v>NULL</v>
          </cell>
          <cell r="W948" t="str">
            <v/>
          </cell>
          <cell r="X948">
            <v>0</v>
          </cell>
          <cell r="Y948">
            <v>0</v>
          </cell>
          <cell r="Z948">
            <v>0</v>
          </cell>
          <cell r="AA948">
            <v>0</v>
          </cell>
          <cell r="AB948" t="str">
            <v>anytime</v>
          </cell>
          <cell r="AC948">
            <v>101</v>
          </cell>
          <cell r="AD948">
            <v>6</v>
          </cell>
          <cell r="AE948" t="str">
            <v>everyone</v>
          </cell>
        </row>
        <row r="949">
          <cell r="A949" t="str">
            <v>60022_3</v>
          </cell>
          <cell r="B949">
            <v>1</v>
          </cell>
          <cell r="C949">
            <v>60022</v>
          </cell>
          <cell r="D949" t="str">
            <v>【火曜限定】 赤の素材verハンプ検証</v>
          </cell>
          <cell r="E949" t="str">
            <v>検証</v>
          </cell>
          <cell r="F949">
            <v>3</v>
          </cell>
          <cell r="G949" t="str">
            <v>ja</v>
          </cell>
          <cell r="H949" t="str">
            <v>【上級】ハンプティ検証</v>
          </cell>
          <cell r="I949" t="str">
            <v>上級</v>
          </cell>
          <cell r="J949">
            <v>84</v>
          </cell>
          <cell r="K949">
            <v>20</v>
          </cell>
          <cell r="L949">
            <v>860</v>
          </cell>
          <cell r="M949">
            <v>1</v>
          </cell>
          <cell r="N949">
            <v>1</v>
          </cell>
          <cell r="O949">
            <v>1</v>
          </cell>
          <cell r="P949">
            <v>1</v>
          </cell>
          <cell r="Q949">
            <v>1</v>
          </cell>
          <cell r="R949">
            <v>3</v>
          </cell>
          <cell r="S949" t="str">
            <v>none</v>
          </cell>
          <cell r="T949">
            <v>0</v>
          </cell>
          <cell r="U949" t="str">
            <v>NULL</v>
          </cell>
          <cell r="V949" t="str">
            <v>NULL</v>
          </cell>
          <cell r="W949" t="str">
            <v/>
          </cell>
          <cell r="X949">
            <v>0</v>
          </cell>
          <cell r="Y949">
            <v>0</v>
          </cell>
          <cell r="Z949">
            <v>0</v>
          </cell>
          <cell r="AA949">
            <v>0</v>
          </cell>
          <cell r="AB949" t="str">
            <v>anytime</v>
          </cell>
          <cell r="AC949">
            <v>101</v>
          </cell>
          <cell r="AD949">
            <v>6</v>
          </cell>
          <cell r="AE949" t="str">
            <v>everyone</v>
          </cell>
        </row>
        <row r="950">
          <cell r="A950" t="str">
            <v>60023_3</v>
          </cell>
          <cell r="B950">
            <v>1</v>
          </cell>
          <cell r="C950">
            <v>60023</v>
          </cell>
          <cell r="D950" t="str">
            <v>【水曜限定】 青の素材verハンプ検証</v>
          </cell>
          <cell r="E950" t="str">
            <v>検証</v>
          </cell>
          <cell r="F950">
            <v>3</v>
          </cell>
          <cell r="G950" t="str">
            <v>ja</v>
          </cell>
          <cell r="H950" t="str">
            <v>【上級】ハンプティ検証</v>
          </cell>
          <cell r="I950" t="str">
            <v>上級</v>
          </cell>
          <cell r="J950">
            <v>84</v>
          </cell>
          <cell r="K950">
            <v>20</v>
          </cell>
          <cell r="L950">
            <v>860</v>
          </cell>
          <cell r="M950">
            <v>1</v>
          </cell>
          <cell r="N950">
            <v>1</v>
          </cell>
          <cell r="O950">
            <v>1</v>
          </cell>
          <cell r="P950">
            <v>1</v>
          </cell>
          <cell r="Q950">
            <v>1</v>
          </cell>
          <cell r="R950">
            <v>3</v>
          </cell>
          <cell r="S950" t="str">
            <v>none</v>
          </cell>
          <cell r="T950">
            <v>0</v>
          </cell>
          <cell r="U950" t="str">
            <v>NULL</v>
          </cell>
          <cell r="V950" t="str">
            <v>NULL</v>
          </cell>
          <cell r="W950" t="str">
            <v/>
          </cell>
          <cell r="X950">
            <v>0</v>
          </cell>
          <cell r="Y950">
            <v>0</v>
          </cell>
          <cell r="Z950">
            <v>0</v>
          </cell>
          <cell r="AA950">
            <v>0</v>
          </cell>
          <cell r="AB950" t="str">
            <v>anytime</v>
          </cell>
          <cell r="AC950">
            <v>101</v>
          </cell>
          <cell r="AD950">
            <v>6</v>
          </cell>
          <cell r="AE950" t="str">
            <v>everyone</v>
          </cell>
        </row>
        <row r="951">
          <cell r="A951" t="str">
            <v>60024_3</v>
          </cell>
          <cell r="B951">
            <v>1</v>
          </cell>
          <cell r="C951">
            <v>60024</v>
          </cell>
          <cell r="D951" t="str">
            <v>【木曜限定】 緑の素材verハンプ検証</v>
          </cell>
          <cell r="E951" t="str">
            <v>検証</v>
          </cell>
          <cell r="F951">
            <v>3</v>
          </cell>
          <cell r="G951" t="str">
            <v>ja</v>
          </cell>
          <cell r="H951" t="str">
            <v>【上級】ハンプティ検証</v>
          </cell>
          <cell r="I951" t="str">
            <v>上級</v>
          </cell>
          <cell r="J951">
            <v>84</v>
          </cell>
          <cell r="K951">
            <v>20</v>
          </cell>
          <cell r="L951">
            <v>860</v>
          </cell>
          <cell r="M951">
            <v>1</v>
          </cell>
          <cell r="N951">
            <v>1</v>
          </cell>
          <cell r="O951">
            <v>1</v>
          </cell>
          <cell r="P951">
            <v>1</v>
          </cell>
          <cell r="Q951">
            <v>1</v>
          </cell>
          <cell r="R951">
            <v>3</v>
          </cell>
          <cell r="S951" t="str">
            <v>none</v>
          </cell>
          <cell r="T951">
            <v>0</v>
          </cell>
          <cell r="U951" t="str">
            <v>NULL</v>
          </cell>
          <cell r="V951" t="str">
            <v>NULL</v>
          </cell>
          <cell r="W951" t="str">
            <v/>
          </cell>
          <cell r="X951">
            <v>0</v>
          </cell>
          <cell r="Y951">
            <v>0</v>
          </cell>
          <cell r="Z951">
            <v>0</v>
          </cell>
          <cell r="AA951">
            <v>0</v>
          </cell>
          <cell r="AB951" t="str">
            <v>anytime</v>
          </cell>
          <cell r="AC951">
            <v>101</v>
          </cell>
          <cell r="AD951">
            <v>6</v>
          </cell>
          <cell r="AE951" t="str">
            <v>everyone</v>
          </cell>
        </row>
        <row r="952">
          <cell r="A952" t="str">
            <v>60025_1</v>
          </cell>
          <cell r="B952">
            <v>3</v>
          </cell>
          <cell r="C952">
            <v>60025</v>
          </cell>
          <cell r="D952" t="str">
            <v>マリアチャレンジ</v>
          </cell>
          <cell r="E952" t="str">
            <v>ランキング8</v>
          </cell>
          <cell r="F952">
            <v>1</v>
          </cell>
          <cell r="G952" t="str">
            <v>ja</v>
          </cell>
          <cell r="H952" t="str">
            <v>マリアチャレンジ</v>
          </cell>
          <cell r="I952" t="str">
            <v>ウィザード級</v>
          </cell>
          <cell r="J952">
            <v>1274</v>
          </cell>
          <cell r="K952">
            <v>35</v>
          </cell>
          <cell r="L952">
            <v>4200</v>
          </cell>
          <cell r="M952">
            <v>1</v>
          </cell>
          <cell r="N952">
            <v>1</v>
          </cell>
          <cell r="O952">
            <v>1</v>
          </cell>
          <cell r="P952">
            <v>1</v>
          </cell>
          <cell r="Q952">
            <v>1</v>
          </cell>
          <cell r="R952">
            <v>3</v>
          </cell>
          <cell r="S952" t="str">
            <v>none</v>
          </cell>
          <cell r="T952">
            <v>0</v>
          </cell>
          <cell r="U952" t="str">
            <v>NULL</v>
          </cell>
          <cell r="V952" t="str">
            <v>NULL</v>
          </cell>
          <cell r="W952" t="str">
            <v/>
          </cell>
          <cell r="X952">
            <v>0</v>
          </cell>
          <cell r="Y952">
            <v>0</v>
          </cell>
          <cell r="Z952">
            <v>0</v>
          </cell>
          <cell r="AA952">
            <v>0</v>
          </cell>
          <cell r="AB952" t="str">
            <v>anytime</v>
          </cell>
          <cell r="AC952">
            <v>9</v>
          </cell>
          <cell r="AD952">
            <v>6</v>
          </cell>
          <cell r="AE952" t="str">
            <v>singleonly</v>
          </cell>
        </row>
        <row r="953">
          <cell r="A953" t="str">
            <v>60026_1</v>
          </cell>
          <cell r="B953">
            <v>3</v>
          </cell>
          <cell r="C953">
            <v>60026</v>
          </cell>
          <cell r="D953" t="str">
            <v>ハップルチャレンジ</v>
          </cell>
          <cell r="E953" t="str">
            <v>ランキング9</v>
          </cell>
          <cell r="F953">
            <v>1</v>
          </cell>
          <cell r="G953" t="str">
            <v>ja</v>
          </cell>
          <cell r="H953" t="str">
            <v>ハップルチャレンジ</v>
          </cell>
          <cell r="I953" t="str">
            <v>ウィザード級</v>
          </cell>
          <cell r="J953">
            <v>803</v>
          </cell>
          <cell r="K953">
            <v>35</v>
          </cell>
          <cell r="L953">
            <v>4200</v>
          </cell>
          <cell r="M953">
            <v>1</v>
          </cell>
          <cell r="N953">
            <v>1</v>
          </cell>
          <cell r="O953">
            <v>1</v>
          </cell>
          <cell r="P953">
            <v>1</v>
          </cell>
          <cell r="Q953">
            <v>1</v>
          </cell>
          <cell r="R953">
            <v>3</v>
          </cell>
          <cell r="S953" t="str">
            <v>none</v>
          </cell>
          <cell r="T953">
            <v>0</v>
          </cell>
          <cell r="U953" t="str">
            <v>NULL</v>
          </cell>
          <cell r="V953" t="str">
            <v>NULL</v>
          </cell>
          <cell r="W953" t="str">
            <v/>
          </cell>
          <cell r="X953">
            <v>0</v>
          </cell>
          <cell r="Y953">
            <v>0</v>
          </cell>
          <cell r="Z953">
            <v>0</v>
          </cell>
          <cell r="AA953">
            <v>0</v>
          </cell>
          <cell r="AB953" t="str">
            <v>anytime</v>
          </cell>
          <cell r="AC953">
            <v>925</v>
          </cell>
          <cell r="AD953">
            <v>6</v>
          </cell>
          <cell r="AE953" t="str">
            <v>singleonly</v>
          </cell>
        </row>
        <row r="954">
          <cell r="A954" t="str">
            <v>61011_1</v>
          </cell>
          <cell r="B954">
            <v>1</v>
          </cell>
          <cell r="C954">
            <v>61011</v>
          </cell>
          <cell r="D954" t="str">
            <v>ユークリッドチャレンジコピー</v>
          </cell>
          <cell r="E954" t="str">
            <v>ランキング3（ユークリッド）</v>
          </cell>
          <cell r="F954">
            <v>1</v>
          </cell>
          <cell r="G954" t="str">
            <v>ja</v>
          </cell>
          <cell r="H954" t="str">
            <v>ウィザード級コピー</v>
          </cell>
          <cell r="I954" t="str">
            <v>ウィザード級</v>
          </cell>
          <cell r="J954">
            <v>690</v>
          </cell>
          <cell r="K954">
            <v>35</v>
          </cell>
          <cell r="L954">
            <v>4200</v>
          </cell>
          <cell r="M954">
            <v>1</v>
          </cell>
          <cell r="N954">
            <v>1</v>
          </cell>
          <cell r="O954">
            <v>1</v>
          </cell>
          <cell r="P954">
            <v>1</v>
          </cell>
          <cell r="Q954">
            <v>1</v>
          </cell>
          <cell r="R954">
            <v>3</v>
          </cell>
          <cell r="S954" t="str">
            <v>none</v>
          </cell>
          <cell r="T954">
            <v>0</v>
          </cell>
          <cell r="U954" t="str">
            <v>NULL</v>
          </cell>
          <cell r="V954" t="str">
            <v>NULL</v>
          </cell>
          <cell r="W954" t="str">
            <v/>
          </cell>
          <cell r="X954">
            <v>0</v>
          </cell>
          <cell r="Y954">
            <v>0</v>
          </cell>
          <cell r="Z954">
            <v>0</v>
          </cell>
          <cell r="AA954">
            <v>0</v>
          </cell>
          <cell r="AB954" t="str">
            <v>anytime</v>
          </cell>
          <cell r="AC954">
            <v>925</v>
          </cell>
          <cell r="AD954">
            <v>6</v>
          </cell>
          <cell r="AE954" t="str">
            <v>singleonly</v>
          </cell>
        </row>
        <row r="955">
          <cell r="A955" t="str">
            <v>60027_1</v>
          </cell>
          <cell r="B955">
            <v>3</v>
          </cell>
          <cell r="C955">
            <v>60027</v>
          </cell>
          <cell r="D955" t="str">
            <v>チューリングチャレンジ</v>
          </cell>
          <cell r="E955" t="str">
            <v>ランキング6（再開催）</v>
          </cell>
          <cell r="F955">
            <v>1</v>
          </cell>
          <cell r="G955" t="str">
            <v>ja</v>
          </cell>
          <cell r="H955" t="str">
            <v>チューリングチャレンジ</v>
          </cell>
          <cell r="I955" t="str">
            <v>ウィザード級</v>
          </cell>
          <cell r="J955">
            <v>799</v>
          </cell>
          <cell r="K955">
            <v>35</v>
          </cell>
          <cell r="L955">
            <v>4200</v>
          </cell>
          <cell r="M955">
            <v>1</v>
          </cell>
          <cell r="N955">
            <v>1</v>
          </cell>
          <cell r="O955">
            <v>1</v>
          </cell>
          <cell r="P955">
            <v>1</v>
          </cell>
          <cell r="Q955">
            <v>1</v>
          </cell>
          <cell r="R955">
            <v>3</v>
          </cell>
          <cell r="S955" t="str">
            <v>none</v>
          </cell>
          <cell r="T955">
            <v>0</v>
          </cell>
          <cell r="U955" t="str">
            <v>NULL</v>
          </cell>
          <cell r="V955" t="str">
            <v>NULL</v>
          </cell>
          <cell r="W955" t="str">
            <v/>
          </cell>
          <cell r="X955">
            <v>0</v>
          </cell>
          <cell r="Y955">
            <v>0</v>
          </cell>
          <cell r="Z955">
            <v>0</v>
          </cell>
          <cell r="AA955">
            <v>0</v>
          </cell>
          <cell r="AB955" t="str">
            <v>anytime</v>
          </cell>
          <cell r="AC955">
            <v>923</v>
          </cell>
          <cell r="AD955">
            <v>6</v>
          </cell>
          <cell r="AE955" t="str">
            <v>singleonly</v>
          </cell>
        </row>
        <row r="956">
          <cell r="A956" t="str">
            <v>60028_1</v>
          </cell>
          <cell r="B956">
            <v>3</v>
          </cell>
          <cell r="C956">
            <v>60028</v>
          </cell>
          <cell r="D956" t="str">
            <v xml:space="preserve">クロネッカーチャレンジ </v>
          </cell>
          <cell r="E956" t="str">
            <v>ランキング4（再開催）</v>
          </cell>
          <cell r="F956">
            <v>1</v>
          </cell>
          <cell r="G956" t="str">
            <v>ja</v>
          </cell>
          <cell r="H956" t="str">
            <v>クロネッカーチャレンジ</v>
          </cell>
          <cell r="I956" t="str">
            <v>ウィザード級</v>
          </cell>
          <cell r="J956">
            <v>761</v>
          </cell>
          <cell r="K956">
            <v>35</v>
          </cell>
          <cell r="L956">
            <v>4200</v>
          </cell>
          <cell r="M956">
            <v>1</v>
          </cell>
          <cell r="N956">
            <v>1</v>
          </cell>
          <cell r="O956">
            <v>1</v>
          </cell>
          <cell r="P956">
            <v>1</v>
          </cell>
          <cell r="Q956">
            <v>1</v>
          </cell>
          <cell r="R956">
            <v>3</v>
          </cell>
          <cell r="S956" t="str">
            <v>none</v>
          </cell>
          <cell r="T956">
            <v>0</v>
          </cell>
          <cell r="U956" t="str">
            <v>NULL</v>
          </cell>
          <cell r="V956" t="str">
            <v>NULL</v>
          </cell>
          <cell r="W956" t="str">
            <v/>
          </cell>
          <cell r="X956">
            <v>0</v>
          </cell>
          <cell r="Y956">
            <v>0</v>
          </cell>
          <cell r="Z956">
            <v>0</v>
          </cell>
          <cell r="AA956">
            <v>0</v>
          </cell>
          <cell r="AB956" t="str">
            <v>anytime</v>
          </cell>
          <cell r="AC956">
            <v>925</v>
          </cell>
          <cell r="AD956">
            <v>6</v>
          </cell>
          <cell r="AE956" t="str">
            <v>singleonly</v>
          </cell>
        </row>
        <row r="957">
          <cell r="A957" t="str">
            <v>65525_1</v>
          </cell>
          <cell r="B957">
            <v>1</v>
          </cell>
          <cell r="C957">
            <v>65525</v>
          </cell>
          <cell r="D957" t="str">
            <v>【LB田邉】検証クエスト</v>
          </cell>
          <cell r="E957" t="str">
            <v>検証</v>
          </cell>
          <cell r="F957">
            <v>1</v>
          </cell>
          <cell r="G957" t="str">
            <v>ja</v>
          </cell>
          <cell r="H957" t="str">
            <v>【LB田邉】アニメーション検証</v>
          </cell>
          <cell r="I957" t="str">
            <v>検証</v>
          </cell>
          <cell r="J957">
            <v>1</v>
          </cell>
          <cell r="K957">
            <v>1</v>
          </cell>
          <cell r="L957">
            <v>1</v>
          </cell>
          <cell r="M957">
            <v>1</v>
          </cell>
          <cell r="N957">
            <v>1</v>
          </cell>
          <cell r="O957">
            <v>1</v>
          </cell>
          <cell r="P957">
            <v>1</v>
          </cell>
          <cell r="Q957">
            <v>1</v>
          </cell>
          <cell r="R957">
            <v>3</v>
          </cell>
          <cell r="S957" t="str">
            <v>polygon</v>
          </cell>
          <cell r="T957">
            <v>0</v>
          </cell>
          <cell r="U957" t="str">
            <v>NULL</v>
          </cell>
          <cell r="V957" t="str">
            <v>NULL</v>
          </cell>
          <cell r="W957" t="str">
            <v/>
          </cell>
          <cell r="X957">
            <v>0</v>
          </cell>
          <cell r="Y957">
            <v>0</v>
          </cell>
          <cell r="Z957">
            <v>0</v>
          </cell>
          <cell r="AA957">
            <v>0</v>
          </cell>
          <cell r="AB957" t="str">
            <v>anytime</v>
          </cell>
          <cell r="AC957">
            <v>24</v>
          </cell>
          <cell r="AD957">
            <v>4</v>
          </cell>
          <cell r="AE957" t="str">
            <v>everyone</v>
          </cell>
        </row>
        <row r="958">
          <cell r="A958" t="str">
            <v>65526_1</v>
          </cell>
          <cell r="B958">
            <v>1</v>
          </cell>
          <cell r="C958">
            <v>65526</v>
          </cell>
          <cell r="D958" t="str">
            <v>【LB加藤】検証クエスト</v>
          </cell>
          <cell r="E958" t="str">
            <v>検証</v>
          </cell>
          <cell r="F958">
            <v>1</v>
          </cell>
          <cell r="G958" t="str">
            <v>ja</v>
          </cell>
          <cell r="H958" t="str">
            <v>【LB加藤】検証</v>
          </cell>
          <cell r="I958" t="str">
            <v>検証</v>
          </cell>
          <cell r="J958">
            <v>1</v>
          </cell>
          <cell r="K958">
            <v>1</v>
          </cell>
          <cell r="L958">
            <v>1</v>
          </cell>
          <cell r="M958">
            <v>1</v>
          </cell>
          <cell r="N958">
            <v>1</v>
          </cell>
          <cell r="O958">
            <v>1</v>
          </cell>
          <cell r="P958">
            <v>1</v>
          </cell>
          <cell r="Q958">
            <v>1</v>
          </cell>
          <cell r="R958">
            <v>3</v>
          </cell>
          <cell r="S958" t="str">
            <v>polygon</v>
          </cell>
          <cell r="T958">
            <v>0</v>
          </cell>
          <cell r="U958" t="str">
            <v>NULL</v>
          </cell>
          <cell r="V958" t="str">
            <v>NULL</v>
          </cell>
          <cell r="W958" t="str">
            <v/>
          </cell>
          <cell r="X958">
            <v>0</v>
          </cell>
          <cell r="Y958">
            <v>0</v>
          </cell>
          <cell r="Z958">
            <v>0</v>
          </cell>
          <cell r="AA958">
            <v>0</v>
          </cell>
          <cell r="AB958" t="str">
            <v>anytime</v>
          </cell>
          <cell r="AC958">
            <v>1</v>
          </cell>
          <cell r="AD958">
            <v>6</v>
          </cell>
          <cell r="AE958" t="str">
            <v>everyone</v>
          </cell>
        </row>
        <row r="959">
          <cell r="A959" t="str">
            <v>65526_2</v>
          </cell>
          <cell r="B959">
            <v>1</v>
          </cell>
          <cell r="C959">
            <v>65526</v>
          </cell>
          <cell r="D959" t="str">
            <v>【LB加藤】検証クエスト</v>
          </cell>
          <cell r="E959" t="str">
            <v>検証</v>
          </cell>
          <cell r="F959">
            <v>2</v>
          </cell>
          <cell r="G959" t="str">
            <v>ja</v>
          </cell>
          <cell r="H959" t="str">
            <v>【LB加藤】ハップル仮実装</v>
          </cell>
          <cell r="I959" t="str">
            <v>検証</v>
          </cell>
          <cell r="J959">
            <v>1</v>
          </cell>
          <cell r="K959">
            <v>1</v>
          </cell>
          <cell r="L959">
            <v>1</v>
          </cell>
          <cell r="M959">
            <v>1</v>
          </cell>
          <cell r="N959">
            <v>1</v>
          </cell>
          <cell r="O959">
            <v>1</v>
          </cell>
          <cell r="P959">
            <v>1</v>
          </cell>
          <cell r="Q959">
            <v>1</v>
          </cell>
          <cell r="R959">
            <v>3</v>
          </cell>
          <cell r="S959" t="str">
            <v>polygon</v>
          </cell>
          <cell r="T959">
            <v>0</v>
          </cell>
          <cell r="U959" t="str">
            <v>NULL</v>
          </cell>
          <cell r="V959" t="str">
            <v>NULL</v>
          </cell>
          <cell r="W959" t="str">
            <v/>
          </cell>
          <cell r="X959">
            <v>0</v>
          </cell>
          <cell r="Y959">
            <v>0</v>
          </cell>
          <cell r="Z959">
            <v>0</v>
          </cell>
          <cell r="AA959">
            <v>0</v>
          </cell>
          <cell r="AB959" t="str">
            <v>anytime</v>
          </cell>
          <cell r="AC959">
            <v>1</v>
          </cell>
          <cell r="AD959">
            <v>6</v>
          </cell>
          <cell r="AE959" t="str">
            <v>everyone</v>
          </cell>
        </row>
        <row r="960">
          <cell r="A960" t="str">
            <v>65527_1</v>
          </cell>
          <cell r="B960">
            <v>1</v>
          </cell>
          <cell r="C960">
            <v>65527</v>
          </cell>
          <cell r="D960" t="str">
            <v>【LB小原】検証クエスト</v>
          </cell>
          <cell r="E960" t="str">
            <v>検証</v>
          </cell>
          <cell r="F960">
            <v>1</v>
          </cell>
          <cell r="G960" t="str">
            <v>ja</v>
          </cell>
          <cell r="H960" t="str">
            <v>【LB小原】検証</v>
          </cell>
          <cell r="I960" t="str">
            <v>検証</v>
          </cell>
          <cell r="J960">
            <v>1</v>
          </cell>
          <cell r="K960">
            <v>1</v>
          </cell>
          <cell r="L960">
            <v>1</v>
          </cell>
          <cell r="M960">
            <v>1</v>
          </cell>
          <cell r="N960">
            <v>1</v>
          </cell>
          <cell r="O960">
            <v>1</v>
          </cell>
          <cell r="P960">
            <v>1</v>
          </cell>
          <cell r="Q960">
            <v>1</v>
          </cell>
          <cell r="R960">
            <v>3</v>
          </cell>
          <cell r="S960" t="str">
            <v>polygon</v>
          </cell>
          <cell r="T960">
            <v>0</v>
          </cell>
          <cell r="U960" t="str">
            <v>NULL</v>
          </cell>
          <cell r="V960" t="str">
            <v>NULL</v>
          </cell>
          <cell r="W960" t="str">
            <v/>
          </cell>
          <cell r="X960">
            <v>0</v>
          </cell>
          <cell r="Y960">
            <v>0</v>
          </cell>
          <cell r="Z960">
            <v>0</v>
          </cell>
          <cell r="AA960">
            <v>0</v>
          </cell>
          <cell r="AB960" t="str">
            <v>anytime</v>
          </cell>
          <cell r="AC960">
            <v>1</v>
          </cell>
          <cell r="AD960">
            <v>6</v>
          </cell>
          <cell r="AE960" t="str">
            <v>everyone</v>
          </cell>
        </row>
        <row r="961">
          <cell r="A961" t="str">
            <v>65528_1</v>
          </cell>
          <cell r="B961">
            <v>1</v>
          </cell>
          <cell r="C961">
            <v>65528</v>
          </cell>
          <cell r="D961" t="str">
            <v>【LB保堂】検証クエスト</v>
          </cell>
          <cell r="E961" t="str">
            <v>検証</v>
          </cell>
          <cell r="F961">
            <v>1</v>
          </cell>
          <cell r="G961" t="str">
            <v>ja</v>
          </cell>
          <cell r="H961" t="str">
            <v>【LB保堂】検証</v>
          </cell>
          <cell r="I961" t="str">
            <v>検証</v>
          </cell>
          <cell r="J961">
            <v>1</v>
          </cell>
          <cell r="K961">
            <v>1</v>
          </cell>
          <cell r="L961">
            <v>1</v>
          </cell>
          <cell r="M961">
            <v>1</v>
          </cell>
          <cell r="N961">
            <v>1</v>
          </cell>
          <cell r="O961">
            <v>1</v>
          </cell>
          <cell r="P961">
            <v>1</v>
          </cell>
          <cell r="Q961">
            <v>1</v>
          </cell>
          <cell r="R961">
            <v>3</v>
          </cell>
          <cell r="S961" t="str">
            <v>polygon</v>
          </cell>
          <cell r="T961">
            <v>0</v>
          </cell>
          <cell r="U961" t="str">
            <v>NULL</v>
          </cell>
          <cell r="V961" t="str">
            <v>NULL</v>
          </cell>
          <cell r="W961" t="str">
            <v/>
          </cell>
          <cell r="X961">
            <v>0</v>
          </cell>
          <cell r="Y961">
            <v>0</v>
          </cell>
          <cell r="Z961">
            <v>0</v>
          </cell>
          <cell r="AA961">
            <v>0</v>
          </cell>
          <cell r="AB961" t="str">
            <v>anytime</v>
          </cell>
          <cell r="AC961">
            <v>1</v>
          </cell>
          <cell r="AD961">
            <v>6</v>
          </cell>
          <cell r="AE961" t="str">
            <v>everyone</v>
          </cell>
        </row>
        <row r="962">
          <cell r="A962" t="str">
            <v>65529_1</v>
          </cell>
          <cell r="B962">
            <v>1</v>
          </cell>
          <cell r="C962">
            <v>65529</v>
          </cell>
          <cell r="D962" t="str">
            <v>【LB植松】検証クエスト</v>
          </cell>
          <cell r="E962" t="str">
            <v>検証</v>
          </cell>
          <cell r="F962">
            <v>1</v>
          </cell>
          <cell r="G962" t="str">
            <v>ja</v>
          </cell>
          <cell r="H962" t="str">
            <v>【LB植松】検証</v>
          </cell>
          <cell r="I962" t="str">
            <v>検証</v>
          </cell>
          <cell r="J962">
            <v>1</v>
          </cell>
          <cell r="K962">
            <v>1</v>
          </cell>
          <cell r="L962">
            <v>1</v>
          </cell>
          <cell r="M962">
            <v>1</v>
          </cell>
          <cell r="N962">
            <v>1</v>
          </cell>
          <cell r="O962">
            <v>1</v>
          </cell>
          <cell r="P962">
            <v>1</v>
          </cell>
          <cell r="Q962">
            <v>1</v>
          </cell>
          <cell r="R962">
            <v>3</v>
          </cell>
          <cell r="S962" t="str">
            <v>polygon</v>
          </cell>
          <cell r="T962">
            <v>0</v>
          </cell>
          <cell r="U962" t="str">
            <v>NULL</v>
          </cell>
          <cell r="V962" t="str">
            <v>NULL</v>
          </cell>
          <cell r="W962" t="str">
            <v/>
          </cell>
          <cell r="X962">
            <v>0</v>
          </cell>
          <cell r="Y962">
            <v>0</v>
          </cell>
          <cell r="Z962">
            <v>0</v>
          </cell>
          <cell r="AA962">
            <v>0</v>
          </cell>
          <cell r="AB962" t="str">
            <v>anytime</v>
          </cell>
          <cell r="AC962">
            <v>1</v>
          </cell>
          <cell r="AD962">
            <v>6</v>
          </cell>
          <cell r="AE962" t="str">
            <v>everyone</v>
          </cell>
        </row>
        <row r="963">
          <cell r="A963" t="str">
            <v>65530_1</v>
          </cell>
          <cell r="B963">
            <v>1</v>
          </cell>
          <cell r="C963">
            <v>65530</v>
          </cell>
          <cell r="D963" t="str">
            <v>【LB渡邉】検証クエスト</v>
          </cell>
          <cell r="E963" t="str">
            <v>検証</v>
          </cell>
          <cell r="F963">
            <v>1</v>
          </cell>
          <cell r="G963" t="str">
            <v>ja</v>
          </cell>
          <cell r="H963" t="str">
            <v>【LB渡邉】検証</v>
          </cell>
          <cell r="I963" t="str">
            <v>検証</v>
          </cell>
          <cell r="J963">
            <v>1</v>
          </cell>
          <cell r="K963">
            <v>1</v>
          </cell>
          <cell r="L963">
            <v>1</v>
          </cell>
          <cell r="M963">
            <v>1</v>
          </cell>
          <cell r="N963">
            <v>1</v>
          </cell>
          <cell r="O963">
            <v>1</v>
          </cell>
          <cell r="P963">
            <v>1</v>
          </cell>
          <cell r="Q963">
            <v>1</v>
          </cell>
          <cell r="R963">
            <v>3</v>
          </cell>
          <cell r="S963" t="str">
            <v>polygon</v>
          </cell>
          <cell r="T963">
            <v>0</v>
          </cell>
          <cell r="U963" t="str">
            <v>NULL</v>
          </cell>
          <cell r="V963" t="str">
            <v>NULL</v>
          </cell>
          <cell r="W963" t="str">
            <v/>
          </cell>
          <cell r="X963">
            <v>0</v>
          </cell>
          <cell r="Y963">
            <v>0</v>
          </cell>
          <cell r="Z963">
            <v>0</v>
          </cell>
          <cell r="AA963">
            <v>0</v>
          </cell>
          <cell r="AB963" t="str">
            <v>anytime</v>
          </cell>
          <cell r="AC963">
            <v>1</v>
          </cell>
          <cell r="AD963">
            <v>6</v>
          </cell>
          <cell r="AE963" t="str">
            <v>everyone</v>
          </cell>
        </row>
        <row r="964">
          <cell r="A964" t="str">
            <v>65531_1</v>
          </cell>
          <cell r="B964">
            <v>1</v>
          </cell>
          <cell r="C964">
            <v>65531</v>
          </cell>
          <cell r="D964" t="str">
            <v>【LB塚本】検証クエスト</v>
          </cell>
          <cell r="E964" t="str">
            <v>検証</v>
          </cell>
          <cell r="F964">
            <v>1</v>
          </cell>
          <cell r="G964" t="str">
            <v>ja</v>
          </cell>
          <cell r="H964" t="str">
            <v>【LB塚本】検証</v>
          </cell>
          <cell r="I964" t="str">
            <v>検証</v>
          </cell>
          <cell r="J964">
            <v>1</v>
          </cell>
          <cell r="K964">
            <v>1</v>
          </cell>
          <cell r="L964">
            <v>1</v>
          </cell>
          <cell r="M964">
            <v>1</v>
          </cell>
          <cell r="N964">
            <v>1</v>
          </cell>
          <cell r="O964">
            <v>1</v>
          </cell>
          <cell r="P964">
            <v>1</v>
          </cell>
          <cell r="Q964">
            <v>1</v>
          </cell>
          <cell r="R964">
            <v>3</v>
          </cell>
          <cell r="S964" t="str">
            <v>polygon</v>
          </cell>
          <cell r="T964">
            <v>0</v>
          </cell>
          <cell r="U964" t="str">
            <v>NULL</v>
          </cell>
          <cell r="V964" t="str">
            <v>NULL</v>
          </cell>
          <cell r="W964" t="str">
            <v/>
          </cell>
          <cell r="X964">
            <v>0</v>
          </cell>
          <cell r="Y964">
            <v>0</v>
          </cell>
          <cell r="Z964">
            <v>0</v>
          </cell>
          <cell r="AA964">
            <v>0</v>
          </cell>
          <cell r="AB964" t="str">
            <v>anytime</v>
          </cell>
          <cell r="AC964">
            <v>1</v>
          </cell>
          <cell r="AD964">
            <v>6</v>
          </cell>
          <cell r="AE964" t="str">
            <v>everyone</v>
          </cell>
        </row>
        <row r="965">
          <cell r="A965" t="str">
            <v>65531_2</v>
          </cell>
          <cell r="B965">
            <v>1</v>
          </cell>
          <cell r="C965">
            <v>65531</v>
          </cell>
          <cell r="D965" t="str">
            <v>【LB塚本】検証クエスト</v>
          </cell>
          <cell r="E965" t="str">
            <v>検証</v>
          </cell>
          <cell r="F965">
            <v>2</v>
          </cell>
          <cell r="G965" t="str">
            <v>ja</v>
          </cell>
          <cell r="H965" t="str">
            <v>【LB塚本】検証プレイ用</v>
          </cell>
          <cell r="I965" t="str">
            <v>検証</v>
          </cell>
          <cell r="J965">
            <v>1</v>
          </cell>
          <cell r="K965">
            <v>1</v>
          </cell>
          <cell r="L965">
            <v>1</v>
          </cell>
          <cell r="M965">
            <v>1</v>
          </cell>
          <cell r="N965">
            <v>1</v>
          </cell>
          <cell r="O965">
            <v>1</v>
          </cell>
          <cell r="P965">
            <v>1</v>
          </cell>
          <cell r="Q965">
            <v>1</v>
          </cell>
          <cell r="R965">
            <v>3</v>
          </cell>
          <cell r="S965" t="str">
            <v>polygon</v>
          </cell>
          <cell r="T965">
            <v>0</v>
          </cell>
          <cell r="U965" t="str">
            <v>NULL</v>
          </cell>
          <cell r="V965" t="str">
            <v>NULL</v>
          </cell>
          <cell r="W965" t="str">
            <v/>
          </cell>
          <cell r="X965">
            <v>0</v>
          </cell>
          <cell r="Y965">
            <v>0</v>
          </cell>
          <cell r="Z965">
            <v>0</v>
          </cell>
          <cell r="AA965">
            <v>0</v>
          </cell>
          <cell r="AB965" t="str">
            <v>anytime</v>
          </cell>
          <cell r="AC965">
            <v>1</v>
          </cell>
          <cell r="AD965">
            <v>6</v>
          </cell>
          <cell r="AE965" t="str">
            <v>everyone</v>
          </cell>
        </row>
        <row r="966">
          <cell r="A966" t="str">
            <v>65532_1</v>
          </cell>
          <cell r="B966">
            <v>1</v>
          </cell>
          <cell r="C966">
            <v>65532</v>
          </cell>
          <cell r="D966" t="str">
            <v>【LB山川】検証クエスト</v>
          </cell>
          <cell r="E966" t="str">
            <v>検証</v>
          </cell>
          <cell r="F966">
            <v>1</v>
          </cell>
          <cell r="G966" t="str">
            <v>ja</v>
          </cell>
          <cell r="H966" t="str">
            <v>【LB山川】検証</v>
          </cell>
          <cell r="I966" t="str">
            <v>検証</v>
          </cell>
          <cell r="J966">
            <v>1</v>
          </cell>
          <cell r="K966">
            <v>1</v>
          </cell>
          <cell r="L966">
            <v>1</v>
          </cell>
          <cell r="M966">
            <v>1</v>
          </cell>
          <cell r="N966">
            <v>1</v>
          </cell>
          <cell r="O966">
            <v>1</v>
          </cell>
          <cell r="P966">
            <v>1</v>
          </cell>
          <cell r="Q966">
            <v>1</v>
          </cell>
          <cell r="R966">
            <v>3</v>
          </cell>
          <cell r="S966" t="str">
            <v>polygon</v>
          </cell>
          <cell r="T966">
            <v>0</v>
          </cell>
          <cell r="U966" t="str">
            <v>NULL</v>
          </cell>
          <cell r="V966" t="str">
            <v>NULL</v>
          </cell>
          <cell r="W966" t="str">
            <v/>
          </cell>
          <cell r="X966">
            <v>0</v>
          </cell>
          <cell r="Y966">
            <v>0</v>
          </cell>
          <cell r="Z966">
            <v>0</v>
          </cell>
          <cell r="AA966">
            <v>0</v>
          </cell>
          <cell r="AB966" t="str">
            <v>anytime</v>
          </cell>
          <cell r="AC966">
            <v>1</v>
          </cell>
          <cell r="AD966">
            <v>6</v>
          </cell>
          <cell r="AE966" t="str">
            <v>everyone</v>
          </cell>
        </row>
        <row r="967">
          <cell r="A967" t="str">
            <v>65532_2</v>
          </cell>
          <cell r="B967">
            <v>1</v>
          </cell>
          <cell r="C967">
            <v>65532</v>
          </cell>
          <cell r="D967" t="str">
            <v>【LB山川】検証クエスト</v>
          </cell>
          <cell r="E967" t="str">
            <v>検証</v>
          </cell>
          <cell r="F967">
            <v>2</v>
          </cell>
          <cell r="G967" t="str">
            <v>ja</v>
          </cell>
          <cell r="H967" t="str">
            <v>【LB山川】検証プレイ用</v>
          </cell>
          <cell r="I967" t="str">
            <v>検証</v>
          </cell>
          <cell r="J967">
            <v>1</v>
          </cell>
          <cell r="K967">
            <v>1</v>
          </cell>
          <cell r="L967">
            <v>1</v>
          </cell>
          <cell r="M967">
            <v>1</v>
          </cell>
          <cell r="N967">
            <v>1</v>
          </cell>
          <cell r="O967">
            <v>1</v>
          </cell>
          <cell r="P967">
            <v>1</v>
          </cell>
          <cell r="Q967">
            <v>1</v>
          </cell>
          <cell r="R967">
            <v>3</v>
          </cell>
          <cell r="S967" t="str">
            <v>polygon</v>
          </cell>
          <cell r="T967">
            <v>0</v>
          </cell>
          <cell r="U967" t="str">
            <v>NULL</v>
          </cell>
          <cell r="V967" t="str">
            <v>NULL</v>
          </cell>
          <cell r="W967" t="str">
            <v/>
          </cell>
          <cell r="X967">
            <v>0</v>
          </cell>
          <cell r="Y967">
            <v>0</v>
          </cell>
          <cell r="Z967">
            <v>0</v>
          </cell>
          <cell r="AA967">
            <v>0</v>
          </cell>
          <cell r="AB967" t="str">
            <v>anytime</v>
          </cell>
          <cell r="AC967">
            <v>1</v>
          </cell>
          <cell r="AD967">
            <v>6</v>
          </cell>
          <cell r="AE967" t="str">
            <v>everyone</v>
          </cell>
        </row>
        <row r="968">
          <cell r="A968" t="str">
            <v>65533_1</v>
          </cell>
          <cell r="B968">
            <v>1</v>
          </cell>
          <cell r="C968">
            <v>65533</v>
          </cell>
          <cell r="D968" t="str">
            <v>【程塚】検証クエスト</v>
          </cell>
          <cell r="E968" t="str">
            <v>検証</v>
          </cell>
          <cell r="F968">
            <v>1</v>
          </cell>
          <cell r="G968" t="str">
            <v>ja</v>
          </cell>
          <cell r="H968" t="str">
            <v>【超級】若造よ、身の程を知れ</v>
          </cell>
          <cell r="I968" t="str">
            <v>超級</v>
          </cell>
          <cell r="J968">
            <v>458</v>
          </cell>
          <cell r="K968">
            <v>30</v>
          </cell>
          <cell r="L968">
            <v>3300</v>
          </cell>
          <cell r="M968">
            <v>1</v>
          </cell>
          <cell r="N968">
            <v>1</v>
          </cell>
          <cell r="O968">
            <v>1</v>
          </cell>
          <cell r="P968">
            <v>1</v>
          </cell>
          <cell r="Q968">
            <v>1</v>
          </cell>
          <cell r="R968">
            <v>3</v>
          </cell>
          <cell r="S968" t="str">
            <v>none</v>
          </cell>
          <cell r="T968">
            <v>0</v>
          </cell>
          <cell r="U968" t="str">
            <v>NULL</v>
          </cell>
          <cell r="V968" t="str">
            <v>NULL</v>
          </cell>
          <cell r="W968" t="str">
            <v/>
          </cell>
          <cell r="X968">
            <v>0</v>
          </cell>
          <cell r="Y968">
            <v>0</v>
          </cell>
          <cell r="Z968">
            <v>0</v>
          </cell>
          <cell r="AA968">
            <v>0</v>
          </cell>
          <cell r="AB968" t="str">
            <v>anytime</v>
          </cell>
          <cell r="AC968">
            <v>13</v>
          </cell>
          <cell r="AD968">
            <v>6</v>
          </cell>
          <cell r="AE968" t="str">
            <v>everyone</v>
          </cell>
        </row>
        <row r="969">
          <cell r="A969" t="str">
            <v>65533_2</v>
          </cell>
          <cell r="B969">
            <v>1</v>
          </cell>
          <cell r="C969">
            <v>65533</v>
          </cell>
          <cell r="D969" t="str">
            <v>【程塚】検証クエスト</v>
          </cell>
          <cell r="E969" t="str">
            <v>検証</v>
          </cell>
          <cell r="F969">
            <v>2</v>
          </cell>
          <cell r="G969" t="str">
            <v>ja</v>
          </cell>
          <cell r="H969" t="str">
            <v>【超絶級】若造よ、身の程を知れ</v>
          </cell>
          <cell r="I969" t="str">
            <v>超絶級</v>
          </cell>
          <cell r="J969">
            <v>459</v>
          </cell>
          <cell r="K969">
            <v>35</v>
          </cell>
          <cell r="L969">
            <v>4200</v>
          </cell>
          <cell r="M969">
            <v>1</v>
          </cell>
          <cell r="N969">
            <v>1</v>
          </cell>
          <cell r="O969">
            <v>1</v>
          </cell>
          <cell r="P969">
            <v>1</v>
          </cell>
          <cell r="Q969">
            <v>1</v>
          </cell>
          <cell r="R969">
            <v>3</v>
          </cell>
          <cell r="S969" t="str">
            <v>polygon</v>
          </cell>
          <cell r="T969">
            <v>1</v>
          </cell>
          <cell r="U969" t="str">
            <v>NULL</v>
          </cell>
          <cell r="V969" t="str">
            <v>NULL</v>
          </cell>
          <cell r="W969" t="str">
            <v/>
          </cell>
          <cell r="X969">
            <v>0</v>
          </cell>
          <cell r="Y969">
            <v>0</v>
          </cell>
          <cell r="Z969">
            <v>0</v>
          </cell>
          <cell r="AA969">
            <v>0</v>
          </cell>
          <cell r="AB969" t="str">
            <v>anytime</v>
          </cell>
          <cell r="AC969">
            <v>13</v>
          </cell>
          <cell r="AD969">
            <v>6</v>
          </cell>
          <cell r="AE969" t="str">
            <v>everyone</v>
          </cell>
        </row>
        <row r="970">
          <cell r="A970" t="str">
            <v>65534_1</v>
          </cell>
          <cell r="B970">
            <v>1</v>
          </cell>
          <cell r="C970">
            <v>65534</v>
          </cell>
          <cell r="D970" t="str">
            <v>【LB久保】検証クエスト</v>
          </cell>
          <cell r="E970" t="str">
            <v>検証</v>
          </cell>
          <cell r="F970">
            <v>1</v>
          </cell>
          <cell r="G970" t="str">
            <v>ja</v>
          </cell>
          <cell r="H970" t="str">
            <v>【LB久保】タワー調整用</v>
          </cell>
          <cell r="I970" t="str">
            <v>検証</v>
          </cell>
          <cell r="J970">
            <v>1</v>
          </cell>
          <cell r="K970">
            <v>1</v>
          </cell>
          <cell r="L970">
            <v>1</v>
          </cell>
          <cell r="M970">
            <v>1</v>
          </cell>
          <cell r="N970">
            <v>1</v>
          </cell>
          <cell r="O970">
            <v>1</v>
          </cell>
          <cell r="P970">
            <v>1</v>
          </cell>
          <cell r="Q970">
            <v>1</v>
          </cell>
          <cell r="R970">
            <v>3</v>
          </cell>
          <cell r="S970" t="str">
            <v>polygon</v>
          </cell>
          <cell r="T970">
            <v>0</v>
          </cell>
          <cell r="U970" t="str">
            <v>NULL</v>
          </cell>
          <cell r="V970" t="str">
            <v>NULL</v>
          </cell>
          <cell r="W970" t="str">
            <v/>
          </cell>
          <cell r="X970">
            <v>0</v>
          </cell>
          <cell r="Y970">
            <v>0</v>
          </cell>
          <cell r="Z970">
            <v>0</v>
          </cell>
          <cell r="AA970">
            <v>0</v>
          </cell>
          <cell r="AB970" t="str">
            <v>anytime</v>
          </cell>
          <cell r="AC970">
            <v>24</v>
          </cell>
          <cell r="AD970">
            <v>4</v>
          </cell>
          <cell r="AE970" t="str">
            <v>everyone</v>
          </cell>
        </row>
        <row r="971">
          <cell r="A971" t="str">
            <v>65534_2</v>
          </cell>
          <cell r="B971">
            <v>1</v>
          </cell>
          <cell r="C971">
            <v>65534</v>
          </cell>
          <cell r="D971" t="str">
            <v>【LB久保】検証クエスト</v>
          </cell>
          <cell r="E971" t="str">
            <v>検証</v>
          </cell>
          <cell r="F971">
            <v>2</v>
          </cell>
          <cell r="G971" t="str">
            <v>ja</v>
          </cell>
          <cell r="H971" t="str">
            <v>【LB久保】タワー調整用2</v>
          </cell>
          <cell r="I971" t="str">
            <v>検証</v>
          </cell>
          <cell r="J971">
            <v>1</v>
          </cell>
          <cell r="K971">
            <v>1</v>
          </cell>
          <cell r="L971">
            <v>1</v>
          </cell>
          <cell r="M971">
            <v>1</v>
          </cell>
          <cell r="N971">
            <v>1</v>
          </cell>
          <cell r="O971">
            <v>1</v>
          </cell>
          <cell r="P971">
            <v>1</v>
          </cell>
          <cell r="Q971">
            <v>1</v>
          </cell>
          <cell r="R971">
            <v>3</v>
          </cell>
          <cell r="S971" t="str">
            <v>polygon</v>
          </cell>
          <cell r="T971">
            <v>0</v>
          </cell>
          <cell r="U971" t="str">
            <v>NULL</v>
          </cell>
          <cell r="V971" t="str">
            <v>NULL</v>
          </cell>
          <cell r="W971" t="str">
            <v/>
          </cell>
          <cell r="X971">
            <v>0</v>
          </cell>
          <cell r="Y971">
            <v>0</v>
          </cell>
          <cell r="Z971">
            <v>0</v>
          </cell>
          <cell r="AA971">
            <v>0</v>
          </cell>
          <cell r="AB971" t="str">
            <v>anytime</v>
          </cell>
          <cell r="AC971">
            <v>24</v>
          </cell>
          <cell r="AD971">
            <v>4</v>
          </cell>
          <cell r="AE971" t="str">
            <v>everyone</v>
          </cell>
        </row>
        <row r="972">
          <cell r="A972" t="str">
            <v>65535_1</v>
          </cell>
          <cell r="B972">
            <v>1</v>
          </cell>
          <cell r="C972">
            <v>65535</v>
          </cell>
          <cell r="D972" t="str">
            <v>１２３４５６７８９０１２３４５６７８９０１２３４５６７８９０</v>
          </cell>
          <cell r="E972" t="str">
            <v>検証</v>
          </cell>
          <cell r="F972">
            <v>1</v>
          </cell>
          <cell r="G972" t="str">
            <v>ja</v>
          </cell>
          <cell r="H972" t="str">
            <v>テンプレート</v>
          </cell>
          <cell r="I972" t="str">
            <v>検証</v>
          </cell>
          <cell r="J972" t="str">
            <v>NULL</v>
          </cell>
          <cell r="K972">
            <v>1</v>
          </cell>
          <cell r="L972">
            <v>1</v>
          </cell>
          <cell r="M972">
            <v>1</v>
          </cell>
          <cell r="N972">
            <v>1</v>
          </cell>
          <cell r="O972">
            <v>1</v>
          </cell>
          <cell r="P972">
            <v>1</v>
          </cell>
          <cell r="Q972">
            <v>1</v>
          </cell>
          <cell r="R972">
            <v>3</v>
          </cell>
          <cell r="S972" t="str">
            <v>none</v>
          </cell>
          <cell r="T972">
            <v>0</v>
          </cell>
          <cell r="U972" t="str">
            <v>NULL</v>
          </cell>
          <cell r="V972" t="str">
            <v>NULL</v>
          </cell>
          <cell r="W972" t="str">
            <v/>
          </cell>
          <cell r="X972">
            <v>0</v>
          </cell>
          <cell r="Y972">
            <v>0</v>
          </cell>
          <cell r="Z972">
            <v>0</v>
          </cell>
          <cell r="AA972">
            <v>0</v>
          </cell>
          <cell r="AB972" t="str">
            <v>anytime</v>
          </cell>
          <cell r="AC972">
            <v>903</v>
          </cell>
          <cell r="AD972">
            <v>6</v>
          </cell>
          <cell r="AE972" t="str">
            <v>everyone</v>
          </cell>
        </row>
        <row r="973">
          <cell r="A973" t="str">
            <v>65535_2</v>
          </cell>
          <cell r="B973">
            <v>1</v>
          </cell>
          <cell r="C973">
            <v>65535</v>
          </cell>
          <cell r="D973" t="str">
            <v>１２３４５６７８９０１２３４５６７８９０１２３４５６７８９０</v>
          </cell>
          <cell r="E973" t="str">
            <v>検証</v>
          </cell>
          <cell r="F973">
            <v>2</v>
          </cell>
          <cell r="G973" t="str">
            <v>ja</v>
          </cell>
          <cell r="H973" t="str">
            <v>ランクアップクエスト</v>
          </cell>
          <cell r="I973" t="str">
            <v>検証</v>
          </cell>
          <cell r="J973" t="str">
            <v>NULL</v>
          </cell>
          <cell r="K973">
            <v>1</v>
          </cell>
          <cell r="L973">
            <v>65535</v>
          </cell>
          <cell r="M973">
            <v>1</v>
          </cell>
          <cell r="N973">
            <v>1</v>
          </cell>
          <cell r="O973">
            <v>1</v>
          </cell>
          <cell r="P973">
            <v>1</v>
          </cell>
          <cell r="Q973">
            <v>1</v>
          </cell>
          <cell r="R973">
            <v>3</v>
          </cell>
          <cell r="S973" t="str">
            <v>none</v>
          </cell>
          <cell r="T973">
            <v>0</v>
          </cell>
          <cell r="U973" t="str">
            <v>NULL</v>
          </cell>
          <cell r="V973" t="str">
            <v>NULL</v>
          </cell>
          <cell r="W973" t="str">
            <v/>
          </cell>
          <cell r="X973">
            <v>0</v>
          </cell>
          <cell r="Y973">
            <v>0</v>
          </cell>
          <cell r="Z973">
            <v>0</v>
          </cell>
          <cell r="AA973">
            <v>0</v>
          </cell>
          <cell r="AB973" t="str">
            <v>anytime</v>
          </cell>
          <cell r="AC973">
            <v>903</v>
          </cell>
          <cell r="AD973">
            <v>6</v>
          </cell>
          <cell r="AE973" t="str">
            <v>everyone</v>
          </cell>
        </row>
        <row r="974">
          <cell r="A974" t="str">
            <v>65535_3</v>
          </cell>
          <cell r="B974">
            <v>1</v>
          </cell>
          <cell r="C974">
            <v>65535</v>
          </cell>
          <cell r="D974" t="str">
            <v>１２３４５６７８９０１２３４５６７８９０１２３４５６７８９０</v>
          </cell>
          <cell r="E974" t="str">
            <v>検証</v>
          </cell>
          <cell r="F974">
            <v>3</v>
          </cell>
          <cell r="G974" t="str">
            <v>ja</v>
          </cell>
          <cell r="H974" t="str">
            <v>サンドボックス</v>
          </cell>
          <cell r="I974" t="str">
            <v>検証</v>
          </cell>
          <cell r="J974" t="str">
            <v>NULL</v>
          </cell>
          <cell r="K974">
            <v>1</v>
          </cell>
          <cell r="L974">
            <v>1</v>
          </cell>
          <cell r="M974">
            <v>1</v>
          </cell>
          <cell r="N974">
            <v>1</v>
          </cell>
          <cell r="O974">
            <v>1</v>
          </cell>
          <cell r="P974">
            <v>1</v>
          </cell>
          <cell r="Q974">
            <v>1</v>
          </cell>
          <cell r="R974">
            <v>3</v>
          </cell>
          <cell r="S974" t="str">
            <v>none</v>
          </cell>
          <cell r="T974">
            <v>0</v>
          </cell>
          <cell r="U974" t="str">
            <v>NULL</v>
          </cell>
          <cell r="V974" t="str">
            <v>NULL</v>
          </cell>
          <cell r="W974" t="str">
            <v/>
          </cell>
          <cell r="X974">
            <v>0</v>
          </cell>
          <cell r="Y974">
            <v>0</v>
          </cell>
          <cell r="Z974">
            <v>0</v>
          </cell>
          <cell r="AA974">
            <v>0</v>
          </cell>
          <cell r="AB974" t="str">
            <v>anytime</v>
          </cell>
          <cell r="AC974">
            <v>105</v>
          </cell>
          <cell r="AD974">
            <v>6</v>
          </cell>
          <cell r="AE974" t="str">
            <v>everyone</v>
          </cell>
        </row>
        <row r="975">
          <cell r="A975" t="str">
            <v>65535_4</v>
          </cell>
          <cell r="B975">
            <v>1</v>
          </cell>
          <cell r="C975">
            <v>65535</v>
          </cell>
          <cell r="D975" t="str">
            <v>１２３４５６７８９０１２３４５６７８９０１２３４５６７８９０</v>
          </cell>
          <cell r="E975" t="str">
            <v>検証</v>
          </cell>
          <cell r="F975">
            <v>4</v>
          </cell>
          <cell r="G975" t="str">
            <v>ja</v>
          </cell>
          <cell r="H975" t="str">
            <v>フリーズジャンヌ</v>
          </cell>
          <cell r="I975" t="str">
            <v>検証</v>
          </cell>
          <cell r="J975" t="str">
            <v>NULL</v>
          </cell>
          <cell r="K975">
            <v>1</v>
          </cell>
          <cell r="L975">
            <v>1</v>
          </cell>
          <cell r="M975">
            <v>1</v>
          </cell>
          <cell r="N975">
            <v>1</v>
          </cell>
          <cell r="O975">
            <v>1</v>
          </cell>
          <cell r="P975">
            <v>1</v>
          </cell>
          <cell r="Q975">
            <v>1</v>
          </cell>
          <cell r="R975">
            <v>3</v>
          </cell>
          <cell r="S975" t="str">
            <v>none</v>
          </cell>
          <cell r="T975">
            <v>0</v>
          </cell>
          <cell r="U975" t="str">
            <v>NULL</v>
          </cell>
          <cell r="V975" t="str">
            <v>NULL</v>
          </cell>
          <cell r="W975" t="str">
            <v/>
          </cell>
          <cell r="X975">
            <v>0</v>
          </cell>
          <cell r="Y975">
            <v>0</v>
          </cell>
          <cell r="Z975">
            <v>0</v>
          </cell>
          <cell r="AA975">
            <v>0</v>
          </cell>
          <cell r="AB975" t="str">
            <v>anytime</v>
          </cell>
          <cell r="AC975">
            <v>105</v>
          </cell>
          <cell r="AD975">
            <v>6</v>
          </cell>
          <cell r="AE975" t="str">
            <v>everyone</v>
          </cell>
        </row>
        <row r="976">
          <cell r="A976" t="str">
            <v>65535_5</v>
          </cell>
          <cell r="B976">
            <v>1</v>
          </cell>
          <cell r="C976">
            <v>65535</v>
          </cell>
          <cell r="D976" t="str">
            <v>１２３４５６７８９０１２３４５６７８９０１２３４５６７８９０</v>
          </cell>
          <cell r="E976" t="str">
            <v>検証</v>
          </cell>
          <cell r="F976">
            <v>5</v>
          </cell>
          <cell r="G976" t="str">
            <v>ja</v>
          </cell>
          <cell r="H976" t="str">
            <v>ウィルスジャンヌ</v>
          </cell>
          <cell r="I976" t="str">
            <v>検証</v>
          </cell>
          <cell r="J976" t="str">
            <v>NULL</v>
          </cell>
          <cell r="K976">
            <v>1</v>
          </cell>
          <cell r="L976">
            <v>1</v>
          </cell>
          <cell r="M976">
            <v>1</v>
          </cell>
          <cell r="N976">
            <v>1</v>
          </cell>
          <cell r="O976">
            <v>1</v>
          </cell>
          <cell r="P976">
            <v>1</v>
          </cell>
          <cell r="Q976">
            <v>1</v>
          </cell>
          <cell r="R976">
            <v>3</v>
          </cell>
          <cell r="S976" t="str">
            <v>none</v>
          </cell>
          <cell r="T976">
            <v>0</v>
          </cell>
          <cell r="U976" t="str">
            <v>NULL</v>
          </cell>
          <cell r="V976" t="str">
            <v>NULL</v>
          </cell>
          <cell r="W976" t="str">
            <v/>
          </cell>
          <cell r="X976">
            <v>0</v>
          </cell>
          <cell r="Y976">
            <v>0</v>
          </cell>
          <cell r="Z976">
            <v>0</v>
          </cell>
          <cell r="AA976">
            <v>0</v>
          </cell>
          <cell r="AB976" t="str">
            <v>anytime</v>
          </cell>
          <cell r="AC976">
            <v>105</v>
          </cell>
          <cell r="AD976">
            <v>6</v>
          </cell>
          <cell r="AE976" t="str">
            <v>everyone</v>
          </cell>
        </row>
        <row r="977">
          <cell r="A977" t="str">
            <v>65535_6</v>
          </cell>
          <cell r="B977">
            <v>1</v>
          </cell>
          <cell r="C977">
            <v>65535</v>
          </cell>
          <cell r="D977" t="str">
            <v>１２３４５６７８９０１２３４５６７８９０１２３４５６７８９０</v>
          </cell>
          <cell r="E977" t="str">
            <v>検証</v>
          </cell>
          <cell r="F977">
            <v>6</v>
          </cell>
          <cell r="G977" t="str">
            <v>ja</v>
          </cell>
          <cell r="H977" t="str">
            <v>お邪魔ジャンヌ</v>
          </cell>
          <cell r="I977" t="str">
            <v>検証</v>
          </cell>
          <cell r="J977" t="str">
            <v>NULL</v>
          </cell>
          <cell r="K977">
            <v>1</v>
          </cell>
          <cell r="L977">
            <v>1</v>
          </cell>
          <cell r="M977">
            <v>1</v>
          </cell>
          <cell r="N977">
            <v>1</v>
          </cell>
          <cell r="O977">
            <v>1</v>
          </cell>
          <cell r="P977">
            <v>1</v>
          </cell>
          <cell r="Q977">
            <v>1</v>
          </cell>
          <cell r="R977">
            <v>3</v>
          </cell>
          <cell r="S977" t="str">
            <v>none</v>
          </cell>
          <cell r="T977">
            <v>0</v>
          </cell>
          <cell r="U977" t="str">
            <v>NULL</v>
          </cell>
          <cell r="V977" t="str">
            <v>NULL</v>
          </cell>
          <cell r="W977" t="str">
            <v/>
          </cell>
          <cell r="X977">
            <v>0</v>
          </cell>
          <cell r="Y977">
            <v>0</v>
          </cell>
          <cell r="Z977">
            <v>0</v>
          </cell>
          <cell r="AA977">
            <v>0</v>
          </cell>
          <cell r="AB977" t="str">
            <v>anytime</v>
          </cell>
          <cell r="AC977">
            <v>105</v>
          </cell>
          <cell r="AD977">
            <v>6</v>
          </cell>
          <cell r="AE977" t="str">
            <v>everyone</v>
          </cell>
        </row>
        <row r="978">
          <cell r="A978" t="str">
            <v>65535_7</v>
          </cell>
          <cell r="B978">
            <v>1</v>
          </cell>
          <cell r="C978">
            <v>65535</v>
          </cell>
          <cell r="D978" t="str">
            <v>１２３４５６７８９０１２３４５６７８９０１２３４５６７８９０</v>
          </cell>
          <cell r="E978" t="str">
            <v>検証</v>
          </cell>
          <cell r="F978">
            <v>7</v>
          </cell>
          <cell r="G978" t="str">
            <v>ja</v>
          </cell>
          <cell r="H978" t="str">
            <v>爆風ジャンヌ</v>
          </cell>
          <cell r="I978" t="str">
            <v>検証</v>
          </cell>
          <cell r="J978" t="str">
            <v>NULL</v>
          </cell>
          <cell r="K978">
            <v>1</v>
          </cell>
          <cell r="L978">
            <v>1</v>
          </cell>
          <cell r="M978">
            <v>1</v>
          </cell>
          <cell r="N978">
            <v>1</v>
          </cell>
          <cell r="O978">
            <v>1</v>
          </cell>
          <cell r="P978">
            <v>1</v>
          </cell>
          <cell r="Q978">
            <v>1</v>
          </cell>
          <cell r="R978">
            <v>3</v>
          </cell>
          <cell r="S978" t="str">
            <v>none</v>
          </cell>
          <cell r="T978">
            <v>0</v>
          </cell>
          <cell r="U978" t="str">
            <v>NULL</v>
          </cell>
          <cell r="V978" t="str">
            <v>NULL</v>
          </cell>
          <cell r="W978" t="str">
            <v/>
          </cell>
          <cell r="X978">
            <v>0</v>
          </cell>
          <cell r="Y978">
            <v>0</v>
          </cell>
          <cell r="Z978">
            <v>0</v>
          </cell>
          <cell r="AA978">
            <v>0</v>
          </cell>
          <cell r="AB978" t="str">
            <v>anytime</v>
          </cell>
          <cell r="AC978">
            <v>105</v>
          </cell>
          <cell r="AD978">
            <v>6</v>
          </cell>
          <cell r="AE978" t="str">
            <v>everyone</v>
          </cell>
        </row>
        <row r="979">
          <cell r="A979" t="str">
            <v>65535_8</v>
          </cell>
          <cell r="B979">
            <v>1</v>
          </cell>
          <cell r="C979">
            <v>65535</v>
          </cell>
          <cell r="D979" t="str">
            <v>１２３４５６７８９０１２３４５６７８９０１２３４５６７８９０</v>
          </cell>
          <cell r="E979" t="str">
            <v>検証</v>
          </cell>
          <cell r="F979">
            <v>8</v>
          </cell>
          <cell r="G979" t="str">
            <v>ja</v>
          </cell>
          <cell r="H979" t="str">
            <v>テスト</v>
          </cell>
          <cell r="I979" t="str">
            <v>検証</v>
          </cell>
          <cell r="J979" t="str">
            <v>NULL</v>
          </cell>
          <cell r="K979">
            <v>1</v>
          </cell>
          <cell r="L979">
            <v>1</v>
          </cell>
          <cell r="M979">
            <v>1</v>
          </cell>
          <cell r="N979">
            <v>1</v>
          </cell>
          <cell r="O979">
            <v>1</v>
          </cell>
          <cell r="P979">
            <v>1</v>
          </cell>
          <cell r="Q979">
            <v>1</v>
          </cell>
          <cell r="R979">
            <v>3</v>
          </cell>
          <cell r="S979" t="str">
            <v>none</v>
          </cell>
          <cell r="T979">
            <v>0</v>
          </cell>
          <cell r="U979" t="str">
            <v>NULL</v>
          </cell>
          <cell r="V979" t="str">
            <v>NULL</v>
          </cell>
          <cell r="W979" t="str">
            <v/>
          </cell>
          <cell r="X979">
            <v>0</v>
          </cell>
          <cell r="Y979">
            <v>0</v>
          </cell>
          <cell r="Z979">
            <v>0</v>
          </cell>
          <cell r="AA979">
            <v>0</v>
          </cell>
          <cell r="AB979" t="str">
            <v>anytime</v>
          </cell>
          <cell r="AC979">
            <v>105</v>
          </cell>
          <cell r="AD979">
            <v>6</v>
          </cell>
          <cell r="AE979" t="str">
            <v>everyone</v>
          </cell>
        </row>
        <row r="980">
          <cell r="A980" t="str">
            <v>65535_9</v>
          </cell>
          <cell r="B980">
            <v>1</v>
          </cell>
          <cell r="C980">
            <v>65535</v>
          </cell>
          <cell r="D980" t="str">
            <v>１２３４５６７８９０１２３４５６７８９０１２３４５６７８９０</v>
          </cell>
          <cell r="E980" t="str">
            <v>検証</v>
          </cell>
          <cell r="F980">
            <v>9</v>
          </cell>
          <cell r="G980" t="str">
            <v>ja</v>
          </cell>
          <cell r="H980" t="str">
            <v>本気プロテクトジャンヌ</v>
          </cell>
          <cell r="I980" t="str">
            <v>検証</v>
          </cell>
          <cell r="J980">
            <v>814</v>
          </cell>
          <cell r="K980">
            <v>1</v>
          </cell>
          <cell r="L980">
            <v>1</v>
          </cell>
          <cell r="M980">
            <v>1</v>
          </cell>
          <cell r="N980">
            <v>1</v>
          </cell>
          <cell r="O980">
            <v>1</v>
          </cell>
          <cell r="P980">
            <v>1</v>
          </cell>
          <cell r="Q980">
            <v>1</v>
          </cell>
          <cell r="R980">
            <v>3</v>
          </cell>
          <cell r="S980" t="str">
            <v>none</v>
          </cell>
          <cell r="T980">
            <v>0</v>
          </cell>
          <cell r="U980" t="str">
            <v>NULL</v>
          </cell>
          <cell r="V980" t="str">
            <v>NULL</v>
          </cell>
          <cell r="W980" t="str">
            <v/>
          </cell>
          <cell r="X980">
            <v>0</v>
          </cell>
          <cell r="Y980">
            <v>0</v>
          </cell>
          <cell r="Z980">
            <v>0</v>
          </cell>
          <cell r="AA980">
            <v>0</v>
          </cell>
          <cell r="AB980" t="str">
            <v>anytime</v>
          </cell>
          <cell r="AC980">
            <v>105</v>
          </cell>
          <cell r="AD980">
            <v>6</v>
          </cell>
          <cell r="AE980" t="str">
            <v>everyone</v>
          </cell>
        </row>
        <row r="981">
          <cell r="A981" t="str">
            <v>65535_10</v>
          </cell>
          <cell r="B981">
            <v>1</v>
          </cell>
          <cell r="C981">
            <v>65535</v>
          </cell>
          <cell r="D981" t="str">
            <v>１２３４５６７８９０１２３４５６７８９０１２３４５６７８９０</v>
          </cell>
          <cell r="E981" t="str">
            <v>検証</v>
          </cell>
          <cell r="F981">
            <v>10</v>
          </cell>
          <cell r="G981" t="str">
            <v>ja</v>
          </cell>
          <cell r="H981" t="str">
            <v>本気ウィルスミケランジェロ</v>
          </cell>
          <cell r="I981" t="str">
            <v>検証</v>
          </cell>
          <cell r="J981">
            <v>1089</v>
          </cell>
          <cell r="K981">
            <v>1</v>
          </cell>
          <cell r="L981">
            <v>1</v>
          </cell>
          <cell r="M981">
            <v>1</v>
          </cell>
          <cell r="N981">
            <v>1</v>
          </cell>
          <cell r="O981">
            <v>1</v>
          </cell>
          <cell r="P981">
            <v>1</v>
          </cell>
          <cell r="Q981">
            <v>1</v>
          </cell>
          <cell r="R981">
            <v>3</v>
          </cell>
          <cell r="S981" t="str">
            <v>none</v>
          </cell>
          <cell r="T981">
            <v>0</v>
          </cell>
          <cell r="U981" t="str">
            <v>NULL</v>
          </cell>
          <cell r="V981" t="str">
            <v>NULL</v>
          </cell>
          <cell r="W981" t="str">
            <v/>
          </cell>
          <cell r="X981">
            <v>0</v>
          </cell>
          <cell r="Y981">
            <v>0</v>
          </cell>
          <cell r="Z981">
            <v>0</v>
          </cell>
          <cell r="AA981">
            <v>0</v>
          </cell>
          <cell r="AB981" t="str">
            <v>anytime</v>
          </cell>
          <cell r="AC981">
            <v>105</v>
          </cell>
          <cell r="AD981">
            <v>6</v>
          </cell>
          <cell r="AE981" t="str">
            <v>everyone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1504</v>
          </cell>
        </row>
        <row r="1341">
          <cell r="A1341">
            <v>1505</v>
          </cell>
        </row>
        <row r="1342">
          <cell r="A1342">
            <v>1506</v>
          </cell>
        </row>
        <row r="1343">
          <cell r="A1343">
            <v>1507</v>
          </cell>
        </row>
        <row r="1344">
          <cell r="A1344">
            <v>1508</v>
          </cell>
        </row>
        <row r="1345">
          <cell r="A1345">
            <v>1509</v>
          </cell>
        </row>
        <row r="1346">
          <cell r="A1346">
            <v>1510</v>
          </cell>
        </row>
        <row r="1347">
          <cell r="A1347">
            <v>1511</v>
          </cell>
        </row>
        <row r="1348">
          <cell r="A1348">
            <v>1512</v>
          </cell>
        </row>
        <row r="1349">
          <cell r="A1349">
            <v>1523</v>
          </cell>
        </row>
        <row r="1350">
          <cell r="A1350">
            <v>1524</v>
          </cell>
        </row>
        <row r="1351">
          <cell r="A1351">
            <v>1525</v>
          </cell>
        </row>
        <row r="1352">
          <cell r="A1352">
            <v>1526</v>
          </cell>
        </row>
        <row r="1353">
          <cell r="A1353">
            <v>5001</v>
          </cell>
        </row>
        <row r="1354">
          <cell r="A1354">
            <v>5002</v>
          </cell>
        </row>
        <row r="1355">
          <cell r="A1355">
            <v>5003</v>
          </cell>
        </row>
        <row r="1356">
          <cell r="A1356">
            <v>5004</v>
          </cell>
        </row>
        <row r="1357">
          <cell r="A1357">
            <v>5005</v>
          </cell>
        </row>
        <row r="1358">
          <cell r="A1358">
            <v>5006</v>
          </cell>
        </row>
        <row r="1359">
          <cell r="A1359">
            <v>5007</v>
          </cell>
        </row>
        <row r="1360">
          <cell r="A1360">
            <v>5008</v>
          </cell>
        </row>
        <row r="1361">
          <cell r="A1361">
            <v>6001</v>
          </cell>
        </row>
        <row r="1362">
          <cell r="A1362">
            <v>6002</v>
          </cell>
        </row>
        <row r="1363">
          <cell r="A1363">
            <v>6003</v>
          </cell>
        </row>
        <row r="1364">
          <cell r="A1364">
            <v>6004</v>
          </cell>
        </row>
        <row r="1365">
          <cell r="A1365">
            <v>6005</v>
          </cell>
        </row>
        <row r="1366">
          <cell r="A1366">
            <v>6006</v>
          </cell>
        </row>
        <row r="1367">
          <cell r="A1367">
            <v>6007</v>
          </cell>
        </row>
        <row r="1368">
          <cell r="A1368">
            <v>6008</v>
          </cell>
        </row>
        <row r="1369">
          <cell r="A1369">
            <v>6009</v>
          </cell>
        </row>
        <row r="1370">
          <cell r="A1370">
            <v>6010</v>
          </cell>
        </row>
        <row r="1371">
          <cell r="A1371">
            <v>6011</v>
          </cell>
        </row>
        <row r="1372">
          <cell r="A1372">
            <v>6012</v>
          </cell>
        </row>
        <row r="1373">
          <cell r="A1373">
            <v>6013</v>
          </cell>
        </row>
        <row r="1374">
          <cell r="A1374">
            <v>6014</v>
          </cell>
        </row>
        <row r="1375">
          <cell r="A1375">
            <v>6015</v>
          </cell>
        </row>
        <row r="1376">
          <cell r="A1376">
            <v>6016</v>
          </cell>
        </row>
        <row r="1377">
          <cell r="A1377">
            <v>6017</v>
          </cell>
        </row>
        <row r="1378">
          <cell r="A1378">
            <v>6018</v>
          </cell>
        </row>
        <row r="1379">
          <cell r="A1379">
            <v>6019</v>
          </cell>
        </row>
        <row r="1380">
          <cell r="A1380">
            <v>6020</v>
          </cell>
        </row>
        <row r="1381">
          <cell r="A1381">
            <v>8001</v>
          </cell>
        </row>
        <row r="1382">
          <cell r="A1382">
            <v>8002</v>
          </cell>
        </row>
        <row r="1383">
          <cell r="A1383">
            <v>8003</v>
          </cell>
        </row>
        <row r="1384">
          <cell r="A1384">
            <v>8004</v>
          </cell>
        </row>
        <row r="1385">
          <cell r="A1385">
            <v>8005</v>
          </cell>
        </row>
        <row r="1386">
          <cell r="A1386">
            <v>8006</v>
          </cell>
        </row>
        <row r="1387">
          <cell r="A1387">
            <v>8007</v>
          </cell>
        </row>
        <row r="1388">
          <cell r="A1388">
            <v>8008</v>
          </cell>
        </row>
        <row r="1389">
          <cell r="A1389">
            <v>8009</v>
          </cell>
        </row>
        <row r="1390">
          <cell r="A1390">
            <v>8010</v>
          </cell>
        </row>
        <row r="1391">
          <cell r="A1391">
            <v>8011</v>
          </cell>
        </row>
        <row r="1392">
          <cell r="A1392">
            <v>8012</v>
          </cell>
        </row>
        <row r="1393">
          <cell r="A1393">
            <v>8013</v>
          </cell>
        </row>
        <row r="1394">
          <cell r="A1394">
            <v>8014</v>
          </cell>
        </row>
        <row r="1395">
          <cell r="A1395">
            <v>8015</v>
          </cell>
        </row>
        <row r="1396">
          <cell r="A1396">
            <v>8016</v>
          </cell>
        </row>
        <row r="1397">
          <cell r="A1397">
            <v>8017</v>
          </cell>
        </row>
        <row r="1398">
          <cell r="A1398">
            <v>8018</v>
          </cell>
        </row>
        <row r="1399">
          <cell r="A1399">
            <v>8019</v>
          </cell>
        </row>
        <row r="1400">
          <cell r="A1400">
            <v>8020</v>
          </cell>
        </row>
        <row r="1401">
          <cell r="A1401">
            <v>8021</v>
          </cell>
        </row>
        <row r="1402">
          <cell r="A1402">
            <v>8022</v>
          </cell>
        </row>
        <row r="1403">
          <cell r="A1403">
            <v>8023</v>
          </cell>
        </row>
        <row r="1404">
          <cell r="A1404">
            <v>8024</v>
          </cell>
        </row>
        <row r="1405">
          <cell r="A1405">
            <v>8025</v>
          </cell>
        </row>
        <row r="1406">
          <cell r="A1406">
            <v>8026</v>
          </cell>
        </row>
        <row r="1407">
          <cell r="A1407">
            <v>8027</v>
          </cell>
        </row>
        <row r="1408">
          <cell r="A1408">
            <v>8028</v>
          </cell>
        </row>
        <row r="1409">
          <cell r="A1409">
            <v>8029</v>
          </cell>
        </row>
        <row r="1410">
          <cell r="A1410">
            <v>8030</v>
          </cell>
        </row>
        <row r="1411">
          <cell r="A1411">
            <v>8031</v>
          </cell>
        </row>
        <row r="1412">
          <cell r="A1412">
            <v>8032</v>
          </cell>
        </row>
        <row r="1413">
          <cell r="A1413">
            <v>8033</v>
          </cell>
        </row>
        <row r="1414">
          <cell r="A1414">
            <v>8034</v>
          </cell>
        </row>
        <row r="1415">
          <cell r="A1415">
            <v>8035</v>
          </cell>
        </row>
        <row r="1416">
          <cell r="A1416">
            <v>8036</v>
          </cell>
        </row>
        <row r="1417">
          <cell r="A1417">
            <v>8037</v>
          </cell>
        </row>
        <row r="1418">
          <cell r="A1418">
            <v>8038</v>
          </cell>
        </row>
        <row r="1419">
          <cell r="A1419">
            <v>8039</v>
          </cell>
        </row>
        <row r="1420">
          <cell r="A1420">
            <v>8040</v>
          </cell>
        </row>
        <row r="1421">
          <cell r="A1421">
            <v>8041</v>
          </cell>
        </row>
        <row r="1422">
          <cell r="A1422">
            <v>8042</v>
          </cell>
        </row>
        <row r="1423">
          <cell r="A1423">
            <v>8043</v>
          </cell>
        </row>
        <row r="1424">
          <cell r="A1424">
            <v>8044</v>
          </cell>
        </row>
        <row r="1425">
          <cell r="A1425">
            <v>8045</v>
          </cell>
        </row>
        <row r="1426">
          <cell r="A1426">
            <v>8046</v>
          </cell>
        </row>
        <row r="1427">
          <cell r="A1427">
            <v>8047</v>
          </cell>
        </row>
        <row r="1428">
          <cell r="A1428">
            <v>8048</v>
          </cell>
        </row>
        <row r="1429">
          <cell r="A1429">
            <v>8049</v>
          </cell>
        </row>
        <row r="1430">
          <cell r="A1430">
            <v>8050</v>
          </cell>
        </row>
        <row r="1431">
          <cell r="A1431">
            <v>8051</v>
          </cell>
        </row>
        <row r="1432">
          <cell r="A1432">
            <v>8052</v>
          </cell>
        </row>
        <row r="1433">
          <cell r="A1433">
            <v>8053</v>
          </cell>
        </row>
        <row r="1434">
          <cell r="A1434">
            <v>8054</v>
          </cell>
        </row>
        <row r="1435">
          <cell r="A1435">
            <v>8055</v>
          </cell>
        </row>
        <row r="1436">
          <cell r="A1436">
            <v>8056</v>
          </cell>
        </row>
        <row r="1437">
          <cell r="A1437">
            <v>8057</v>
          </cell>
        </row>
        <row r="1438">
          <cell r="A1438">
            <v>8058</v>
          </cell>
        </row>
        <row r="1439">
          <cell r="A1439">
            <v>8059</v>
          </cell>
        </row>
        <row r="1440">
          <cell r="A1440">
            <v>8060</v>
          </cell>
        </row>
        <row r="1441">
          <cell r="A1441">
            <v>8061</v>
          </cell>
        </row>
        <row r="1442">
          <cell r="A1442">
            <v>8062</v>
          </cell>
        </row>
        <row r="1443">
          <cell r="A1443">
            <v>8063</v>
          </cell>
        </row>
        <row r="1444">
          <cell r="A1444">
            <v>8064</v>
          </cell>
        </row>
        <row r="1445">
          <cell r="A1445">
            <v>8065</v>
          </cell>
        </row>
        <row r="1446">
          <cell r="A1446">
            <v>8066</v>
          </cell>
        </row>
        <row r="1447">
          <cell r="A1447">
            <v>8067</v>
          </cell>
        </row>
        <row r="1448">
          <cell r="A1448">
            <v>8068</v>
          </cell>
        </row>
        <row r="1449">
          <cell r="A1449">
            <v>8069</v>
          </cell>
        </row>
        <row r="1450">
          <cell r="A1450">
            <v>8070</v>
          </cell>
        </row>
        <row r="1451">
          <cell r="A1451">
            <v>8071</v>
          </cell>
        </row>
        <row r="1452">
          <cell r="A1452">
            <v>8072</v>
          </cell>
        </row>
        <row r="1453">
          <cell r="A1453">
            <v>8073</v>
          </cell>
        </row>
        <row r="1454">
          <cell r="A1454">
            <v>8074</v>
          </cell>
        </row>
        <row r="1455">
          <cell r="A1455">
            <v>8077</v>
          </cell>
        </row>
        <row r="1456">
          <cell r="A1456">
            <v>8078</v>
          </cell>
        </row>
        <row r="1457">
          <cell r="A1457">
            <v>8079</v>
          </cell>
        </row>
        <row r="1458">
          <cell r="A1458">
            <v>8080</v>
          </cell>
        </row>
        <row r="1459">
          <cell r="A1459">
            <v>8081</v>
          </cell>
        </row>
        <row r="1460">
          <cell r="A1460">
            <v>8082</v>
          </cell>
        </row>
        <row r="1461">
          <cell r="A1461">
            <v>8083</v>
          </cell>
        </row>
        <row r="1462">
          <cell r="A1462">
            <v>8084</v>
          </cell>
        </row>
        <row r="1463">
          <cell r="A1463">
            <v>8087</v>
          </cell>
        </row>
        <row r="1464">
          <cell r="A1464">
            <v>8088</v>
          </cell>
        </row>
        <row r="1465">
          <cell r="A1465">
            <v>8089</v>
          </cell>
        </row>
        <row r="1466">
          <cell r="A1466">
            <v>8090</v>
          </cell>
        </row>
        <row r="1467">
          <cell r="A1467">
            <v>8095</v>
          </cell>
        </row>
        <row r="1468">
          <cell r="A1468">
            <v>8096</v>
          </cell>
        </row>
        <row r="1469">
          <cell r="A1469">
            <v>8097</v>
          </cell>
        </row>
        <row r="1470">
          <cell r="A1470">
            <v>8098</v>
          </cell>
        </row>
        <row r="1471">
          <cell r="A1471">
            <v>8099</v>
          </cell>
        </row>
        <row r="1472">
          <cell r="A1472">
            <v>9001</v>
          </cell>
        </row>
        <row r="1473">
          <cell r="A1473">
            <v>9002</v>
          </cell>
        </row>
        <row r="1474">
          <cell r="A1474">
            <v>9003</v>
          </cell>
        </row>
        <row r="1475">
          <cell r="A1475">
            <v>9004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1425</v>
          </cell>
        </row>
        <row r="1401">
          <cell r="A1401">
            <v>1426</v>
          </cell>
        </row>
        <row r="1402">
          <cell r="A1402">
            <v>1433</v>
          </cell>
        </row>
        <row r="1403">
          <cell r="A1403">
            <v>1434</v>
          </cell>
        </row>
        <row r="1404">
          <cell r="A1404">
            <v>1435</v>
          </cell>
        </row>
        <row r="1405">
          <cell r="A1405">
            <v>1454</v>
          </cell>
        </row>
        <row r="1406">
          <cell r="A1406">
            <v>1455</v>
          </cell>
        </row>
        <row r="1407">
          <cell r="A1407">
            <v>1458</v>
          </cell>
        </row>
        <row r="1408">
          <cell r="A1408">
            <v>1459</v>
          </cell>
        </row>
        <row r="1409">
          <cell r="A1409">
            <v>1460</v>
          </cell>
        </row>
        <row r="1410">
          <cell r="A1410">
            <v>1461</v>
          </cell>
        </row>
        <row r="1411">
          <cell r="A1411">
            <v>1462</v>
          </cell>
        </row>
        <row r="1412">
          <cell r="A1412">
            <v>1463</v>
          </cell>
        </row>
        <row r="1413">
          <cell r="A1413">
            <v>1464</v>
          </cell>
        </row>
        <row r="1414">
          <cell r="A1414">
            <v>1465</v>
          </cell>
        </row>
        <row r="1415">
          <cell r="A1415">
            <v>1466</v>
          </cell>
        </row>
        <row r="1416">
          <cell r="A1416">
            <v>1467</v>
          </cell>
        </row>
        <row r="1417">
          <cell r="A1417">
            <v>1468</v>
          </cell>
        </row>
        <row r="1418">
          <cell r="A1418">
            <v>1469</v>
          </cell>
        </row>
        <row r="1419">
          <cell r="A1419">
            <v>1470</v>
          </cell>
        </row>
        <row r="1420">
          <cell r="A1420">
            <v>1488</v>
          </cell>
        </row>
        <row r="1421">
          <cell r="A1421">
            <v>1489</v>
          </cell>
        </row>
        <row r="1422">
          <cell r="A1422">
            <v>1504</v>
          </cell>
        </row>
        <row r="1423">
          <cell r="A1423">
            <v>1505</v>
          </cell>
        </row>
        <row r="1424">
          <cell r="A1424">
            <v>1506</v>
          </cell>
        </row>
        <row r="1425">
          <cell r="A1425">
            <v>1507</v>
          </cell>
        </row>
        <row r="1426">
          <cell r="A1426">
            <v>1508</v>
          </cell>
        </row>
        <row r="1427">
          <cell r="A1427">
            <v>1509</v>
          </cell>
        </row>
        <row r="1428">
          <cell r="A1428">
            <v>1510</v>
          </cell>
        </row>
        <row r="1429">
          <cell r="A1429">
            <v>1511</v>
          </cell>
        </row>
        <row r="1430">
          <cell r="A1430">
            <v>1512</v>
          </cell>
        </row>
        <row r="1431">
          <cell r="A1431">
            <v>1513</v>
          </cell>
        </row>
        <row r="1432">
          <cell r="A1432">
            <v>1514</v>
          </cell>
        </row>
        <row r="1433">
          <cell r="A1433">
            <v>1515</v>
          </cell>
        </row>
        <row r="1434">
          <cell r="A1434">
            <v>1516</v>
          </cell>
        </row>
        <row r="1435">
          <cell r="A1435">
            <v>1517</v>
          </cell>
        </row>
        <row r="1436">
          <cell r="A1436">
            <v>1518</v>
          </cell>
        </row>
        <row r="1437">
          <cell r="A1437">
            <v>1519</v>
          </cell>
        </row>
        <row r="1438">
          <cell r="A1438">
            <v>1520</v>
          </cell>
        </row>
        <row r="1439">
          <cell r="A1439">
            <v>1521</v>
          </cell>
        </row>
        <row r="1440">
          <cell r="A1440">
            <v>1522</v>
          </cell>
        </row>
        <row r="1441">
          <cell r="A1441">
            <v>1523</v>
          </cell>
        </row>
        <row r="1442">
          <cell r="A1442">
            <v>1524</v>
          </cell>
        </row>
        <row r="1443">
          <cell r="A1443">
            <v>1525</v>
          </cell>
        </row>
        <row r="1444">
          <cell r="A1444">
            <v>1526</v>
          </cell>
        </row>
        <row r="1445">
          <cell r="A1445">
            <v>1527</v>
          </cell>
        </row>
        <row r="1446">
          <cell r="A1446">
            <v>1528</v>
          </cell>
        </row>
        <row r="1447">
          <cell r="A1447">
            <v>1529</v>
          </cell>
        </row>
        <row r="1448">
          <cell r="A1448">
            <v>1530</v>
          </cell>
        </row>
        <row r="1449">
          <cell r="A1449">
            <v>1531</v>
          </cell>
        </row>
        <row r="1450">
          <cell r="A1450">
            <v>1532</v>
          </cell>
        </row>
        <row r="1451">
          <cell r="A1451">
            <v>1533</v>
          </cell>
        </row>
        <row r="1452">
          <cell r="A1452">
            <v>1534</v>
          </cell>
        </row>
        <row r="1453">
          <cell r="A1453">
            <v>1535</v>
          </cell>
        </row>
        <row r="1454">
          <cell r="A1454">
            <v>1536</v>
          </cell>
        </row>
        <row r="1455">
          <cell r="A1455">
            <v>1537</v>
          </cell>
        </row>
        <row r="1456">
          <cell r="A1456">
            <v>1538</v>
          </cell>
        </row>
        <row r="1457">
          <cell r="A1457">
            <v>1539</v>
          </cell>
        </row>
        <row r="1458">
          <cell r="A1458">
            <v>1540</v>
          </cell>
        </row>
        <row r="1459">
          <cell r="A1459">
            <v>1541</v>
          </cell>
        </row>
        <row r="1460">
          <cell r="A1460">
            <v>1542</v>
          </cell>
        </row>
        <row r="1461">
          <cell r="A1461">
            <v>1543</v>
          </cell>
        </row>
        <row r="1462">
          <cell r="A1462">
            <v>1544</v>
          </cell>
        </row>
        <row r="1463">
          <cell r="A1463">
            <v>1545</v>
          </cell>
        </row>
        <row r="1464">
          <cell r="A1464">
            <v>1546</v>
          </cell>
        </row>
        <row r="1465">
          <cell r="A1465">
            <v>1547</v>
          </cell>
        </row>
        <row r="1466">
          <cell r="A1466">
            <v>1548</v>
          </cell>
        </row>
        <row r="1467">
          <cell r="A1467">
            <v>1549</v>
          </cell>
        </row>
        <row r="1468">
          <cell r="A1468">
            <v>1550</v>
          </cell>
        </row>
        <row r="1469">
          <cell r="A1469">
            <v>5001</v>
          </cell>
        </row>
        <row r="1470">
          <cell r="A1470">
            <v>5002</v>
          </cell>
        </row>
        <row r="1471">
          <cell r="A1471">
            <v>5003</v>
          </cell>
        </row>
        <row r="1472">
          <cell r="A1472">
            <v>5004</v>
          </cell>
        </row>
        <row r="1473">
          <cell r="A1473">
            <v>5005</v>
          </cell>
        </row>
        <row r="1474">
          <cell r="A1474">
            <v>5006</v>
          </cell>
        </row>
        <row r="1475">
          <cell r="A1475">
            <v>5007</v>
          </cell>
        </row>
        <row r="1476">
          <cell r="A1476">
            <v>5008</v>
          </cell>
        </row>
        <row r="1477">
          <cell r="A1477">
            <v>6001</v>
          </cell>
        </row>
        <row r="1478">
          <cell r="A1478">
            <v>6002</v>
          </cell>
        </row>
        <row r="1479">
          <cell r="A1479">
            <v>6003</v>
          </cell>
        </row>
        <row r="1480">
          <cell r="A1480">
            <v>6004</v>
          </cell>
        </row>
        <row r="1481">
          <cell r="A1481">
            <v>6005</v>
          </cell>
        </row>
        <row r="1482">
          <cell r="A1482">
            <v>6006</v>
          </cell>
        </row>
        <row r="1483">
          <cell r="A1483">
            <v>6007</v>
          </cell>
        </row>
        <row r="1484">
          <cell r="A1484">
            <v>6008</v>
          </cell>
        </row>
        <row r="1485">
          <cell r="A1485">
            <v>6009</v>
          </cell>
        </row>
        <row r="1486">
          <cell r="A1486">
            <v>6010</v>
          </cell>
        </row>
        <row r="1487">
          <cell r="A1487">
            <v>6011</v>
          </cell>
        </row>
        <row r="1488">
          <cell r="A1488">
            <v>6012</v>
          </cell>
        </row>
        <row r="1489">
          <cell r="A1489">
            <v>6013</v>
          </cell>
        </row>
        <row r="1490">
          <cell r="A1490">
            <v>6014</v>
          </cell>
        </row>
        <row r="1491">
          <cell r="A1491">
            <v>6015</v>
          </cell>
        </row>
        <row r="1492">
          <cell r="A1492">
            <v>6016</v>
          </cell>
        </row>
        <row r="1493">
          <cell r="A1493">
            <v>6017</v>
          </cell>
        </row>
        <row r="1494">
          <cell r="A1494">
            <v>6018</v>
          </cell>
        </row>
        <row r="1495">
          <cell r="A1495">
            <v>6019</v>
          </cell>
        </row>
        <row r="1496">
          <cell r="A1496">
            <v>6020</v>
          </cell>
        </row>
        <row r="1497">
          <cell r="A1497">
            <v>8001</v>
          </cell>
        </row>
        <row r="1498">
          <cell r="A1498">
            <v>8002</v>
          </cell>
        </row>
        <row r="1499">
          <cell r="A1499">
            <v>8003</v>
          </cell>
        </row>
        <row r="1500">
          <cell r="A1500">
            <v>8004</v>
          </cell>
        </row>
        <row r="1501">
          <cell r="A1501">
            <v>8005</v>
          </cell>
        </row>
        <row r="1502">
          <cell r="A1502">
            <v>8006</v>
          </cell>
        </row>
        <row r="1503">
          <cell r="A1503">
            <v>8007</v>
          </cell>
        </row>
        <row r="1504">
          <cell r="A1504">
            <v>8008</v>
          </cell>
        </row>
        <row r="1505">
          <cell r="A1505">
            <v>8009</v>
          </cell>
        </row>
        <row r="1506">
          <cell r="A1506">
            <v>8010</v>
          </cell>
        </row>
        <row r="1507">
          <cell r="A1507">
            <v>8011</v>
          </cell>
        </row>
        <row r="1508">
          <cell r="A1508">
            <v>8012</v>
          </cell>
        </row>
        <row r="1509">
          <cell r="A1509">
            <v>8013</v>
          </cell>
        </row>
        <row r="1510">
          <cell r="A1510">
            <v>8014</v>
          </cell>
        </row>
        <row r="1511">
          <cell r="A1511">
            <v>8015</v>
          </cell>
        </row>
        <row r="1512">
          <cell r="A1512">
            <v>8016</v>
          </cell>
        </row>
        <row r="1513">
          <cell r="A1513">
            <v>8017</v>
          </cell>
        </row>
        <row r="1514">
          <cell r="A1514">
            <v>8018</v>
          </cell>
        </row>
        <row r="1515">
          <cell r="A1515">
            <v>8019</v>
          </cell>
        </row>
        <row r="1516">
          <cell r="A1516">
            <v>8020</v>
          </cell>
        </row>
        <row r="1517">
          <cell r="A1517">
            <v>8021</v>
          </cell>
        </row>
        <row r="1518">
          <cell r="A1518">
            <v>8022</v>
          </cell>
        </row>
        <row r="1519">
          <cell r="A1519">
            <v>8023</v>
          </cell>
        </row>
        <row r="1520">
          <cell r="A1520">
            <v>8024</v>
          </cell>
        </row>
        <row r="1521">
          <cell r="A1521">
            <v>8025</v>
          </cell>
        </row>
        <row r="1522">
          <cell r="A1522">
            <v>8026</v>
          </cell>
        </row>
        <row r="1523">
          <cell r="A1523">
            <v>8027</v>
          </cell>
        </row>
        <row r="1524">
          <cell r="A1524">
            <v>8028</v>
          </cell>
        </row>
        <row r="1525">
          <cell r="A1525">
            <v>8029</v>
          </cell>
        </row>
        <row r="1526">
          <cell r="A1526">
            <v>8030</v>
          </cell>
        </row>
        <row r="1527">
          <cell r="A1527">
            <v>8031</v>
          </cell>
        </row>
        <row r="1528">
          <cell r="A1528">
            <v>8032</v>
          </cell>
        </row>
        <row r="1529">
          <cell r="A1529">
            <v>8033</v>
          </cell>
        </row>
        <row r="1530">
          <cell r="A1530">
            <v>8034</v>
          </cell>
        </row>
        <row r="1531">
          <cell r="A1531">
            <v>8035</v>
          </cell>
        </row>
        <row r="1532">
          <cell r="A1532">
            <v>8036</v>
          </cell>
        </row>
        <row r="1533">
          <cell r="A1533">
            <v>8037</v>
          </cell>
        </row>
        <row r="1534">
          <cell r="A1534">
            <v>8038</v>
          </cell>
        </row>
        <row r="1535">
          <cell r="A1535">
            <v>8039</v>
          </cell>
        </row>
        <row r="1536">
          <cell r="A1536">
            <v>8040</v>
          </cell>
        </row>
        <row r="1537">
          <cell r="A1537">
            <v>8041</v>
          </cell>
        </row>
        <row r="1538">
          <cell r="A1538">
            <v>8042</v>
          </cell>
        </row>
        <row r="1539">
          <cell r="A1539">
            <v>8043</v>
          </cell>
        </row>
        <row r="1540">
          <cell r="A1540">
            <v>8044</v>
          </cell>
        </row>
        <row r="1541">
          <cell r="A1541">
            <v>8045</v>
          </cell>
        </row>
        <row r="1542">
          <cell r="A1542">
            <v>8046</v>
          </cell>
        </row>
        <row r="1543">
          <cell r="A1543">
            <v>8047</v>
          </cell>
        </row>
        <row r="1544">
          <cell r="A1544">
            <v>8048</v>
          </cell>
        </row>
        <row r="1545">
          <cell r="A1545">
            <v>8049</v>
          </cell>
        </row>
        <row r="1546">
          <cell r="A1546">
            <v>8050</v>
          </cell>
        </row>
        <row r="1547">
          <cell r="A1547">
            <v>8051</v>
          </cell>
        </row>
        <row r="1548">
          <cell r="A1548">
            <v>8052</v>
          </cell>
        </row>
        <row r="1549">
          <cell r="A1549">
            <v>8053</v>
          </cell>
        </row>
        <row r="1550">
          <cell r="A1550">
            <v>8054</v>
          </cell>
        </row>
        <row r="1551">
          <cell r="A1551">
            <v>8055</v>
          </cell>
        </row>
        <row r="1552">
          <cell r="A1552">
            <v>8056</v>
          </cell>
        </row>
        <row r="1553">
          <cell r="A1553">
            <v>8057</v>
          </cell>
        </row>
        <row r="1554">
          <cell r="A1554">
            <v>8058</v>
          </cell>
        </row>
        <row r="1555">
          <cell r="A1555">
            <v>8059</v>
          </cell>
        </row>
        <row r="1556">
          <cell r="A1556">
            <v>8060</v>
          </cell>
        </row>
        <row r="1557">
          <cell r="A1557">
            <v>8061</v>
          </cell>
        </row>
        <row r="1558">
          <cell r="A1558">
            <v>8062</v>
          </cell>
        </row>
        <row r="1559">
          <cell r="A1559">
            <v>8063</v>
          </cell>
        </row>
        <row r="1560">
          <cell r="A1560">
            <v>8064</v>
          </cell>
        </row>
        <row r="1561">
          <cell r="A1561">
            <v>8065</v>
          </cell>
        </row>
        <row r="1562">
          <cell r="A1562">
            <v>8066</v>
          </cell>
        </row>
        <row r="1563">
          <cell r="A1563">
            <v>8067</v>
          </cell>
        </row>
        <row r="1564">
          <cell r="A1564">
            <v>8068</v>
          </cell>
        </row>
        <row r="1565">
          <cell r="A1565">
            <v>8069</v>
          </cell>
        </row>
        <row r="1566">
          <cell r="A1566">
            <v>8070</v>
          </cell>
        </row>
        <row r="1567">
          <cell r="A1567">
            <v>8071</v>
          </cell>
        </row>
        <row r="1568">
          <cell r="A1568">
            <v>8072</v>
          </cell>
        </row>
        <row r="1569">
          <cell r="A1569">
            <v>8073</v>
          </cell>
        </row>
        <row r="1570">
          <cell r="A1570">
            <v>8074</v>
          </cell>
        </row>
        <row r="1571">
          <cell r="A1571">
            <v>8075</v>
          </cell>
        </row>
        <row r="1572">
          <cell r="A1572">
            <v>8076</v>
          </cell>
        </row>
        <row r="1573">
          <cell r="A1573">
            <v>8077</v>
          </cell>
        </row>
        <row r="1574">
          <cell r="A1574">
            <v>8078</v>
          </cell>
        </row>
        <row r="1575">
          <cell r="A1575">
            <v>8079</v>
          </cell>
        </row>
        <row r="1576">
          <cell r="A1576">
            <v>8080</v>
          </cell>
        </row>
        <row r="1577">
          <cell r="A1577">
            <v>8081</v>
          </cell>
        </row>
        <row r="1578">
          <cell r="A1578">
            <v>8082</v>
          </cell>
        </row>
        <row r="1579">
          <cell r="A1579">
            <v>8083</v>
          </cell>
        </row>
        <row r="1580">
          <cell r="A1580">
            <v>8084</v>
          </cell>
        </row>
        <row r="1581">
          <cell r="A1581">
            <v>8087</v>
          </cell>
        </row>
        <row r="1582">
          <cell r="A1582">
            <v>8088</v>
          </cell>
        </row>
        <row r="1583">
          <cell r="A1583">
            <v>8089</v>
          </cell>
        </row>
        <row r="1584">
          <cell r="A1584">
            <v>8090</v>
          </cell>
        </row>
        <row r="1585">
          <cell r="A1585">
            <v>8095</v>
          </cell>
        </row>
        <row r="1586">
          <cell r="A1586">
            <v>8096</v>
          </cell>
        </row>
        <row r="1587">
          <cell r="A1587">
            <v>8097</v>
          </cell>
        </row>
        <row r="1588">
          <cell r="A1588">
            <v>8098</v>
          </cell>
        </row>
        <row r="1589">
          <cell r="A1589">
            <v>8099</v>
          </cell>
        </row>
        <row r="1590">
          <cell r="A1590">
            <v>9001</v>
          </cell>
        </row>
        <row r="1591">
          <cell r="A1591">
            <v>9002</v>
          </cell>
        </row>
        <row r="1592">
          <cell r="A1592">
            <v>9003</v>
          </cell>
        </row>
        <row r="1593">
          <cell r="A1593">
            <v>9004</v>
          </cell>
        </row>
        <row r="1594">
          <cell r="A1594">
            <v>10001</v>
          </cell>
        </row>
        <row r="1595">
          <cell r="A1595">
            <v>10002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ソロ専用の「チャレンジタワー」では_x000D_各フロアごとにクリア報酬がもらえます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チャレンジタワーでのみ登場するボスは_x000D_一定確率で獲得することができます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ALICEが「アナタ」を呼んでいます</v>
          </cell>
        </row>
        <row r="41">
          <cell r="A41">
            <v>65535</v>
          </cell>
          <cell r="B41" t="str">
            <v>ja</v>
          </cell>
          <cell r="C41" t="str">
            <v>文字数テスト</v>
          </cell>
          <cell r="D41" t="str">
            <v>チャレンジタワー15F、20F、25Fのボスは_x000D_一定確率でドロップするようです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workbookViewId="0">
      <selection activeCell="F20" sqref="F20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39" t="s">
        <v>131</v>
      </c>
      <c r="B1" s="34" t="s">
        <v>101</v>
      </c>
      <c r="C1" s="34" t="s">
        <v>102</v>
      </c>
      <c r="D1" s="34" t="s">
        <v>103</v>
      </c>
      <c r="E1" s="34" t="s">
        <v>104</v>
      </c>
      <c r="F1" s="34" t="s">
        <v>105</v>
      </c>
      <c r="G1" s="34" t="s">
        <v>106</v>
      </c>
      <c r="H1" s="34"/>
      <c r="I1" s="34"/>
      <c r="J1" s="34"/>
      <c r="K1" s="34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</row>
    <row r="2" spans="1:30" x14ac:dyDescent="0.15">
      <c r="A2" s="40" t="s">
        <v>201</v>
      </c>
      <c r="B2" s="36" t="s">
        <v>107</v>
      </c>
      <c r="C2" s="41">
        <v>30021</v>
      </c>
      <c r="D2" s="36" t="s">
        <v>108</v>
      </c>
      <c r="E2" s="35" t="str">
        <f>B2&amp;C2&amp;D2</f>
        <v>floors_30021.tmp</v>
      </c>
      <c r="F2" s="36" t="s">
        <v>109</v>
      </c>
      <c r="G2" s="37" t="s">
        <v>0</v>
      </c>
      <c r="H2" s="37" t="s">
        <v>1</v>
      </c>
      <c r="I2" s="37" t="s">
        <v>13</v>
      </c>
      <c r="J2" s="37" t="s">
        <v>14</v>
      </c>
      <c r="K2" s="37" t="s">
        <v>15</v>
      </c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</row>
    <row r="3" spans="1:30" x14ac:dyDescent="0.15">
      <c r="A3" s="40" t="s">
        <v>201</v>
      </c>
      <c r="B3" s="36" t="s">
        <v>110</v>
      </c>
      <c r="C3" s="41">
        <v>30021</v>
      </c>
      <c r="D3" s="36" t="s">
        <v>108</v>
      </c>
      <c r="E3" s="35" t="str">
        <f>B3&amp;C3&amp;D3</f>
        <v>enemy_habitats_30021.tmp</v>
      </c>
      <c r="F3" s="36" t="s">
        <v>111</v>
      </c>
      <c r="G3" s="37" t="s">
        <v>0</v>
      </c>
      <c r="H3" s="37" t="s">
        <v>1</v>
      </c>
      <c r="I3" s="37" t="s">
        <v>13</v>
      </c>
      <c r="J3" s="37" t="s">
        <v>2</v>
      </c>
      <c r="K3" s="37" t="s">
        <v>3</v>
      </c>
      <c r="L3" s="37" t="s">
        <v>47</v>
      </c>
      <c r="M3" s="37" t="s">
        <v>49</v>
      </c>
      <c r="N3" s="37" t="s">
        <v>51</v>
      </c>
      <c r="O3" s="37" t="s">
        <v>22</v>
      </c>
      <c r="P3" s="37" t="s">
        <v>5</v>
      </c>
      <c r="Q3" s="37" t="s">
        <v>6</v>
      </c>
      <c r="R3" s="37" t="s">
        <v>7</v>
      </c>
      <c r="S3" s="37" t="s">
        <v>8</v>
      </c>
      <c r="T3" s="37" t="s">
        <v>9</v>
      </c>
      <c r="U3" s="37" t="s">
        <v>10</v>
      </c>
      <c r="V3" s="37" t="s">
        <v>11</v>
      </c>
      <c r="W3" s="37" t="s">
        <v>12</v>
      </c>
      <c r="X3" s="37" t="s">
        <v>37</v>
      </c>
      <c r="Y3" s="37" t="s">
        <v>39</v>
      </c>
      <c r="Z3" s="37" t="s">
        <v>41</v>
      </c>
      <c r="AA3" s="37" t="s">
        <v>43</v>
      </c>
      <c r="AB3" s="37" t="s">
        <v>45</v>
      </c>
      <c r="AC3" s="37" t="s">
        <v>54</v>
      </c>
      <c r="AD3" s="37" t="s">
        <v>179</v>
      </c>
    </row>
    <row r="4" spans="1:30" x14ac:dyDescent="0.15">
      <c r="A4" s="40" t="s">
        <v>201</v>
      </c>
      <c r="B4" s="36" t="s">
        <v>112</v>
      </c>
      <c r="C4" s="41">
        <v>30021</v>
      </c>
      <c r="D4" s="36" t="s">
        <v>108</v>
      </c>
      <c r="E4" s="35" t="str">
        <f>B4&amp;C4&amp;D4</f>
        <v>enemy_habitat_S_30021.tmp</v>
      </c>
      <c r="F4" s="36" t="s">
        <v>113</v>
      </c>
      <c r="G4" s="37" t="s">
        <v>0</v>
      </c>
      <c r="H4" s="37" t="s">
        <v>1</v>
      </c>
      <c r="I4" s="37" t="s">
        <v>13</v>
      </c>
      <c r="J4" s="37" t="s">
        <v>54</v>
      </c>
      <c r="K4" s="37" t="s">
        <v>55</v>
      </c>
      <c r="L4" s="37" t="s">
        <v>56</v>
      </c>
      <c r="M4" s="37" t="s">
        <v>57</v>
      </c>
      <c r="N4" s="37" t="s">
        <v>58</v>
      </c>
      <c r="O4" s="37" t="s">
        <v>59</v>
      </c>
      <c r="P4" s="37" t="s">
        <v>48</v>
      </c>
      <c r="Q4" s="37" t="s">
        <v>50</v>
      </c>
      <c r="R4" s="37" t="s">
        <v>52</v>
      </c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</row>
    <row r="5" spans="1:30" x14ac:dyDescent="0.15">
      <c r="A5" s="40" t="s">
        <v>201</v>
      </c>
      <c r="B5" s="36" t="s">
        <v>114</v>
      </c>
      <c r="C5" s="41">
        <v>30021</v>
      </c>
      <c r="D5" s="36" t="s">
        <v>108</v>
      </c>
      <c r="E5" s="35" t="str">
        <f>B5&amp;C5&amp;D5</f>
        <v>enemy_skill_sets_30021.tmp</v>
      </c>
      <c r="F5" s="36" t="s">
        <v>115</v>
      </c>
      <c r="G5" s="38" t="s">
        <v>22</v>
      </c>
      <c r="H5" s="38" t="s">
        <v>100</v>
      </c>
      <c r="I5" s="38" t="s">
        <v>95</v>
      </c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</row>
    <row r="6" spans="1:30" x14ac:dyDescent="0.15">
      <c r="A6" s="40" t="s">
        <v>201</v>
      </c>
      <c r="B6" s="36" t="s">
        <v>116</v>
      </c>
      <c r="C6" s="41">
        <v>30021</v>
      </c>
      <c r="D6" s="36" t="s">
        <v>117</v>
      </c>
      <c r="E6" s="35" t="str">
        <f t="shared" ref="E6:E12" si="0">B6&amp;C6&amp;D6</f>
        <v>enemy_skills_tmp_30021.tmp</v>
      </c>
      <c r="F6" s="36" t="s">
        <v>91</v>
      </c>
      <c r="G6" s="37" t="s">
        <v>79</v>
      </c>
      <c r="H6" s="37" t="s">
        <v>80</v>
      </c>
      <c r="I6" s="37" t="s">
        <v>81</v>
      </c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</row>
    <row r="7" spans="1:30" x14ac:dyDescent="0.15">
      <c r="A7" s="40" t="s">
        <v>201</v>
      </c>
      <c r="B7" s="36" t="s">
        <v>118</v>
      </c>
      <c r="C7" s="41">
        <v>30021</v>
      </c>
      <c r="D7" s="36" t="s">
        <v>108</v>
      </c>
      <c r="E7" s="35" t="str">
        <f>B7&amp;C7&amp;D7</f>
        <v>enemy_skills_i18n_30021.tmp</v>
      </c>
      <c r="F7" s="36" t="s">
        <v>119</v>
      </c>
      <c r="G7" s="37" t="s">
        <v>79</v>
      </c>
      <c r="H7" s="37" t="s">
        <v>92</v>
      </c>
      <c r="I7" s="37" t="s">
        <v>93</v>
      </c>
      <c r="J7" s="37" t="s">
        <v>94</v>
      </c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</row>
    <row r="8" spans="1:30" x14ac:dyDescent="0.15">
      <c r="A8" s="40" t="s">
        <v>201</v>
      </c>
      <c r="B8" s="36" t="s">
        <v>120</v>
      </c>
      <c r="C8" s="41">
        <v>30021</v>
      </c>
      <c r="D8" s="36" t="s">
        <v>121</v>
      </c>
      <c r="E8" s="35" t="str">
        <f t="shared" si="0"/>
        <v>enemy_skill_triggers_30021.tmp</v>
      </c>
      <c r="F8" s="36" t="s">
        <v>122</v>
      </c>
      <c r="G8" s="37" t="s">
        <v>95</v>
      </c>
      <c r="H8" s="37" t="s">
        <v>96</v>
      </c>
      <c r="I8" s="37" t="s">
        <v>97</v>
      </c>
      <c r="J8" s="37" t="s">
        <v>98</v>
      </c>
      <c r="K8" s="37" t="s">
        <v>123</v>
      </c>
      <c r="L8" s="37" t="s">
        <v>99</v>
      </c>
      <c r="M8" s="37" t="s">
        <v>124</v>
      </c>
      <c r="N8" s="37" t="s">
        <v>125</v>
      </c>
      <c r="O8" s="37" t="s">
        <v>126</v>
      </c>
      <c r="P8" s="37" t="s">
        <v>67</v>
      </c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</row>
    <row r="9" spans="1:30" x14ac:dyDescent="0.15">
      <c r="A9" s="40" t="s">
        <v>201</v>
      </c>
      <c r="B9" s="46" t="s">
        <v>178</v>
      </c>
      <c r="C9" s="41">
        <v>30021</v>
      </c>
      <c r="D9" s="46" t="s">
        <v>172</v>
      </c>
      <c r="E9" s="47" t="str">
        <f t="shared" si="0"/>
        <v>stage_bug_bonuses_30021.tmp</v>
      </c>
      <c r="F9" s="46" t="s">
        <v>173</v>
      </c>
      <c r="G9" s="43" t="s">
        <v>151</v>
      </c>
      <c r="H9" s="43" t="s">
        <v>174</v>
      </c>
      <c r="I9" s="43" t="s">
        <v>175</v>
      </c>
      <c r="J9" s="45" t="s">
        <v>176</v>
      </c>
      <c r="K9" s="43" t="s">
        <v>177</v>
      </c>
      <c r="L9" s="43" t="s">
        <v>157</v>
      </c>
      <c r="M9" s="43" t="s">
        <v>158</v>
      </c>
      <c r="N9" s="43" t="s">
        <v>159</v>
      </c>
      <c r="O9" s="43" t="s">
        <v>160</v>
      </c>
      <c r="P9" s="43" t="s">
        <v>161</v>
      </c>
      <c r="Q9" s="43" t="s">
        <v>162</v>
      </c>
      <c r="R9" s="43" t="s">
        <v>163</v>
      </c>
      <c r="S9" s="43" t="s">
        <v>164</v>
      </c>
      <c r="T9" s="43" t="s">
        <v>165</v>
      </c>
      <c r="U9" s="43" t="s">
        <v>166</v>
      </c>
      <c r="V9" s="43" t="s">
        <v>167</v>
      </c>
      <c r="W9" s="43" t="s">
        <v>168</v>
      </c>
    </row>
    <row r="10" spans="1:30" s="51" customFormat="1" x14ac:dyDescent="0.15">
      <c r="A10" s="40" t="s">
        <v>384</v>
      </c>
      <c r="B10" s="46" t="s">
        <v>385</v>
      </c>
      <c r="C10" s="41">
        <f>C8</f>
        <v>30021</v>
      </c>
      <c r="D10" s="46" t="s">
        <v>386</v>
      </c>
      <c r="E10" s="47" t="str">
        <f t="shared" si="0"/>
        <v>stage_hints_data_c_30021.tmp</v>
      </c>
      <c r="F10" s="46" t="s">
        <v>387</v>
      </c>
      <c r="G10" s="48" t="s">
        <v>388</v>
      </c>
      <c r="H10" s="48" t="s">
        <v>152</v>
      </c>
      <c r="I10" s="49" t="s">
        <v>389</v>
      </c>
      <c r="J10" s="45" t="s">
        <v>19</v>
      </c>
      <c r="K10" s="50" t="s">
        <v>182</v>
      </c>
    </row>
    <row r="11" spans="1:30" s="51" customFormat="1" x14ac:dyDescent="0.15">
      <c r="A11" s="40" t="s">
        <v>390</v>
      </c>
      <c r="B11" s="46" t="s">
        <v>391</v>
      </c>
      <c r="C11" s="41">
        <f>C9</f>
        <v>30021</v>
      </c>
      <c r="D11" s="46" t="s">
        <v>392</v>
      </c>
      <c r="E11" s="47" t="str">
        <f t="shared" si="0"/>
        <v>stage_hints_data_f_30021.tmp</v>
      </c>
      <c r="F11" s="46" t="s">
        <v>393</v>
      </c>
      <c r="G11" s="48" t="s">
        <v>388</v>
      </c>
      <c r="H11" s="48" t="s">
        <v>152</v>
      </c>
      <c r="I11" s="49" t="s">
        <v>389</v>
      </c>
      <c r="J11" s="45" t="s">
        <v>19</v>
      </c>
      <c r="K11" s="50" t="s">
        <v>182</v>
      </c>
    </row>
    <row r="12" spans="1:30" s="51" customFormat="1" x14ac:dyDescent="0.15">
      <c r="A12" s="40" t="s">
        <v>390</v>
      </c>
      <c r="B12" s="46" t="s">
        <v>394</v>
      </c>
      <c r="C12" s="41">
        <f t="shared" ref="C12" si="1">C11</f>
        <v>30021</v>
      </c>
      <c r="D12" s="46" t="s">
        <v>395</v>
      </c>
      <c r="E12" s="47" t="str">
        <f t="shared" si="0"/>
        <v>stage_hints_i18n_f_30021.tmp</v>
      </c>
      <c r="F12" s="46" t="s">
        <v>396</v>
      </c>
      <c r="G12" s="49" t="s">
        <v>389</v>
      </c>
      <c r="H12" s="52" t="s">
        <v>127</v>
      </c>
      <c r="I12" s="48" t="s">
        <v>397</v>
      </c>
      <c r="J12" s="53" t="s">
        <v>184</v>
      </c>
      <c r="K12" s="50" t="s">
        <v>185</v>
      </c>
    </row>
  </sheetData>
  <phoneticPr fontId="5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3"/>
  <sheetViews>
    <sheetView showGridLines="0" workbookViewId="0">
      <pane ySplit="1" topLeftCell="A2" activePane="bottomLeft" state="frozen"/>
      <selection activeCell="V2" sqref="V2:X34"/>
      <selection pane="bottomLeft" activeCell="M13" sqref="M13"/>
    </sheetView>
  </sheetViews>
  <sheetFormatPr baseColWidth="12" defaultColWidth="13" defaultRowHeight="21" customHeight="1" outlineLevelCol="1" x14ac:dyDescent="0.15"/>
  <cols>
    <col min="1" max="1" width="8.83203125" style="12" bestFit="1" customWidth="1"/>
    <col min="2" max="2" width="5" style="12" bestFit="1" customWidth="1"/>
    <col min="3" max="3" width="7.1640625" style="1" bestFit="1" customWidth="1"/>
    <col min="4" max="5" width="10.33203125" style="1" customWidth="1" outlineLevel="1"/>
    <col min="6" max="6" width="7" style="1" bestFit="1" customWidth="1"/>
    <col min="7" max="7" width="8.83203125" style="12" customWidth="1" outlineLevel="1"/>
    <col min="8" max="8" width="18.83203125" style="1" customWidth="1" outlineLevel="1"/>
    <col min="9" max="9" width="6.5" style="1" bestFit="1" customWidth="1"/>
    <col min="10" max="11" width="6.1640625" style="1" customWidth="1"/>
    <col min="12" max="16384" width="13" style="1"/>
  </cols>
  <sheetData>
    <row r="1" spans="1:11" ht="21" customHeight="1" thickBot="1" x14ac:dyDescent="0.2">
      <c r="A1" s="9" t="s">
        <v>30</v>
      </c>
      <c r="B1" s="9" t="s">
        <v>36</v>
      </c>
      <c r="C1" s="73" t="s">
        <v>0</v>
      </c>
      <c r="D1" s="74" t="s">
        <v>18</v>
      </c>
      <c r="E1" s="74" t="s">
        <v>33</v>
      </c>
      <c r="F1" s="73" t="s">
        <v>1</v>
      </c>
      <c r="G1" s="75" t="s">
        <v>32</v>
      </c>
      <c r="H1" s="74" t="s">
        <v>34</v>
      </c>
      <c r="I1" s="73" t="s">
        <v>13</v>
      </c>
      <c r="J1" s="73" t="s">
        <v>14</v>
      </c>
      <c r="K1" s="73" t="s">
        <v>15</v>
      </c>
    </row>
    <row r="2" spans="1:11" ht="21" customHeight="1" x14ac:dyDescent="0.15">
      <c r="A2" s="82" t="str">
        <f>G2&amp;"-"&amp;I2</f>
        <v>30021_1-1</v>
      </c>
      <c r="B2" s="83" t="str">
        <f>IF(COUNTIF(enemy_habitats!$H:$H,A2),"OK","NG")</f>
        <v>OK</v>
      </c>
      <c r="C2" s="84">
        <v>30021</v>
      </c>
      <c r="D2" s="85" t="str">
        <f ca="1">VLOOKUP($C2,OFFSET([2]quests!$A$1,0,0,COUNTA([2]quests!$A:$A),MATCH(D$1,[2]quests!$1:$1,0)-MATCH($C$1,[2]quests!$1:$1,0)+1),MATCH(D$1,[2]quests!$1:$1,0)-MATCH($C$1,[2]quests!$1:$1,0)+1,FALSE)</f>
        <v>野獣死すべしっ！</v>
      </c>
      <c r="E2" s="85" t="str">
        <f ca="1">VLOOKUP($C2,OFFSET([2]quests!$A$1,0,0,COUNTA([2]quests!$A:$A),MATCH(E$1,[2]quests!$1:$1,0)-MATCH($C$1,[2]quests!$1:$1,0)+1),MATCH(E$1,[2]quests!$1:$1,0)-MATCH($C$1,[2]quests!$1:$1,0)+1,FALSE)</f>
        <v>ドロップイベント6（マルチ専用）</v>
      </c>
      <c r="F2" s="86">
        <v>1</v>
      </c>
      <c r="G2" s="87" t="str">
        <f>C2&amp;"_"&amp;F2</f>
        <v>30021_1</v>
      </c>
      <c r="H2" s="88" t="str">
        <f ca="1">VLOOKUP($G2,OFFSET([2]stages!$A$1,0,0,COUNTA([2]stages!$A:$A),MATCH(H$1,[2]stages!$2:$2,0)-MATCH($G$1,[2]stages!$2:$2,0)+1),MATCH(H$1,[2]stages!$2:$2,0)-MATCH($G$1,[2]stages!$2:$2,0)+1,FALSE)</f>
        <v>【中級】野獣死すべしっ！</v>
      </c>
      <c r="I2" s="86">
        <v>1</v>
      </c>
      <c r="J2" s="89">
        <v>30</v>
      </c>
      <c r="K2" s="90">
        <v>30</v>
      </c>
    </row>
    <row r="3" spans="1:11" ht="21" customHeight="1" x14ac:dyDescent="0.15">
      <c r="A3" s="91" t="str">
        <f>G3&amp;"-"&amp;I3</f>
        <v>30021_1-2</v>
      </c>
      <c r="B3" s="92" t="str">
        <f>IF(COUNTIF(enemy_habitats!$H:$H,A3),"OK","NG")</f>
        <v>OK</v>
      </c>
      <c r="C3" s="93">
        <v>30021</v>
      </c>
      <c r="D3" s="11" t="str">
        <f ca="1">VLOOKUP($C3,OFFSET([2]quests!$A$1,0,0,COUNTA([2]quests!$A:$A),MATCH(D$1,[2]quests!$1:$1,0)-MATCH($C$1,[2]quests!$1:$1,0)+1),MATCH(D$1,[2]quests!$1:$1,0)-MATCH($C$1,[2]quests!$1:$1,0)+1,FALSE)</f>
        <v>野獣死すべしっ！</v>
      </c>
      <c r="E3" s="11" t="str">
        <f ca="1">VLOOKUP($C3,OFFSET([2]quests!$A$1,0,0,COUNTA([2]quests!$A:$A),MATCH(E$1,[2]quests!$1:$1,0)-MATCH($C$1,[2]quests!$1:$1,0)+1),MATCH(E$1,[2]quests!$1:$1,0)-MATCH($C$1,[2]quests!$1:$1,0)+1,FALSE)</f>
        <v>ドロップイベント6（マルチ専用）</v>
      </c>
      <c r="F3" s="94">
        <v>1</v>
      </c>
      <c r="G3" s="14" t="str">
        <f>C3&amp;"_"&amp;F3</f>
        <v>30021_1</v>
      </c>
      <c r="H3" s="8" t="str">
        <f ca="1">VLOOKUP($G3,OFFSET([2]stages!$A$1,0,0,COUNTA([2]stages!$A:$A),MATCH(H$1,[2]stages!$2:$2,0)-MATCH($G$1,[2]stages!$2:$2,0)+1),MATCH(H$1,[2]stages!$2:$2,0)-MATCH($G$1,[2]stages!$2:$2,0)+1,FALSE)</f>
        <v>【中級】野獣死すべしっ！</v>
      </c>
      <c r="I3" s="94">
        <v>2</v>
      </c>
      <c r="J3" s="19">
        <v>30</v>
      </c>
      <c r="K3" s="95">
        <v>30</v>
      </c>
    </row>
    <row r="4" spans="1:11" ht="21" customHeight="1" x14ac:dyDescent="0.15">
      <c r="A4" s="91" t="str">
        <f t="shared" ref="A4:A13" si="0">G4&amp;"-"&amp;I4</f>
        <v>30021_1-3</v>
      </c>
      <c r="B4" s="92" t="str">
        <f>IF(COUNTIF(enemy_habitats!$H:$H,A4),"OK","NG")</f>
        <v>OK</v>
      </c>
      <c r="C4" s="93">
        <v>30021</v>
      </c>
      <c r="D4" s="11" t="str">
        <f ca="1">VLOOKUP($C4,OFFSET([2]quests!$A$1,0,0,COUNTA([2]quests!$A:$A),MATCH(D$1,[2]quests!$1:$1,0)-MATCH($C$1,[2]quests!$1:$1,0)+1),MATCH(D$1,[2]quests!$1:$1,0)-MATCH($C$1,[2]quests!$1:$1,0)+1,FALSE)</f>
        <v>野獣死すべしっ！</v>
      </c>
      <c r="E4" s="11" t="str">
        <f ca="1">VLOOKUP($C4,OFFSET([2]quests!$A$1,0,0,COUNTA([2]quests!$A:$A),MATCH(E$1,[2]quests!$1:$1,0)-MATCH($C$1,[2]quests!$1:$1,0)+1),MATCH(E$1,[2]quests!$1:$1,0)-MATCH($C$1,[2]quests!$1:$1,0)+1,FALSE)</f>
        <v>ドロップイベント6（マルチ専用）</v>
      </c>
      <c r="F4" s="94">
        <v>1</v>
      </c>
      <c r="G4" s="14" t="str">
        <f t="shared" ref="G4:G13" si="1">C4&amp;"_"&amp;F4</f>
        <v>30021_1</v>
      </c>
      <c r="H4" s="8" t="str">
        <f ca="1">VLOOKUP($G4,OFFSET([2]stages!$A$1,0,0,COUNTA([2]stages!$A:$A),MATCH(H$1,[2]stages!$2:$2,0)-MATCH($G$1,[2]stages!$2:$2,0)+1),MATCH(H$1,[2]stages!$2:$2,0)-MATCH($G$1,[2]stages!$2:$2,0)+1,FALSE)</f>
        <v>【中級】野獣死すべしっ！</v>
      </c>
      <c r="I4" s="94">
        <v>3</v>
      </c>
      <c r="J4" s="19">
        <v>30</v>
      </c>
      <c r="K4" s="95">
        <v>30</v>
      </c>
    </row>
    <row r="5" spans="1:11" ht="21" customHeight="1" thickBot="1" x14ac:dyDescent="0.2">
      <c r="A5" s="96" t="str">
        <f t="shared" si="0"/>
        <v>30021_1-4</v>
      </c>
      <c r="B5" s="97" t="str">
        <f>IF(COUNTIF(enemy_habitats!$H:$H,A5),"OK","NG")</f>
        <v>OK</v>
      </c>
      <c r="C5" s="98">
        <v>30021</v>
      </c>
      <c r="D5" s="99" t="str">
        <f ca="1">VLOOKUP($C5,OFFSET([2]quests!$A$1,0,0,COUNTA([2]quests!$A:$A),MATCH(D$1,[2]quests!$1:$1,0)-MATCH($C$1,[2]quests!$1:$1,0)+1),MATCH(D$1,[2]quests!$1:$1,0)-MATCH($C$1,[2]quests!$1:$1,0)+1,FALSE)</f>
        <v>野獣死すべしっ！</v>
      </c>
      <c r="E5" s="99" t="str">
        <f ca="1">VLOOKUP($C5,OFFSET([2]quests!$A$1,0,0,COUNTA([2]quests!$A:$A),MATCH(E$1,[2]quests!$1:$1,0)-MATCH($C$1,[2]quests!$1:$1,0)+1),MATCH(E$1,[2]quests!$1:$1,0)-MATCH($C$1,[2]quests!$1:$1,0)+1,FALSE)</f>
        <v>ドロップイベント6（マルチ専用）</v>
      </c>
      <c r="F5" s="100">
        <v>1</v>
      </c>
      <c r="G5" s="101" t="str">
        <f t="shared" si="1"/>
        <v>30021_1</v>
      </c>
      <c r="H5" s="102" t="str">
        <f ca="1">VLOOKUP($G5,OFFSET([2]stages!$A$1,0,0,COUNTA([2]stages!$A:$A),MATCH(H$1,[2]stages!$2:$2,0)-MATCH($G$1,[2]stages!$2:$2,0)+1),MATCH(H$1,[2]stages!$2:$2,0)-MATCH($G$1,[2]stages!$2:$2,0)+1,FALSE)</f>
        <v>【中級】野獣死すべしっ！</v>
      </c>
      <c r="I5" s="100">
        <v>4</v>
      </c>
      <c r="J5" s="103">
        <v>60</v>
      </c>
      <c r="K5" s="104">
        <v>60</v>
      </c>
    </row>
    <row r="6" spans="1:11" ht="21" customHeight="1" x14ac:dyDescent="0.15">
      <c r="A6" s="91" t="str">
        <f t="shared" si="0"/>
        <v>30021_2-1</v>
      </c>
      <c r="B6" s="92" t="str">
        <f>IF(COUNTIF(enemy_habitats!$H:$H,A6),"OK","NG")</f>
        <v>OK</v>
      </c>
      <c r="C6" s="76">
        <v>30021</v>
      </c>
      <c r="D6" s="77" t="str">
        <f ca="1">VLOOKUP($C6,OFFSET([2]quests!$A$1,0,0,COUNTA([2]quests!$A:$A),MATCH(D$1,[2]quests!$1:$1,0)-MATCH($C$1,[2]quests!$1:$1,0)+1),MATCH(D$1,[2]quests!$1:$1,0)-MATCH($C$1,[2]quests!$1:$1,0)+1,FALSE)</f>
        <v>野獣死すべしっ！</v>
      </c>
      <c r="E6" s="77" t="str">
        <f ca="1">VLOOKUP($C6,OFFSET([2]quests!$A$1,0,0,COUNTA([2]quests!$A:$A),MATCH(E$1,[2]quests!$1:$1,0)-MATCH($C$1,[2]quests!$1:$1,0)+1),MATCH(E$1,[2]quests!$1:$1,0)-MATCH($C$1,[2]quests!$1:$1,0)+1,FALSE)</f>
        <v>ドロップイベント6（マルチ専用）</v>
      </c>
      <c r="F6" s="78">
        <v>2</v>
      </c>
      <c r="G6" s="79" t="str">
        <f t="shared" si="1"/>
        <v>30021_2</v>
      </c>
      <c r="H6" s="80" t="str">
        <f ca="1">VLOOKUP($G6,OFFSET([2]stages!$A$1,0,0,COUNTA([2]stages!$A:$A),MATCH(H$1,[2]stages!$2:$2,0)-MATCH($G$1,[2]stages!$2:$2,0)+1),MATCH(H$1,[2]stages!$2:$2,0)-MATCH($G$1,[2]stages!$2:$2,0)+1,FALSE)</f>
        <v>【上級】野獣死すべしっ！</v>
      </c>
      <c r="I6" s="78">
        <v>1</v>
      </c>
      <c r="J6" s="81">
        <v>45</v>
      </c>
      <c r="K6" s="109">
        <v>45</v>
      </c>
    </row>
    <row r="7" spans="1:11" ht="21" customHeight="1" x14ac:dyDescent="0.15">
      <c r="A7" s="91" t="str">
        <f t="shared" si="0"/>
        <v>30021_2-2</v>
      </c>
      <c r="B7" s="92" t="str">
        <f>IF(COUNTIF(enemy_habitats!$H:$H,A7),"OK","NG")</f>
        <v>OK</v>
      </c>
      <c r="C7" s="93">
        <v>30021</v>
      </c>
      <c r="D7" s="11" t="str">
        <f ca="1">VLOOKUP($C7,OFFSET([2]quests!$A$1,0,0,COUNTA([2]quests!$A:$A),MATCH(D$1,[2]quests!$1:$1,0)-MATCH($C$1,[2]quests!$1:$1,0)+1),MATCH(D$1,[2]quests!$1:$1,0)-MATCH($C$1,[2]quests!$1:$1,0)+1,FALSE)</f>
        <v>野獣死すべしっ！</v>
      </c>
      <c r="E7" s="11" t="str">
        <f ca="1">VLOOKUP($C7,OFFSET([2]quests!$A$1,0,0,COUNTA([2]quests!$A:$A),MATCH(E$1,[2]quests!$1:$1,0)-MATCH($C$1,[2]quests!$1:$1,0)+1),MATCH(E$1,[2]quests!$1:$1,0)-MATCH($C$1,[2]quests!$1:$1,0)+1,FALSE)</f>
        <v>ドロップイベント6（マルチ専用）</v>
      </c>
      <c r="F7" s="94">
        <v>2</v>
      </c>
      <c r="G7" s="14" t="str">
        <f t="shared" si="1"/>
        <v>30021_2</v>
      </c>
      <c r="H7" s="8" t="str">
        <f ca="1">VLOOKUP($G7,OFFSET([2]stages!$A$1,0,0,COUNTA([2]stages!$A:$A),MATCH(H$1,[2]stages!$2:$2,0)-MATCH($G$1,[2]stages!$2:$2,0)+1),MATCH(H$1,[2]stages!$2:$2,0)-MATCH($G$1,[2]stages!$2:$2,0)+1,FALSE)</f>
        <v>【上級】野獣死すべしっ！</v>
      </c>
      <c r="I7" s="94">
        <v>2</v>
      </c>
      <c r="J7" s="19">
        <v>60</v>
      </c>
      <c r="K7" s="95">
        <v>60</v>
      </c>
    </row>
    <row r="8" spans="1:11" ht="21" customHeight="1" x14ac:dyDescent="0.15">
      <c r="A8" s="91" t="str">
        <f t="shared" si="0"/>
        <v>30021_2-3</v>
      </c>
      <c r="B8" s="92" t="str">
        <f>IF(COUNTIF(enemy_habitats!$H:$H,A8),"OK","NG")</f>
        <v>OK</v>
      </c>
      <c r="C8" s="93">
        <v>30021</v>
      </c>
      <c r="D8" s="11" t="str">
        <f ca="1">VLOOKUP($C8,OFFSET([2]quests!$A$1,0,0,COUNTA([2]quests!$A:$A),MATCH(D$1,[2]quests!$1:$1,0)-MATCH($C$1,[2]quests!$1:$1,0)+1),MATCH(D$1,[2]quests!$1:$1,0)-MATCH($C$1,[2]quests!$1:$1,0)+1,FALSE)</f>
        <v>野獣死すべしっ！</v>
      </c>
      <c r="E8" s="11" t="str">
        <f ca="1">VLOOKUP($C8,OFFSET([2]quests!$A$1,0,0,COUNTA([2]quests!$A:$A),MATCH(E$1,[2]quests!$1:$1,0)-MATCH($C$1,[2]quests!$1:$1,0)+1),MATCH(E$1,[2]quests!$1:$1,0)-MATCH($C$1,[2]quests!$1:$1,0)+1,FALSE)</f>
        <v>ドロップイベント6（マルチ専用）</v>
      </c>
      <c r="F8" s="94">
        <v>2</v>
      </c>
      <c r="G8" s="14" t="str">
        <f t="shared" si="1"/>
        <v>30021_2</v>
      </c>
      <c r="H8" s="8" t="str">
        <f ca="1">VLOOKUP($G8,OFFSET([2]stages!$A$1,0,0,COUNTA([2]stages!$A:$A),MATCH(H$1,[2]stages!$2:$2,0)-MATCH($G$1,[2]stages!$2:$2,0)+1),MATCH(H$1,[2]stages!$2:$2,0)-MATCH($G$1,[2]stages!$2:$2,0)+1,FALSE)</f>
        <v>【上級】野獣死すべしっ！</v>
      </c>
      <c r="I8" s="94">
        <v>3</v>
      </c>
      <c r="J8" s="19">
        <v>30</v>
      </c>
      <c r="K8" s="95">
        <v>30</v>
      </c>
    </row>
    <row r="9" spans="1:11" ht="21" customHeight="1" thickBot="1" x14ac:dyDescent="0.2">
      <c r="A9" s="91" t="str">
        <f t="shared" si="0"/>
        <v>30021_2-4</v>
      </c>
      <c r="B9" s="92" t="str">
        <f>IF(COUNTIF(enemy_habitats!$H:$H,A9),"OK","NG")</f>
        <v>OK</v>
      </c>
      <c r="C9" s="105">
        <v>30021</v>
      </c>
      <c r="D9" s="106" t="str">
        <f ca="1">VLOOKUP($C9,OFFSET([2]quests!$A$1,0,0,COUNTA([2]quests!$A:$A),MATCH(D$1,[2]quests!$1:$1,0)-MATCH($C$1,[2]quests!$1:$1,0)+1),MATCH(D$1,[2]quests!$1:$1,0)-MATCH($C$1,[2]quests!$1:$1,0)+1,FALSE)</f>
        <v>野獣死すべしっ！</v>
      </c>
      <c r="E9" s="106" t="str">
        <f ca="1">VLOOKUP($C9,OFFSET([2]quests!$A$1,0,0,COUNTA([2]quests!$A:$A),MATCH(E$1,[2]quests!$1:$1,0)-MATCH($C$1,[2]quests!$1:$1,0)+1),MATCH(E$1,[2]quests!$1:$1,0)-MATCH($C$1,[2]quests!$1:$1,0)+1,FALSE)</f>
        <v>ドロップイベント6（マルチ専用）</v>
      </c>
      <c r="F9" s="107">
        <v>2</v>
      </c>
      <c r="G9" s="75" t="str">
        <f t="shared" si="1"/>
        <v>30021_2</v>
      </c>
      <c r="H9" s="74" t="str">
        <f ca="1">VLOOKUP($G9,OFFSET([2]stages!$A$1,0,0,COUNTA([2]stages!$A:$A),MATCH(H$1,[2]stages!$2:$2,0)-MATCH($G$1,[2]stages!$2:$2,0)+1),MATCH(H$1,[2]stages!$2:$2,0)-MATCH($G$1,[2]stages!$2:$2,0)+1,FALSE)</f>
        <v>【上級】野獣死すべしっ！</v>
      </c>
      <c r="I9" s="107">
        <v>4</v>
      </c>
      <c r="J9" s="108">
        <v>60</v>
      </c>
      <c r="K9" s="110">
        <v>60</v>
      </c>
    </row>
    <row r="10" spans="1:11" ht="21" customHeight="1" x14ac:dyDescent="0.15">
      <c r="A10" s="82" t="str">
        <f t="shared" si="0"/>
        <v>30021_3-1</v>
      </c>
      <c r="B10" s="83" t="str">
        <f>IF(COUNTIF(enemy_habitats!$H:$H,A10),"OK","NG")</f>
        <v>OK</v>
      </c>
      <c r="C10" s="84">
        <v>30021</v>
      </c>
      <c r="D10" s="85" t="str">
        <f ca="1">VLOOKUP($C10,OFFSET([2]quests!$A$1,0,0,COUNTA([2]quests!$A:$A),MATCH(D$1,[2]quests!$1:$1,0)-MATCH($C$1,[2]quests!$1:$1,0)+1),MATCH(D$1,[2]quests!$1:$1,0)-MATCH($C$1,[2]quests!$1:$1,0)+1,FALSE)</f>
        <v>野獣死すべしっ！</v>
      </c>
      <c r="E10" s="85" t="str">
        <f ca="1">VLOOKUP($C10,OFFSET([2]quests!$A$1,0,0,COUNTA([2]quests!$A:$A),MATCH(E$1,[2]quests!$1:$1,0)-MATCH($C$1,[2]quests!$1:$1,0)+1),MATCH(E$1,[2]quests!$1:$1,0)-MATCH($C$1,[2]quests!$1:$1,0)+1,FALSE)</f>
        <v>ドロップイベント6（マルチ専用）</v>
      </c>
      <c r="F10" s="86">
        <v>3</v>
      </c>
      <c r="G10" s="87" t="str">
        <f t="shared" si="1"/>
        <v>30021_3</v>
      </c>
      <c r="H10" s="88" t="str">
        <f ca="1">VLOOKUP($G10,OFFSET([2]stages!$A$1,0,0,COUNTA([2]stages!$A:$A),MATCH(H$1,[2]stages!$2:$2,0)-MATCH($G$1,[2]stages!$2:$2,0)+1),MATCH(H$1,[2]stages!$2:$2,0)-MATCH($G$1,[2]stages!$2:$2,0)+1,FALSE)</f>
        <v>【超級】野獣死すべしっ！</v>
      </c>
      <c r="I10" s="86">
        <v>1</v>
      </c>
      <c r="J10" s="89">
        <v>45</v>
      </c>
      <c r="K10" s="90">
        <v>45</v>
      </c>
    </row>
    <row r="11" spans="1:11" ht="21" customHeight="1" x14ac:dyDescent="0.15">
      <c r="A11" s="91" t="str">
        <f t="shared" si="0"/>
        <v>30021_3-2</v>
      </c>
      <c r="B11" s="92" t="str">
        <f>IF(COUNTIF(enemy_habitats!$H:$H,A11),"OK","NG")</f>
        <v>OK</v>
      </c>
      <c r="C11" s="93">
        <v>30021</v>
      </c>
      <c r="D11" s="11" t="str">
        <f ca="1">VLOOKUP($C11,OFFSET([2]quests!$A$1,0,0,COUNTA([2]quests!$A:$A),MATCH(D$1,[2]quests!$1:$1,0)-MATCH($C$1,[2]quests!$1:$1,0)+1),MATCH(D$1,[2]quests!$1:$1,0)-MATCH($C$1,[2]quests!$1:$1,0)+1,FALSE)</f>
        <v>野獣死すべしっ！</v>
      </c>
      <c r="E11" s="11" t="str">
        <f ca="1">VLOOKUP($C11,OFFSET([2]quests!$A$1,0,0,COUNTA([2]quests!$A:$A),MATCH(E$1,[2]quests!$1:$1,0)-MATCH($C$1,[2]quests!$1:$1,0)+1),MATCH(E$1,[2]quests!$1:$1,0)-MATCH($C$1,[2]quests!$1:$1,0)+1,FALSE)</f>
        <v>ドロップイベント6（マルチ専用）</v>
      </c>
      <c r="F11" s="94">
        <v>3</v>
      </c>
      <c r="G11" s="14" t="str">
        <f t="shared" si="1"/>
        <v>30021_3</v>
      </c>
      <c r="H11" s="8" t="str">
        <f ca="1">VLOOKUP($G11,OFFSET([2]stages!$A$1,0,0,COUNTA([2]stages!$A:$A),MATCH(H$1,[2]stages!$2:$2,0)-MATCH($G$1,[2]stages!$2:$2,0)+1),MATCH(H$1,[2]stages!$2:$2,0)-MATCH($G$1,[2]stages!$2:$2,0)+1,FALSE)</f>
        <v>【超級】野獣死すべしっ！</v>
      </c>
      <c r="I11" s="94">
        <v>2</v>
      </c>
      <c r="J11" s="19">
        <v>60</v>
      </c>
      <c r="K11" s="95">
        <v>60</v>
      </c>
    </row>
    <row r="12" spans="1:11" ht="21" customHeight="1" x14ac:dyDescent="0.15">
      <c r="A12" s="91" t="str">
        <f t="shared" si="0"/>
        <v>30021_3-3</v>
      </c>
      <c r="B12" s="92" t="str">
        <f>IF(COUNTIF(enemy_habitats!$H:$H,A12),"OK","NG")</f>
        <v>OK</v>
      </c>
      <c r="C12" s="93">
        <v>30021</v>
      </c>
      <c r="D12" s="11" t="str">
        <f ca="1">VLOOKUP($C12,OFFSET([2]quests!$A$1,0,0,COUNTA([2]quests!$A:$A),MATCH(D$1,[2]quests!$1:$1,0)-MATCH($C$1,[2]quests!$1:$1,0)+1),MATCH(D$1,[2]quests!$1:$1,0)-MATCH($C$1,[2]quests!$1:$1,0)+1,FALSE)</f>
        <v>野獣死すべしっ！</v>
      </c>
      <c r="E12" s="11" t="str">
        <f ca="1">VLOOKUP($C12,OFFSET([2]quests!$A$1,0,0,COUNTA([2]quests!$A:$A),MATCH(E$1,[2]quests!$1:$1,0)-MATCH($C$1,[2]quests!$1:$1,0)+1),MATCH(E$1,[2]quests!$1:$1,0)-MATCH($C$1,[2]quests!$1:$1,0)+1,FALSE)</f>
        <v>ドロップイベント6（マルチ専用）</v>
      </c>
      <c r="F12" s="94">
        <v>3</v>
      </c>
      <c r="G12" s="14" t="str">
        <f t="shared" si="1"/>
        <v>30021_3</v>
      </c>
      <c r="H12" s="8" t="str">
        <f ca="1">VLOOKUP($G12,OFFSET([2]stages!$A$1,0,0,COUNTA([2]stages!$A:$A),MATCH(H$1,[2]stages!$2:$2,0)-MATCH($G$1,[2]stages!$2:$2,0)+1),MATCH(H$1,[2]stages!$2:$2,0)-MATCH($G$1,[2]stages!$2:$2,0)+1,FALSE)</f>
        <v>【超級】野獣死すべしっ！</v>
      </c>
      <c r="I12" s="94">
        <v>3</v>
      </c>
      <c r="J12" s="19">
        <v>30</v>
      </c>
      <c r="K12" s="95">
        <v>30</v>
      </c>
    </row>
    <row r="13" spans="1:11" ht="21" customHeight="1" thickBot="1" x14ac:dyDescent="0.2">
      <c r="A13" s="96" t="str">
        <f t="shared" si="0"/>
        <v>30021_3-4</v>
      </c>
      <c r="B13" s="97" t="str">
        <f>IF(COUNTIF(enemy_habitats!$H:$H,A13),"OK","NG")</f>
        <v>OK</v>
      </c>
      <c r="C13" s="98">
        <v>30021</v>
      </c>
      <c r="D13" s="99" t="str">
        <f ca="1">VLOOKUP($C13,OFFSET([2]quests!$A$1,0,0,COUNTA([2]quests!$A:$A),MATCH(D$1,[2]quests!$1:$1,0)-MATCH($C$1,[2]quests!$1:$1,0)+1),MATCH(D$1,[2]quests!$1:$1,0)-MATCH($C$1,[2]quests!$1:$1,0)+1,FALSE)</f>
        <v>野獣死すべしっ！</v>
      </c>
      <c r="E13" s="99" t="str">
        <f ca="1">VLOOKUP($C13,OFFSET([2]quests!$A$1,0,0,COUNTA([2]quests!$A:$A),MATCH(E$1,[2]quests!$1:$1,0)-MATCH($C$1,[2]quests!$1:$1,0)+1),MATCH(E$1,[2]quests!$1:$1,0)-MATCH($C$1,[2]quests!$1:$1,0)+1,FALSE)</f>
        <v>ドロップイベント6（マルチ専用）</v>
      </c>
      <c r="F13" s="100">
        <v>3</v>
      </c>
      <c r="G13" s="101" t="str">
        <f t="shared" si="1"/>
        <v>30021_3</v>
      </c>
      <c r="H13" s="102" t="str">
        <f ca="1">VLOOKUP($G13,OFFSET([2]stages!$A$1,0,0,COUNTA([2]stages!$A:$A),MATCH(H$1,[2]stages!$2:$2,0)-MATCH($G$1,[2]stages!$2:$2,0)+1),MATCH(H$1,[2]stages!$2:$2,0)-MATCH($G$1,[2]stages!$2:$2,0)+1,FALSE)</f>
        <v>【超級】野獣死すべしっ！</v>
      </c>
      <c r="I13" s="100">
        <v>4</v>
      </c>
      <c r="J13" s="103">
        <v>60</v>
      </c>
      <c r="K13" s="104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19"/>
  <sheetViews>
    <sheetView showGridLines="0" workbookViewId="0">
      <pane xSplit="17" ySplit="1" topLeftCell="AC4" activePane="bottomRight" state="frozen"/>
      <selection pane="topRight" activeCell="N1" sqref="N1"/>
      <selection pane="bottomLeft" activeCell="A2" sqref="A2"/>
      <selection pane="bottomRight" activeCell="AH14" sqref="AH14"/>
    </sheetView>
  </sheetViews>
  <sheetFormatPr baseColWidth="12" defaultColWidth="13" defaultRowHeight="21" customHeight="1" outlineLevelCol="1" x14ac:dyDescent="0.15"/>
  <cols>
    <col min="1" max="1" width="15.83203125" style="12" bestFit="1" customWidth="1"/>
    <col min="2" max="2" width="10.83203125" style="1" bestFit="1" customWidth="1"/>
    <col min="3" max="3" width="10.6640625" style="1" bestFit="1" customWidth="1"/>
    <col min="4" max="4" width="13" style="7" bestFit="1" customWidth="1" outlineLevel="1"/>
    <col min="5" max="5" width="11.6640625" style="1" bestFit="1" customWidth="1" outlineLevel="1"/>
    <col min="6" max="6" width="16.1640625" style="1" bestFit="1" customWidth="1" outlineLevel="1"/>
    <col min="7" max="7" width="10" style="1" bestFit="1" customWidth="1" collapsed="1"/>
    <col min="8" max="10" width="12.33203125" style="1" hidden="1" customWidth="1" outlineLevel="1"/>
    <col min="11" max="11" width="12.33203125" style="1" customWidth="1"/>
    <col min="12" max="12" width="13.5" style="4" bestFit="1" customWidth="1" collapsed="1"/>
    <col min="13" max="13" width="20.6640625" style="1" hidden="1" customWidth="1" outlineLevel="1"/>
    <col min="14" max="14" width="8.6640625" style="1" hidden="1" customWidth="1" outlineLevel="1"/>
    <col min="15" max="15" width="12" style="1" hidden="1" customWidth="1" outlineLevel="1"/>
    <col min="16" max="16" width="21" style="1" hidden="1" customWidth="1" outlineLevel="1"/>
    <col min="17" max="17" width="8" style="1" hidden="1" customWidth="1" outlineLevel="1"/>
    <col min="18" max="18" width="8.33203125" style="1" bestFit="1" customWidth="1"/>
    <col min="19" max="19" width="14.83203125" style="1" bestFit="1" customWidth="1"/>
    <col min="20" max="20" width="17.5" style="1" bestFit="1" customWidth="1"/>
    <col min="21" max="21" width="18.33203125" style="1" bestFit="1" customWidth="1"/>
    <col min="22" max="22" width="10" style="1" customWidth="1"/>
    <col min="23" max="23" width="12.1640625" style="1" customWidth="1" outlineLevel="1"/>
    <col min="24" max="24" width="11.33203125" style="1" bestFit="1" customWidth="1"/>
    <col min="25" max="25" width="11.6640625" style="1" bestFit="1" customWidth="1"/>
    <col min="26" max="26" width="10.6640625" style="1" bestFit="1" customWidth="1"/>
    <col min="27" max="27" width="9.33203125" style="1" bestFit="1" customWidth="1"/>
    <col min="28" max="28" width="13" style="1" bestFit="1" customWidth="1"/>
    <col min="29" max="29" width="8.83203125" style="6" bestFit="1" customWidth="1" outlineLevel="1"/>
    <col min="30" max="30" width="8" style="7" bestFit="1" customWidth="1" outlineLevel="1"/>
    <col min="31" max="31" width="12" style="7" bestFit="1" customWidth="1" outlineLevel="1"/>
    <col min="32" max="32" width="15" style="5" bestFit="1" customWidth="1" collapsed="1"/>
    <col min="33" max="34" width="14.83203125" style="1" bestFit="1" customWidth="1"/>
    <col min="35" max="35" width="6.6640625" style="1" bestFit="1" customWidth="1"/>
    <col min="36" max="36" width="9.33203125" style="1" bestFit="1" customWidth="1"/>
    <col min="37" max="37" width="10.33203125" style="1" bestFit="1" customWidth="1"/>
    <col min="38" max="38" width="7.6640625" style="1" bestFit="1" customWidth="1"/>
    <col min="39" max="39" width="4" style="1" bestFit="1" customWidth="1"/>
    <col min="40" max="16384" width="13" style="1"/>
  </cols>
  <sheetData>
    <row r="1" spans="1:40" s="18" customFormat="1" ht="21" customHeight="1" thickBot="1" x14ac:dyDescent="0.2">
      <c r="A1" s="16" t="s">
        <v>29</v>
      </c>
      <c r="B1" s="17" t="s">
        <v>0</v>
      </c>
      <c r="C1" s="17" t="s">
        <v>1</v>
      </c>
      <c r="D1" s="134" t="s">
        <v>28</v>
      </c>
      <c r="E1" s="134" t="s">
        <v>20</v>
      </c>
      <c r="F1" s="134" t="s">
        <v>20</v>
      </c>
      <c r="G1" s="17" t="s">
        <v>19</v>
      </c>
      <c r="H1" s="134" t="s">
        <v>35</v>
      </c>
      <c r="I1" s="134" t="s">
        <v>14</v>
      </c>
      <c r="J1" s="134" t="s">
        <v>15</v>
      </c>
      <c r="K1" s="135" t="s">
        <v>54</v>
      </c>
      <c r="L1" s="135" t="s">
        <v>2</v>
      </c>
      <c r="M1" s="136" t="s">
        <v>21</v>
      </c>
      <c r="N1" s="134" t="s">
        <v>24</v>
      </c>
      <c r="O1" s="134" t="s">
        <v>23</v>
      </c>
      <c r="P1" s="137" t="s">
        <v>26</v>
      </c>
      <c r="Q1" s="134" t="s">
        <v>25</v>
      </c>
      <c r="R1" s="17" t="s">
        <v>3</v>
      </c>
      <c r="S1" s="17" t="s">
        <v>48</v>
      </c>
      <c r="T1" s="17" t="s">
        <v>50</v>
      </c>
      <c r="U1" s="17" t="s">
        <v>52</v>
      </c>
      <c r="V1" s="134" t="s">
        <v>31</v>
      </c>
      <c r="W1" s="17" t="s">
        <v>4</v>
      </c>
      <c r="X1" s="17" t="s">
        <v>5</v>
      </c>
      <c r="Y1" s="17" t="s">
        <v>6</v>
      </c>
      <c r="Z1" s="17" t="s">
        <v>7</v>
      </c>
      <c r="AA1" s="17" t="s">
        <v>8</v>
      </c>
      <c r="AB1" s="17" t="s">
        <v>9</v>
      </c>
      <c r="AC1" s="138" t="s">
        <v>16</v>
      </c>
      <c r="AD1" s="138" t="s">
        <v>17</v>
      </c>
      <c r="AE1" s="138" t="s">
        <v>27</v>
      </c>
      <c r="AF1" s="17" t="s">
        <v>10</v>
      </c>
      <c r="AG1" s="17" t="s">
        <v>11</v>
      </c>
      <c r="AH1" s="17" t="s">
        <v>12</v>
      </c>
      <c r="AI1" s="17" t="s">
        <v>38</v>
      </c>
      <c r="AJ1" s="17" t="s">
        <v>40</v>
      </c>
      <c r="AK1" s="17" t="s">
        <v>42</v>
      </c>
      <c r="AL1" s="17" t="s">
        <v>44</v>
      </c>
      <c r="AM1" s="17" t="s">
        <v>46</v>
      </c>
      <c r="AN1" s="135" t="s">
        <v>180</v>
      </c>
    </row>
    <row r="2" spans="1:40" s="125" customFormat="1" ht="21" customHeight="1" thickBot="1" x14ac:dyDescent="0.2">
      <c r="A2" s="82" t="str">
        <f t="shared" ref="A2:A19" ca="1" si="0">B2&amp;"_"&amp;C2&amp;"-"&amp;G2&amp;"/"&amp;L2&amp;"&lt;lv"&amp;R2&amp;"&gt;s"&amp;AA2</f>
        <v>30021_1-1/49&lt;lv30&gt;s2</v>
      </c>
      <c r="B2" s="115">
        <v>30021</v>
      </c>
      <c r="C2" s="86">
        <v>1</v>
      </c>
      <c r="D2" s="88" t="str">
        <f t="shared" ref="D2:D19" si="1">B2&amp;"_"&amp;C2</f>
        <v>30021_1</v>
      </c>
      <c r="E2" s="116" t="str">
        <f ca="1">VLOOKUP($B2,OFFSET([2]quests!$A$1,0,0,COUNTA([2]quests!$A:$A),MATCH(E$1,[2]quests!$1:$1,0)-MATCH($B$1,[2]quests!$1:$1,0)+1),MATCH(E$1,[2]quests!$1:$1,0)-MATCH($B$1,[2]quests!$1:$1,0)+1,FALSE)</f>
        <v>野獣死すべしっ！</v>
      </c>
      <c r="F2" s="116" t="str">
        <f ca="1">VLOOKUP($D2,OFFSET([2]stages!$A$1,0,0,COUNTA([2]stages!$A:$A),MATCH(F$1,[2]stages!$2:$2,0)-MATCH($D$1,[2]stages!$2:$2,0)+1),MATCH(F$1,[2]stages!$2:$2,0)-MATCH($D$1,[2]stages!$2:$2,0)+1,FALSE)</f>
        <v>【中級】野獣死すべしっ！</v>
      </c>
      <c r="G2" s="86">
        <v>1</v>
      </c>
      <c r="H2" s="88" t="str">
        <f t="shared" ref="H2:H19" si="2">B2&amp;"_"&amp;C2&amp;"-"&amp;G2</f>
        <v>30021_1-1</v>
      </c>
      <c r="I2" s="116">
        <f ca="1">VLOOKUP($H2,OFFSET(floors!$A$1,0,0,COUNTA(floors!$A:$A),MATCH(I$1,floors!$1:$1,0)-MATCH($H$1,floors!$1:$1,0)+1),MATCH(I$1,floors!$1:$1,0)-MATCH($H$1,floors!$1:$1,0)+1,FALSE)</f>
        <v>30</v>
      </c>
      <c r="J2" s="116">
        <f ca="1">VLOOKUP($H2,OFFSET(floors!$A$1,0,0,COUNTA(floors!$A:$A),MATCH(J$1,floors!$1:$1,0)-MATCH($H$1,floors!$1:$1,0)+1),MATCH(J$1,floors!$1:$1,0)-MATCH($H$1,floors!$1:$1,0)+1,FALSE)</f>
        <v>30</v>
      </c>
      <c r="K2" s="89" t="s">
        <v>53</v>
      </c>
      <c r="L2" s="117">
        <v>49</v>
      </c>
      <c r="M2" s="118" t="str">
        <f ca="1">VLOOKUP($L2,OFFSET([3]enemies!$A$1,0,0,COUNTA([3]enemies!$A:$A),MATCH(M$1,[3]enemies!$1:$1,0)-MATCH($L$1,[3]enemies!$1:$1,0)+1),MATCH(M$1,[3]enemies!$1:$1,0)-MATCH($L$1,[3]enemies!$1:$1,0)+1,FALSE)</f>
        <v>ヨシタカ</v>
      </c>
      <c r="N2" s="118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18" t="str">
        <f ca="1">VLOOKUP($L2,OFFSET([4]characters!$A$1,0,0,COUNTA([4]characters!$A:$A),MATCH(O$1,[4]characters!$1:$1,0)-MATCH($L$1,[4]characters!$1:$1,0)+1),MATCH(O$1,[4]characters!$1:$1,0)-MATCH($L$1,[4]characters!$1:$1,0)+1,FALSE)</f>
        <v>Drop1N</v>
      </c>
      <c r="P2" s="118" t="str">
        <f ca="1">VLOOKUP($L2,OFFSET([3]enemies!$A$1,0,0,COUNTA([3]enemies!$A:$A),MATCH(P$1,[3]enemies!$1:$1,0)-MATCH($L$1,[3]enemies!$1:$1,0)+1),MATCH(P$1,[3]enemies!$1:$1,0)-MATCH($L$1,[3]enemies!$1:$1,0)+1,FALSE)</f>
        <v>human</v>
      </c>
      <c r="Q2" s="118">
        <f ca="1">VLOOKUP($L2,OFFSET([3]enemies!$A$1,0,0,COUNTA([3]enemies!$A:$A),MATCH(Q$1,[3]enemies!$1:$1,0)-MATCH($L$1,[3]enemies!$1:$1,0)+1),MATCH(Q$1,[3]enemies!$1:$1,0)-MATCH($L$1,[3]enemies!$1:$1,0)+1,FALSE)</f>
        <v>15</v>
      </c>
      <c r="R2" s="119">
        <v>30</v>
      </c>
      <c r="S2" s="120">
        <v>1.2</v>
      </c>
      <c r="T2" s="120">
        <v>1.2</v>
      </c>
      <c r="U2" s="119">
        <v>0</v>
      </c>
      <c r="V2" s="116" t="str">
        <f ca="1">VLOOKUP($W2,OFFSET(enemy_skill_sets!$B$1,0,0,COUNTA(enemy_skill_sets!$B:$B),MATCH(M$1,enemy_skill_sets!$1:$1,0)-MATCH($W$1,enemy_skill_sets!$1:$1,0)+2),MATCH(M$1,enemy_skill_sets!$1:$1,0)-MATCH($W$1,enemy_skill_sets!$1:$1,0)+2,FALSE)</f>
        <v>3連続攻撃</v>
      </c>
      <c r="W2" s="116">
        <v>30021001</v>
      </c>
      <c r="X2" s="121">
        <v>1</v>
      </c>
      <c r="Y2" s="121">
        <v>100</v>
      </c>
      <c r="Z2" s="121">
        <v>0</v>
      </c>
      <c r="AA2" s="118">
        <f ca="1">VLOOKUP($L2,OFFSET([3]enemies!$A$1,0,0,COUNTA([3]enemies!$A:$A),MATCH(AA$1,[3]enemies!$1:$1,0)-MATCH($L$1,[3]enemies!$1:$1,0)+1),MATCH(AA$1,[3]enemies!$1:$1,0)-MATCH($L$1,[3]enemies!$1:$1,0)+1,FALSE)</f>
        <v>2</v>
      </c>
      <c r="AB2" s="122">
        <f t="shared" ref="AB2:AB19" si="3">L2</f>
        <v>49</v>
      </c>
      <c r="AC2" s="116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ヨシタカ</v>
      </c>
      <c r="AD2" s="116">
        <f ca="1">VLOOKUP($AB2,OFFSET([4]characters!$A$1,0,0,COUNTA([4]characters!$A:$A),MATCH(AD$1,[4]characters!$1:$1,0)-MATCH("character_id",[4]characters!$1:$1,0)+1),MATCH(AD$1,[4]characters!$1:$1,0)-MATCH("character_id",[4]characters!$1:$1,0)+1,FALSE)</f>
        <v>2</v>
      </c>
      <c r="AE2" s="116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Drop1N</v>
      </c>
      <c r="AF2" s="84">
        <v>1</v>
      </c>
      <c r="AG2" s="122">
        <f t="shared" ref="AG2:AG19" ca="1" si="4">AD2</f>
        <v>2</v>
      </c>
      <c r="AH2" s="123">
        <v>60</v>
      </c>
      <c r="AI2" s="84">
        <v>0</v>
      </c>
      <c r="AJ2" s="84">
        <v>0</v>
      </c>
      <c r="AK2" s="84">
        <v>0</v>
      </c>
      <c r="AL2" s="84">
        <v>0</v>
      </c>
      <c r="AM2" s="84">
        <v>1</v>
      </c>
      <c r="AN2" s="124">
        <v>1</v>
      </c>
    </row>
    <row r="3" spans="1:40" s="161" customFormat="1" ht="21" customHeight="1" thickBot="1" x14ac:dyDescent="0.2">
      <c r="A3" s="146" t="str">
        <f t="shared" ca="1" si="0"/>
        <v>30021_1-1/366&lt;lv30&gt;s3</v>
      </c>
      <c r="B3" s="147">
        <v>30021</v>
      </c>
      <c r="C3" s="148">
        <v>1</v>
      </c>
      <c r="D3" s="149" t="str">
        <f t="shared" si="1"/>
        <v>30021_1</v>
      </c>
      <c r="E3" s="150" t="str">
        <f ca="1">VLOOKUP($B3,OFFSET([2]quests!$A$1,0,0,COUNTA([2]quests!$A:$A),MATCH(E$1,[2]quests!$1:$1,0)-MATCH($B$1,[2]quests!$1:$1,0)+1),MATCH(E$1,[2]quests!$1:$1,0)-MATCH($B$1,[2]quests!$1:$1,0)+1,FALSE)</f>
        <v>野獣死すべしっ！</v>
      </c>
      <c r="F3" s="150" t="str">
        <f ca="1">VLOOKUP($D3,OFFSET([2]stages!$A$1,0,0,COUNTA([2]stages!$A:$A),MATCH(F$1,[2]stages!$2:$2,0)-MATCH($D$1,[2]stages!$2:$2,0)+1),MATCH(F$1,[2]stages!$2:$2,0)-MATCH($D$1,[2]stages!$2:$2,0)+1,FALSE)</f>
        <v>【中級】野獣死すべしっ！</v>
      </c>
      <c r="G3" s="148">
        <v>1</v>
      </c>
      <c r="H3" s="149" t="str">
        <f t="shared" si="2"/>
        <v>30021_1-1</v>
      </c>
      <c r="I3" s="150">
        <f ca="1">VLOOKUP($H3,OFFSET(floors!$A$1,0,0,COUNTA(floors!$A:$A),MATCH(I$1,floors!$1:$1,0)-MATCH($H$1,floors!$1:$1,0)+1),MATCH(I$1,floors!$1:$1,0)-MATCH($H$1,floors!$1:$1,0)+1,FALSE)</f>
        <v>30</v>
      </c>
      <c r="J3" s="150">
        <f ca="1">VLOOKUP($H3,OFFSET(floors!$A$1,0,0,COUNTA(floors!$A:$A),MATCH(J$1,floors!$1:$1,0)-MATCH($H$1,floors!$1:$1,0)+1),MATCH(J$1,floors!$1:$1,0)-MATCH($H$1,floors!$1:$1,0)+1,FALSE)</f>
        <v>30</v>
      </c>
      <c r="K3" s="151" t="s">
        <v>199</v>
      </c>
      <c r="L3" s="152">
        <v>366</v>
      </c>
      <c r="M3" s="153" t="str">
        <f ca="1">VLOOKUP($L3,OFFSET([3]enemies!$A$1,0,0,COUNTA([3]enemies!$A:$A),MATCH(M$1,[3]enemies!$1:$1,0)-MATCH($L$1,[3]enemies!$1:$1,0)+1),MATCH(M$1,[3]enemies!$1:$1,0)-MATCH($L$1,[3]enemies!$1:$1,0)+1,FALSE)</f>
        <v>トト</v>
      </c>
      <c r="N3" s="153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53" t="str">
        <f ca="1">VLOOKUP($L3,OFFSET([4]characters!$A$1,0,0,COUNTA([4]characters!$A:$A),MATCH(O$1,[4]characters!$1:$1,0)-MATCH($L$1,[4]characters!$1:$1,0)+1),MATCH(O$1,[4]characters!$1:$1,0)-MATCH($L$1,[4]characters!$1:$1,0)+1,FALSE)</f>
        <v>Drop1S</v>
      </c>
      <c r="P3" s="153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53">
        <f ca="1">VLOOKUP($L3,OFFSET([3]enemies!$A$1,0,0,COUNTA([3]enemies!$A:$A),MATCH(Q$1,[3]enemies!$1:$1,0)-MATCH($L$1,[3]enemies!$1:$1,0)+1),MATCH(Q$1,[3]enemies!$1:$1,0)-MATCH($L$1,[3]enemies!$1:$1,0)+1,FALSE)</f>
        <v>15</v>
      </c>
      <c r="R3" s="154">
        <v>30</v>
      </c>
      <c r="S3" s="155">
        <v>1.2</v>
      </c>
      <c r="T3" s="155">
        <v>0.7</v>
      </c>
      <c r="U3" s="154">
        <v>0</v>
      </c>
      <c r="V3" s="116" t="str">
        <f ca="1">VLOOKUP($W3,OFFSET(enemy_skill_sets!$B$1,0,0,COUNTA(enemy_skill_sets!$B:$B),MATCH(M$1,enemy_skill_sets!$1:$1,0)-MATCH($W$1,enemy_skill_sets!$1:$1,0)+2),MATCH(M$1,enemy_skill_sets!$1:$1,0)-MATCH($W$1,enemy_skill_sets!$1:$1,0)+2,FALSE)</f>
        <v>クリティカル！</v>
      </c>
      <c r="W3" s="116">
        <v>30021003</v>
      </c>
      <c r="X3" s="156">
        <v>1</v>
      </c>
      <c r="Y3" s="156">
        <v>100</v>
      </c>
      <c r="Z3" s="156">
        <v>0</v>
      </c>
      <c r="AA3" s="153">
        <f ca="1">VLOOKUP($L3,OFFSET([3]enemies!$A$1,0,0,COUNTA([3]enemies!$A:$A),MATCH(AA$1,[3]enemies!$1:$1,0)-MATCH($L$1,[3]enemies!$1:$1,0)+1),MATCH(AA$1,[3]enemies!$1:$1,0)-MATCH($L$1,[3]enemies!$1:$1,0)+1,FALSE)</f>
        <v>3</v>
      </c>
      <c r="AB3" s="157">
        <f t="shared" si="3"/>
        <v>366</v>
      </c>
      <c r="AC3" s="150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トト</v>
      </c>
      <c r="AD3" s="150">
        <f ca="1">VLOOKUP($AB3,OFFSET([4]characters!$A$1,0,0,COUNTA([4]characters!$A:$A),MATCH(AD$1,[4]characters!$1:$1,0)-MATCH("character_id",[4]characters!$1:$1,0)+1),MATCH(AD$1,[4]characters!$1:$1,0)-MATCH("character_id",[4]characters!$1:$1,0)+1,FALSE)</f>
        <v>2</v>
      </c>
      <c r="AE3" s="150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Drop1S</v>
      </c>
      <c r="AF3" s="158">
        <v>1</v>
      </c>
      <c r="AG3" s="157">
        <f t="shared" ca="1" si="4"/>
        <v>2</v>
      </c>
      <c r="AH3" s="159">
        <v>60</v>
      </c>
      <c r="AI3" s="158">
        <v>0</v>
      </c>
      <c r="AJ3" s="158">
        <v>0</v>
      </c>
      <c r="AK3" s="158">
        <v>0</v>
      </c>
      <c r="AL3" s="158">
        <v>0</v>
      </c>
      <c r="AM3" s="158">
        <v>1</v>
      </c>
      <c r="AN3" s="160">
        <v>1</v>
      </c>
    </row>
    <row r="4" spans="1:40" s="177" customFormat="1" ht="21" customHeight="1" thickTop="1" thickBot="1" x14ac:dyDescent="0.2">
      <c r="A4" s="162" t="str">
        <f t="shared" ca="1" si="0"/>
        <v>30021_1-2/227&lt;lv30&gt;s1</v>
      </c>
      <c r="B4" s="163">
        <v>30021</v>
      </c>
      <c r="C4" s="164">
        <v>1</v>
      </c>
      <c r="D4" s="165" t="str">
        <f t="shared" si="1"/>
        <v>30021_1</v>
      </c>
      <c r="E4" s="166" t="str">
        <f ca="1">VLOOKUP($B4,OFFSET([2]quests!$A$1,0,0,COUNTA([2]quests!$A:$A),MATCH(E$1,[2]quests!$1:$1,0)-MATCH($B$1,[2]quests!$1:$1,0)+1),MATCH(E$1,[2]quests!$1:$1,0)-MATCH($B$1,[2]quests!$1:$1,0)+1,FALSE)</f>
        <v>野獣死すべしっ！</v>
      </c>
      <c r="F4" s="166" t="str">
        <f ca="1">VLOOKUP($D4,OFFSET([2]stages!$A$1,0,0,COUNTA([2]stages!$A:$A),MATCH(F$1,[2]stages!$2:$2,0)-MATCH($D$1,[2]stages!$2:$2,0)+1),MATCH(F$1,[2]stages!$2:$2,0)-MATCH($D$1,[2]stages!$2:$2,0)+1,FALSE)</f>
        <v>【中級】野獣死すべしっ！</v>
      </c>
      <c r="G4" s="164">
        <v>2</v>
      </c>
      <c r="H4" s="165" t="str">
        <f t="shared" si="2"/>
        <v>30021_1-2</v>
      </c>
      <c r="I4" s="166">
        <f ca="1">VLOOKUP($H4,OFFSET(floors!$A$1,0,0,COUNTA(floors!$A:$A),MATCH(I$1,floors!$1:$1,0)-MATCH($H$1,floors!$1:$1,0)+1),MATCH(I$1,floors!$1:$1,0)-MATCH($H$1,floors!$1:$1,0)+1,FALSE)</f>
        <v>30</v>
      </c>
      <c r="J4" s="166">
        <f ca="1">VLOOKUP($H4,OFFSET(floors!$A$1,0,0,COUNTA(floors!$A:$A),MATCH(J$1,floors!$1:$1,0)-MATCH($H$1,floors!$1:$1,0)+1),MATCH(J$1,floors!$1:$1,0)-MATCH($H$1,floors!$1:$1,0)+1,FALSE)</f>
        <v>30</v>
      </c>
      <c r="K4" s="167" t="s">
        <v>301</v>
      </c>
      <c r="L4" s="168">
        <v>227</v>
      </c>
      <c r="M4" s="169" t="str">
        <f ca="1">VLOOKUP($L4,OFFSET([3]enemies!$A$1,0,0,COUNTA([3]enemies!$A:$A),MATCH(M$1,[3]enemies!$1:$1,0)-MATCH($L$1,[3]enemies!$1:$1,0)+1),MATCH(M$1,[3]enemies!$1:$1,0)-MATCH($L$1,[3]enemies!$1:$1,0)+1,FALSE)</f>
        <v>滅弾 アレス</v>
      </c>
      <c r="N4" s="169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69" t="str">
        <f ca="1">VLOOKUP($L4,OFFSET([4]characters!$A$1,0,0,COUNTA([4]characters!$A:$A),MATCH(O$1,[4]characters!$1:$1,0)-MATCH($L$1,[4]characters!$1:$1,0)+1),MATCH(O$1,[4]characters!$1:$1,0)-MATCH($L$1,[4]characters!$1:$1,0)+1,FALSE)</f>
        <v>PremiumS</v>
      </c>
      <c r="P4" s="169" t="str">
        <f ca="1">VLOOKUP($L4,OFFSET([3]enemies!$A$1,0,0,COUNTA([3]enemies!$A:$A),MATCH(P$1,[3]enemies!$1:$1,0)-MATCH($L$1,[3]enemies!$1:$1,0)+1),MATCH(P$1,[3]enemies!$1:$1,0)-MATCH($L$1,[3]enemies!$1:$1,0)+1,FALSE)</f>
        <v>god</v>
      </c>
      <c r="Q4" s="169">
        <f ca="1">VLOOKUP($L4,OFFSET([3]enemies!$A$1,0,0,COUNTA([3]enemies!$A:$A),MATCH(Q$1,[3]enemies!$1:$1,0)-MATCH($L$1,[3]enemies!$1:$1,0)+1),MATCH(Q$1,[3]enemies!$1:$1,0)-MATCH($L$1,[3]enemies!$1:$1,0)+1,FALSE)</f>
        <v>30</v>
      </c>
      <c r="R4" s="170">
        <v>30</v>
      </c>
      <c r="S4" s="171">
        <v>1.3</v>
      </c>
      <c r="T4" s="171">
        <v>1</v>
      </c>
      <c r="U4" s="170">
        <v>0</v>
      </c>
      <c r="V4" s="116" t="str">
        <f ca="1">VLOOKUP($W4,OFFSET(enemy_skill_sets!$B$1,0,0,COUNTA(enemy_skill_sets!$B:$B),MATCH(M$1,enemy_skill_sets!$1:$1,0)-MATCH($W$1,enemy_skill_sets!$1:$1,0)+2),MATCH(M$1,enemy_skill_sets!$1:$1,0)-MATCH($W$1,enemy_skill_sets!$1:$1,0)+2,FALSE)</f>
        <v>状態異常無効</v>
      </c>
      <c r="W4" s="116">
        <v>30021005</v>
      </c>
      <c r="X4" s="172">
        <v>1</v>
      </c>
      <c r="Y4" s="172">
        <v>100</v>
      </c>
      <c r="Z4" s="172">
        <v>1</v>
      </c>
      <c r="AA4" s="169">
        <f ca="1">VLOOKUP($L4,OFFSET([3]enemies!$A$1,0,0,COUNTA([3]enemies!$A:$A),MATCH(AA$1,[3]enemies!$1:$1,0)-MATCH($L$1,[3]enemies!$1:$1,0)+1),MATCH(AA$1,[3]enemies!$1:$1,0)-MATCH($L$1,[3]enemies!$1:$1,0)+1,FALSE)</f>
        <v>1</v>
      </c>
      <c r="AB4" s="173">
        <f t="shared" si="3"/>
        <v>227</v>
      </c>
      <c r="AC4" s="166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滅弾 アレス</v>
      </c>
      <c r="AD4" s="166">
        <f ca="1">VLOOKUP($AB4,OFFSET([4]characters!$A$1,0,0,COUNTA([4]characters!$A:$A),MATCH(AD$1,[4]characters!$1:$1,0)-MATCH("character_id",[4]characters!$1:$1,0)+1),MATCH(AD$1,[4]characters!$1:$1,0)-MATCH("character_id",[4]characters!$1:$1,0)+1,FALSE)</f>
        <v>4</v>
      </c>
      <c r="AE4" s="166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4" s="174">
        <v>1</v>
      </c>
      <c r="AG4" s="173">
        <f t="shared" ca="1" si="4"/>
        <v>4</v>
      </c>
      <c r="AH4" s="175">
        <v>0</v>
      </c>
      <c r="AI4" s="174">
        <v>0</v>
      </c>
      <c r="AJ4" s="174">
        <v>0</v>
      </c>
      <c r="AK4" s="174">
        <v>0</v>
      </c>
      <c r="AL4" s="174">
        <v>0</v>
      </c>
      <c r="AM4" s="174">
        <v>1</v>
      </c>
      <c r="AN4" s="176">
        <v>1</v>
      </c>
    </row>
    <row r="5" spans="1:40" s="204" customFormat="1" ht="21" customHeight="1" thickTop="1" thickBot="1" x14ac:dyDescent="0.2">
      <c r="A5" s="189" t="str">
        <f t="shared" ca="1" si="0"/>
        <v>30021_1-3/31&lt;lv30&gt;s2</v>
      </c>
      <c r="B5" s="190">
        <v>30021</v>
      </c>
      <c r="C5" s="191">
        <v>1</v>
      </c>
      <c r="D5" s="192" t="str">
        <f t="shared" si="1"/>
        <v>30021_1</v>
      </c>
      <c r="E5" s="193" t="str">
        <f ca="1">VLOOKUP($B5,OFFSET([2]quests!$A$1,0,0,COUNTA([2]quests!$A:$A),MATCH(E$1,[2]quests!$1:$1,0)-MATCH($B$1,[2]quests!$1:$1,0)+1),MATCH(E$1,[2]quests!$1:$1,0)-MATCH($B$1,[2]quests!$1:$1,0)+1,FALSE)</f>
        <v>野獣死すべしっ！</v>
      </c>
      <c r="F5" s="193" t="str">
        <f ca="1">VLOOKUP($D5,OFFSET([2]stages!$A$1,0,0,COUNTA([2]stages!$A:$A),MATCH(F$1,[2]stages!$2:$2,0)-MATCH($D$1,[2]stages!$2:$2,0)+1),MATCH(F$1,[2]stages!$2:$2,0)-MATCH($D$1,[2]stages!$2:$2,0)+1,FALSE)</f>
        <v>【中級】野獣死すべしっ！</v>
      </c>
      <c r="G5" s="191">
        <v>3</v>
      </c>
      <c r="H5" s="192" t="str">
        <f t="shared" si="2"/>
        <v>30021_1-3</v>
      </c>
      <c r="I5" s="193">
        <f ca="1">VLOOKUP($H5,OFFSET(floors!$A$1,0,0,COUNTA(floors!$A:$A),MATCH(I$1,floors!$1:$1,0)-MATCH($H$1,floors!$1:$1,0)+1),MATCH(I$1,floors!$1:$1,0)-MATCH($H$1,floors!$1:$1,0)+1,FALSE)</f>
        <v>30</v>
      </c>
      <c r="J5" s="193">
        <f ca="1">VLOOKUP($H5,OFFSET(floors!$A$1,0,0,COUNTA(floors!$A:$A),MATCH(J$1,floors!$1:$1,0)-MATCH($H$1,floors!$1:$1,0)+1),MATCH(J$1,floors!$1:$1,0)-MATCH($H$1,floors!$1:$1,0)+1,FALSE)</f>
        <v>30</v>
      </c>
      <c r="K5" s="194" t="s">
        <v>200</v>
      </c>
      <c r="L5" s="195">
        <v>31</v>
      </c>
      <c r="M5" s="196" t="str">
        <f ca="1">VLOOKUP($L5,OFFSET([3]enemies!$A$1,0,0,COUNTA([3]enemies!$A:$A),MATCH(M$1,[3]enemies!$1:$1,0)-MATCH($L$1,[3]enemies!$1:$1,0)+1),MATCH(M$1,[3]enemies!$1:$1,0)-MATCH($L$1,[3]enemies!$1:$1,0)+1,FALSE)</f>
        <v>マービー</v>
      </c>
      <c r="N5" s="196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96" t="str">
        <f ca="1">VLOOKUP($L5,OFFSET([4]characters!$A$1,0,0,COUNTA([4]characters!$A:$A),MATCH(O$1,[4]characters!$1:$1,0)-MATCH($L$1,[4]characters!$1:$1,0)+1),MATCH(O$1,[4]characters!$1:$1,0)-MATCH($L$1,[4]characters!$1:$1,0)+1,FALSE)</f>
        <v>Drop1N</v>
      </c>
      <c r="P5" s="196" t="str">
        <f ca="1">VLOOKUP($L5,OFFSET([3]enemies!$A$1,0,0,COUNTA([3]enemies!$A:$A),MATCH(P$1,[3]enemies!$1:$1,0)-MATCH($L$1,[3]enemies!$1:$1,0)+1),MATCH(P$1,[3]enemies!$1:$1,0)-MATCH($L$1,[3]enemies!$1:$1,0)+1,FALSE)</f>
        <v>machine</v>
      </c>
      <c r="Q5" s="196">
        <f ca="1">VLOOKUP($L5,OFFSET([3]enemies!$A$1,0,0,COUNTA([3]enemies!$A:$A),MATCH(Q$1,[3]enemies!$1:$1,0)-MATCH($L$1,[3]enemies!$1:$1,0)+1),MATCH(Q$1,[3]enemies!$1:$1,0)-MATCH($L$1,[3]enemies!$1:$1,0)+1,FALSE)</f>
        <v>15</v>
      </c>
      <c r="R5" s="197">
        <v>30</v>
      </c>
      <c r="S5" s="198">
        <v>1.3</v>
      </c>
      <c r="T5" s="198">
        <v>1.3</v>
      </c>
      <c r="U5" s="197">
        <v>0</v>
      </c>
      <c r="V5" s="116" t="str">
        <f ca="1">VLOOKUP($W5,OFFSET(enemy_skill_sets!$B$1,0,0,COUNTA(enemy_skill_sets!$B:$B),MATCH(M$1,enemy_skill_sets!$1:$1,0)-MATCH($W$1,enemy_skill_sets!$1:$1,0)+2),MATCH(M$1,enemy_skill_sets!$1:$1,0)-MATCH($W$1,enemy_skill_sets!$1:$1,0)+2,FALSE)</f>
        <v>3ターン防御UP</v>
      </c>
      <c r="W5" s="116">
        <v>30021007</v>
      </c>
      <c r="X5" s="199">
        <v>1</v>
      </c>
      <c r="Y5" s="199">
        <v>100</v>
      </c>
      <c r="Z5" s="199">
        <v>0</v>
      </c>
      <c r="AA5" s="196">
        <f ca="1">VLOOKUP($L5,OFFSET([3]enemies!$A$1,0,0,COUNTA([3]enemies!$A:$A),MATCH(AA$1,[3]enemies!$1:$1,0)-MATCH($L$1,[3]enemies!$1:$1,0)+1),MATCH(AA$1,[3]enemies!$1:$1,0)-MATCH($L$1,[3]enemies!$1:$1,0)+1,FALSE)</f>
        <v>2</v>
      </c>
      <c r="AB5" s="200">
        <f t="shared" si="3"/>
        <v>31</v>
      </c>
      <c r="AC5" s="193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マービー</v>
      </c>
      <c r="AD5" s="193">
        <f ca="1">VLOOKUP($AB5,OFFSET([4]characters!$A$1,0,0,COUNTA([4]characters!$A:$A),MATCH(AD$1,[4]characters!$1:$1,0)-MATCH("character_id",[4]characters!$1:$1,0)+1),MATCH(AD$1,[4]characters!$1:$1,0)-MATCH("character_id",[4]characters!$1:$1,0)+1,FALSE)</f>
        <v>1</v>
      </c>
      <c r="AE5" s="193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Drop1N</v>
      </c>
      <c r="AF5" s="201">
        <v>1</v>
      </c>
      <c r="AG5" s="200">
        <f t="shared" ca="1" si="4"/>
        <v>1</v>
      </c>
      <c r="AH5" s="202">
        <v>60</v>
      </c>
      <c r="AI5" s="201">
        <v>0</v>
      </c>
      <c r="AJ5" s="201">
        <v>0</v>
      </c>
      <c r="AK5" s="201">
        <v>0</v>
      </c>
      <c r="AL5" s="201">
        <v>0</v>
      </c>
      <c r="AM5" s="201">
        <v>1</v>
      </c>
      <c r="AN5" s="203">
        <v>1</v>
      </c>
    </row>
    <row r="6" spans="1:40" s="161" customFormat="1" ht="21" customHeight="1" thickBot="1" x14ac:dyDescent="0.2">
      <c r="A6" s="146" t="str">
        <f t="shared" ca="1" si="0"/>
        <v>30021_1-3/13&lt;lv30&gt;s2</v>
      </c>
      <c r="B6" s="147">
        <v>30021</v>
      </c>
      <c r="C6" s="148">
        <v>1</v>
      </c>
      <c r="D6" s="149" t="str">
        <f t="shared" si="1"/>
        <v>30021_1</v>
      </c>
      <c r="E6" s="150" t="str">
        <f ca="1">VLOOKUP($B6,OFFSET([2]quests!$A$1,0,0,COUNTA([2]quests!$A:$A),MATCH(E$1,[2]quests!$1:$1,0)-MATCH($B$1,[2]quests!$1:$1,0)+1),MATCH(E$1,[2]quests!$1:$1,0)-MATCH($B$1,[2]quests!$1:$1,0)+1,FALSE)</f>
        <v>野獣死すべしっ！</v>
      </c>
      <c r="F6" s="150" t="str">
        <f ca="1">VLOOKUP($D6,OFFSET([2]stages!$A$1,0,0,COUNTA([2]stages!$A:$A),MATCH(F$1,[2]stages!$2:$2,0)-MATCH($D$1,[2]stages!$2:$2,0)+1),MATCH(F$1,[2]stages!$2:$2,0)-MATCH($D$1,[2]stages!$2:$2,0)+1,FALSE)</f>
        <v>【中級】野獣死すべしっ！</v>
      </c>
      <c r="G6" s="148">
        <v>3</v>
      </c>
      <c r="H6" s="149" t="str">
        <f t="shared" si="2"/>
        <v>30021_1-3</v>
      </c>
      <c r="I6" s="150">
        <f ca="1">VLOOKUP($H6,OFFSET(floors!$A$1,0,0,COUNTA(floors!$A:$A),MATCH(I$1,floors!$1:$1,0)-MATCH($H$1,floors!$1:$1,0)+1),MATCH(I$1,floors!$1:$1,0)-MATCH($H$1,floors!$1:$1,0)+1,FALSE)</f>
        <v>30</v>
      </c>
      <c r="J6" s="150">
        <f ca="1">VLOOKUP($H6,OFFSET(floors!$A$1,0,0,COUNTA(floors!$A:$A),MATCH(J$1,floors!$1:$1,0)-MATCH($H$1,floors!$1:$1,0)+1),MATCH(J$1,floors!$1:$1,0)-MATCH($H$1,floors!$1:$1,0)+1,FALSE)</f>
        <v>30</v>
      </c>
      <c r="K6" s="151" t="s">
        <v>200</v>
      </c>
      <c r="L6" s="152">
        <v>13</v>
      </c>
      <c r="M6" s="153" t="str">
        <f ca="1">VLOOKUP($L6,OFFSET([3]enemies!$A$1,0,0,COUNTA([3]enemies!$A:$A),MATCH(M$1,[3]enemies!$1:$1,0)-MATCH($L$1,[3]enemies!$1:$1,0)+1),MATCH(M$1,[3]enemies!$1:$1,0)-MATCH($L$1,[3]enemies!$1:$1,0)+1,FALSE)</f>
        <v>ミミ</v>
      </c>
      <c r="N6" s="153" t="str">
        <f ca="1">VLOOKUP($L6,OFFSET([3]enemies!$A$1,0,0,COUNTA([3]enemies!$A:$A),MATCH(N$1,[3]enemies!$1:$1,0)-MATCH($L$1,[3]enemies!$1:$1,0)+1),MATCH(N$1,[3]enemies!$1:$1,0)-MATCH($L$1,[3]enemies!$1:$1,0)+1,FALSE)</f>
        <v>yellow</v>
      </c>
      <c r="O6" s="153" t="str">
        <f ca="1">VLOOKUP($L6,OFFSET([4]characters!$A$1,0,0,COUNTA([4]characters!$A:$A),MATCH(O$1,[4]characters!$1:$1,0)-MATCH($L$1,[4]characters!$1:$1,0)+1),MATCH(O$1,[4]characters!$1:$1,0)-MATCH($L$1,[4]characters!$1:$1,0)+1,FALSE)</f>
        <v>Drop1W</v>
      </c>
      <c r="P6" s="153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53">
        <f ca="1">VLOOKUP($L6,OFFSET([3]enemies!$A$1,0,0,COUNTA([3]enemies!$A:$A),MATCH(Q$1,[3]enemies!$1:$1,0)-MATCH($L$1,[3]enemies!$1:$1,0)+1),MATCH(Q$1,[3]enemies!$1:$1,0)-MATCH($L$1,[3]enemies!$1:$1,0)+1,FALSE)</f>
        <v>15</v>
      </c>
      <c r="R6" s="154">
        <v>30</v>
      </c>
      <c r="S6" s="155">
        <v>1.3</v>
      </c>
      <c r="T6" s="155">
        <v>0.9</v>
      </c>
      <c r="U6" s="154">
        <v>0</v>
      </c>
      <c r="V6" s="116" t="str">
        <f ca="1">VLOOKUP($W6,OFFSET(enemy_skill_sets!$B$1,0,0,COUNTA(enemy_skill_sets!$B:$B),MATCH(M$1,enemy_skill_sets!$1:$1,0)-MATCH($W$1,enemy_skill_sets!$1:$1,0)+2),MATCH(M$1,enemy_skill_sets!$1:$1,0)-MATCH($W$1,enemy_skill_sets!$1:$1,0)+2,FALSE)</f>
        <v>クリティカル！</v>
      </c>
      <c r="W6" s="116">
        <v>30021009</v>
      </c>
      <c r="X6" s="156">
        <v>1</v>
      </c>
      <c r="Y6" s="156">
        <v>100</v>
      </c>
      <c r="Z6" s="156">
        <v>0</v>
      </c>
      <c r="AA6" s="153">
        <f ca="1">VLOOKUP($L6,OFFSET([3]enemies!$A$1,0,0,COUNTA([3]enemies!$A:$A),MATCH(AA$1,[3]enemies!$1:$1,0)-MATCH($L$1,[3]enemies!$1:$1,0)+1),MATCH(AA$1,[3]enemies!$1:$1,0)-MATCH($L$1,[3]enemies!$1:$1,0)+1,FALSE)</f>
        <v>2</v>
      </c>
      <c r="AB6" s="157">
        <f t="shared" si="3"/>
        <v>13</v>
      </c>
      <c r="AC6" s="150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ミミ</v>
      </c>
      <c r="AD6" s="150">
        <f ca="1">VLOOKUP($AB6,OFFSET([4]characters!$A$1,0,0,COUNTA([4]characters!$A:$A),MATCH(AD$1,[4]characters!$1:$1,0)-MATCH("character_id",[4]characters!$1:$1,0)+1),MATCH(AD$1,[4]characters!$1:$1,0)-MATCH("character_id",[4]characters!$1:$1,0)+1,FALSE)</f>
        <v>1</v>
      </c>
      <c r="AE6" s="150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Drop1W</v>
      </c>
      <c r="AF6" s="158">
        <v>1</v>
      </c>
      <c r="AG6" s="157">
        <f t="shared" ca="1" si="4"/>
        <v>1</v>
      </c>
      <c r="AH6" s="159">
        <v>60</v>
      </c>
      <c r="AI6" s="158">
        <v>0</v>
      </c>
      <c r="AJ6" s="158">
        <v>0</v>
      </c>
      <c r="AK6" s="158">
        <v>0</v>
      </c>
      <c r="AL6" s="158">
        <v>0</v>
      </c>
      <c r="AM6" s="158">
        <v>1</v>
      </c>
      <c r="AN6" s="160">
        <v>1</v>
      </c>
    </row>
    <row r="7" spans="1:40" s="133" customFormat="1" ht="21" customHeight="1" thickTop="1" thickBot="1" x14ac:dyDescent="0.2">
      <c r="A7" s="96" t="str">
        <f t="shared" si="0"/>
        <v>30021_1-4/502&lt;lv35&gt;s2</v>
      </c>
      <c r="B7" s="127">
        <v>30021</v>
      </c>
      <c r="C7" s="178">
        <v>1</v>
      </c>
      <c r="D7" s="179" t="str">
        <f t="shared" si="1"/>
        <v>30021_1</v>
      </c>
      <c r="E7" s="128" t="str">
        <f ca="1">VLOOKUP($B7,OFFSET([2]quests!$A$1,0,0,COUNTA([2]quests!$A:$A),MATCH(E$1,[2]quests!$1:$1,0)-MATCH($B$1,[2]quests!$1:$1,0)+1),MATCH(E$1,[2]quests!$1:$1,0)-MATCH($B$1,[2]quests!$1:$1,0)+1,FALSE)</f>
        <v>野獣死すべしっ！</v>
      </c>
      <c r="F7" s="128" t="str">
        <f ca="1">VLOOKUP($D7,OFFSET([2]stages!$A$1,0,0,COUNTA([2]stages!$A:$A),MATCH(F$1,[2]stages!$2:$2,0)-MATCH($D$1,[2]stages!$2:$2,0)+1),MATCH(F$1,[2]stages!$2:$2,0)-MATCH($D$1,[2]stages!$2:$2,0)+1,FALSE)</f>
        <v>【中級】野獣死すべしっ！</v>
      </c>
      <c r="G7" s="178">
        <v>4</v>
      </c>
      <c r="H7" s="179" t="str">
        <f t="shared" si="2"/>
        <v>30021_1-4</v>
      </c>
      <c r="I7" s="128">
        <f ca="1">VLOOKUP($H7,OFFSET(floors!$A$1,0,0,COUNTA(floors!$A:$A),MATCH(I$1,floors!$1:$1,0)-MATCH($H$1,floors!$1:$1,0)+1),MATCH(I$1,floors!$1:$1,0)-MATCH($H$1,floors!$1:$1,0)+1,FALSE)</f>
        <v>60</v>
      </c>
      <c r="J7" s="128">
        <f ca="1">VLOOKUP($H7,OFFSET(floors!$A$1,0,0,COUNTA(floors!$A:$A),MATCH(J$1,floors!$1:$1,0)-MATCH($H$1,floors!$1:$1,0)+1),MATCH(J$1,floors!$1:$1,0)-MATCH($H$1,floors!$1:$1,0)+1,FALSE)</f>
        <v>60</v>
      </c>
      <c r="K7" s="180" t="s">
        <v>302</v>
      </c>
      <c r="L7" s="181">
        <v>502</v>
      </c>
      <c r="M7" s="130" t="str">
        <f ca="1">VLOOKUP($L7,OFFSET([3]enemies!$A$1,0,0,COUNTA([3]enemies!$A:$A),MATCH(M$1,[3]enemies!$1:$1,0)-MATCH($L$1,[3]enemies!$1:$1,0)+1),MATCH(M$1,[3]enemies!$1:$1,0)-MATCH($L$1,[3]enemies!$1:$1,0)+1,FALSE)</f>
        <v>テラベル</v>
      </c>
      <c r="N7" s="130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130" t="str">
        <f ca="1">VLOOKUP($L7,OFFSET([4]characters!$A$1,0,0,COUNTA([4]characters!$A:$A),MATCH(O$1,[4]characters!$1:$1,0)-MATCH($L$1,[4]characters!$1:$1,0)+1),MATCH(O$1,[4]characters!$1:$1,0)-MATCH($L$1,[4]characters!$1:$1,0)+1,FALSE)</f>
        <v>Drop2N</v>
      </c>
      <c r="P7" s="130" t="str">
        <f ca="1">VLOOKUP($L7,OFFSET([3]enemies!$A$1,0,0,COUNTA([3]enemies!$A:$A),MATCH(P$1,[3]enemies!$1:$1,0)-MATCH($L$1,[3]enemies!$1:$1,0)+1),MATCH(P$1,[3]enemies!$1:$1,0)-MATCH($L$1,[3]enemies!$1:$1,0)+1,FALSE)</f>
        <v>human</v>
      </c>
      <c r="Q7" s="130">
        <f ca="1">VLOOKUP($L7,OFFSET([3]enemies!$A$1,0,0,COUNTA([3]enemies!$A:$A),MATCH(Q$1,[3]enemies!$1:$1,0)-MATCH($L$1,[3]enemies!$1:$1,0)+1),MATCH(Q$1,[3]enemies!$1:$1,0)-MATCH($L$1,[3]enemies!$1:$1,0)+1,FALSE)</f>
        <v>30</v>
      </c>
      <c r="R7" s="182">
        <v>35</v>
      </c>
      <c r="S7" s="183">
        <v>2</v>
      </c>
      <c r="T7" s="183">
        <v>0.9</v>
      </c>
      <c r="U7" s="182">
        <v>0</v>
      </c>
      <c r="V7" s="116" t="str">
        <f ca="1">VLOOKUP($W7,OFFSET(enemy_skill_sets!$B$1,0,0,COUNTA(enemy_skill_sets!$B:$B),MATCH(M$1,enemy_skill_sets!$1:$1,0)-MATCH($W$1,enemy_skill_sets!$1:$1,0)+2),MATCH(M$1,enemy_skill_sets!$1:$1,0)-MATCH($W$1,enemy_skill_sets!$1:$1,0)+2,FALSE)</f>
        <v>エスタブの姿に驚いている</v>
      </c>
      <c r="W7" s="116">
        <v>30021014</v>
      </c>
      <c r="X7" s="184">
        <v>1</v>
      </c>
      <c r="Y7" s="184">
        <v>100</v>
      </c>
      <c r="Z7" s="184">
        <v>1</v>
      </c>
      <c r="AA7" s="320">
        <v>2</v>
      </c>
      <c r="AB7" s="185">
        <f t="shared" si="3"/>
        <v>502</v>
      </c>
      <c r="AC7" s="128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テラベル</v>
      </c>
      <c r="AD7" s="128">
        <f ca="1">VLOOKUP($AB7,OFFSET([4]characters!$A$1,0,0,COUNTA([4]characters!$A:$A),MATCH(AD$1,[4]characters!$1:$1,0)-MATCH("character_id",[4]characters!$1:$1,0)+1),MATCH(AD$1,[4]characters!$1:$1,0)-MATCH("character_id",[4]characters!$1:$1,0)+1,FALSE)</f>
        <v>4</v>
      </c>
      <c r="AE7" s="128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Drop2N</v>
      </c>
      <c r="AF7" s="186">
        <v>1</v>
      </c>
      <c r="AG7" s="185">
        <f t="shared" ca="1" si="4"/>
        <v>4</v>
      </c>
      <c r="AH7" s="187">
        <v>20</v>
      </c>
      <c r="AI7" s="186">
        <v>0</v>
      </c>
      <c r="AJ7" s="186">
        <v>0</v>
      </c>
      <c r="AK7" s="186">
        <v>0</v>
      </c>
      <c r="AL7" s="186">
        <v>0</v>
      </c>
      <c r="AM7" s="186">
        <v>1</v>
      </c>
      <c r="AN7" s="188">
        <v>1</v>
      </c>
    </row>
    <row r="8" spans="1:40" s="111" customFormat="1" ht="21" customHeight="1" thickBot="1" x14ac:dyDescent="0.2">
      <c r="A8" s="92" t="str">
        <f t="shared" ca="1" si="0"/>
        <v>30021_2-1/50&lt;lv40&gt;s2</v>
      </c>
      <c r="B8" s="13">
        <v>30021</v>
      </c>
      <c r="C8" s="78">
        <v>2</v>
      </c>
      <c r="D8" s="80" t="str">
        <f t="shared" si="1"/>
        <v>30021_2</v>
      </c>
      <c r="E8" s="2" t="str">
        <f ca="1">VLOOKUP($B8,OFFSET([2]quests!$A$1,0,0,COUNTA([2]quests!$A:$A),MATCH(E$1,[2]quests!$1:$1,0)-MATCH($B$1,[2]quests!$1:$1,0)+1),MATCH(E$1,[2]quests!$1:$1,0)-MATCH($B$1,[2]quests!$1:$1,0)+1,FALSE)</f>
        <v>野獣死すべしっ！</v>
      </c>
      <c r="F8" s="2" t="str">
        <f ca="1">VLOOKUP($D8,OFFSET([2]stages!$A$1,0,0,COUNTA([2]stages!$A:$A),MATCH(F$1,[2]stages!$2:$2,0)-MATCH($D$1,[2]stages!$2:$2,0)+1),MATCH(F$1,[2]stages!$2:$2,0)-MATCH($D$1,[2]stages!$2:$2,0)+1,FALSE)</f>
        <v>【上級】野獣死すべしっ！</v>
      </c>
      <c r="G8" s="78">
        <v>1</v>
      </c>
      <c r="H8" s="80" t="str">
        <f t="shared" si="2"/>
        <v>30021_2-1</v>
      </c>
      <c r="I8" s="2">
        <f ca="1">VLOOKUP($H8,OFFSET(floors!$A$1,0,0,COUNTA(floors!$A:$A),MATCH(I$1,floors!$1:$1,0)-MATCH($H$1,floors!$1:$1,0)+1),MATCH(I$1,floors!$1:$1,0)-MATCH($H$1,floors!$1:$1,0)+1,FALSE)</f>
        <v>45</v>
      </c>
      <c r="J8" s="2">
        <f ca="1">VLOOKUP($H8,OFFSET(floors!$A$1,0,0,COUNTA(floors!$A:$A),MATCH(J$1,floors!$1:$1,0)-MATCH($H$1,floors!$1:$1,0)+1),MATCH(J$1,floors!$1:$1,0)-MATCH($H$1,floors!$1:$1,0)+1,FALSE)</f>
        <v>45</v>
      </c>
      <c r="K8" s="81" t="s">
        <v>53</v>
      </c>
      <c r="L8" s="139">
        <v>50</v>
      </c>
      <c r="M8" s="10" t="str">
        <f ca="1">VLOOKUP($L8,OFFSET([3]enemies!$A$1,0,0,COUNTA([3]enemies!$A:$A),MATCH(M$1,[3]enemies!$1:$1,0)-MATCH($L$1,[3]enemies!$1:$1,0)+1),MATCH(M$1,[3]enemies!$1:$1,0)-MATCH($L$1,[3]enemies!$1:$1,0)+1,FALSE)</f>
        <v>炎銃のレジスタンス ヨシタカ</v>
      </c>
      <c r="N8" s="10" t="str">
        <f ca="1">VLOOKUP($L8,OFFSET([3]enemies!$A$1,0,0,COUNTA([3]enemies!$A:$A),MATCH(N$1,[3]enemies!$1:$1,0)-MATCH($L$1,[3]enemies!$1:$1,0)+1),MATCH(N$1,[3]enemies!$1:$1,0)-MATCH($L$1,[3]enemies!$1:$1,0)+1,FALSE)</f>
        <v>red</v>
      </c>
      <c r="O8" s="10" t="str">
        <f ca="1">VLOOKUP($L8,OFFSET([4]characters!$A$1,0,0,COUNTA([4]characters!$A:$A),MATCH(O$1,[4]characters!$1:$1,0)-MATCH($L$1,[4]characters!$1:$1,0)+1),MATCH(O$1,[4]characters!$1:$1,0)-MATCH($L$1,[4]characters!$1:$1,0)+1,FALSE)</f>
        <v>Drop1N</v>
      </c>
      <c r="P8" s="10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10">
        <f ca="1">VLOOKUP($L8,OFFSET([3]enemies!$A$1,0,0,COUNTA([3]enemies!$A:$A),MATCH(Q$1,[3]enemies!$1:$1,0)-MATCH($L$1,[3]enemies!$1:$1,0)+1),MATCH(Q$1,[3]enemies!$1:$1,0)-MATCH($L$1,[3]enemies!$1:$1,0)+1,FALSE)</f>
        <v>20</v>
      </c>
      <c r="R8" s="140">
        <v>40</v>
      </c>
      <c r="S8" s="141">
        <v>1</v>
      </c>
      <c r="T8" s="141">
        <v>1</v>
      </c>
      <c r="U8" s="140">
        <v>0</v>
      </c>
      <c r="V8" s="116" t="str">
        <f ca="1">VLOOKUP($W8,OFFSET(enemy_skill_sets!$B$1,0,0,COUNTA(enemy_skill_sets!$B:$B),MATCH(M$1,enemy_skill_sets!$1:$1,0)-MATCH($W$1,enemy_skill_sets!$1:$1,0)+2),MATCH(M$1,enemy_skill_sets!$1:$1,0)-MATCH($W$1,enemy_skill_sets!$1:$1,0)+2,FALSE)</f>
        <v>4連続攻撃</v>
      </c>
      <c r="W8" s="116">
        <v>30021002</v>
      </c>
      <c r="X8" s="142">
        <v>1</v>
      </c>
      <c r="Y8" s="142">
        <v>100</v>
      </c>
      <c r="Z8" s="142">
        <v>0</v>
      </c>
      <c r="AA8" s="10">
        <f ca="1">VLOOKUP($L8,OFFSET([3]enemies!$A$1,0,0,COUNTA([3]enemies!$A:$A),MATCH(AA$1,[3]enemies!$1:$1,0)-MATCH($L$1,[3]enemies!$1:$1,0)+1),MATCH(AA$1,[3]enemies!$1:$1,0)-MATCH($L$1,[3]enemies!$1:$1,0)+1,FALSE)</f>
        <v>2</v>
      </c>
      <c r="AB8" s="143">
        <f t="shared" si="3"/>
        <v>50</v>
      </c>
      <c r="AC8" s="2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炎銃のレジスタンス ヨシタカ</v>
      </c>
      <c r="AD8" s="2">
        <f ca="1">VLOOKUP($AB8,OFFSET([4]characters!$A$1,0,0,COUNTA([4]characters!$A:$A),MATCH(AD$1,[4]characters!$1:$1,0)-MATCH("character_id",[4]characters!$1:$1,0)+1),MATCH(AD$1,[4]characters!$1:$1,0)-MATCH("character_id",[4]characters!$1:$1,0)+1,FALSE)</f>
        <v>3</v>
      </c>
      <c r="AE8" s="2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Drop1N</v>
      </c>
      <c r="AF8" s="76">
        <v>1</v>
      </c>
      <c r="AG8" s="143">
        <f t="shared" ca="1" si="4"/>
        <v>3</v>
      </c>
      <c r="AH8" s="144">
        <v>60</v>
      </c>
      <c r="AI8" s="76">
        <v>0</v>
      </c>
      <c r="AJ8" s="76">
        <v>0</v>
      </c>
      <c r="AK8" s="76">
        <v>0</v>
      </c>
      <c r="AL8" s="76">
        <v>0</v>
      </c>
      <c r="AM8" s="76">
        <v>1</v>
      </c>
      <c r="AN8" s="145">
        <v>1</v>
      </c>
    </row>
    <row r="9" spans="1:40" s="161" customFormat="1" ht="21" customHeight="1" thickBot="1" x14ac:dyDescent="0.2">
      <c r="A9" s="205" t="str">
        <f t="shared" ca="1" si="0"/>
        <v>30021_2-1/367&lt;lv40&gt;s3</v>
      </c>
      <c r="B9" s="147">
        <v>30021</v>
      </c>
      <c r="C9" s="148">
        <v>2</v>
      </c>
      <c r="D9" s="149" t="str">
        <f t="shared" si="1"/>
        <v>30021_2</v>
      </c>
      <c r="E9" s="150" t="str">
        <f ca="1">VLOOKUP($B9,OFFSET([2]quests!$A$1,0,0,COUNTA([2]quests!$A:$A),MATCH(E$1,[2]quests!$1:$1,0)-MATCH($B$1,[2]quests!$1:$1,0)+1),MATCH(E$1,[2]quests!$1:$1,0)-MATCH($B$1,[2]quests!$1:$1,0)+1,FALSE)</f>
        <v>野獣死すべしっ！</v>
      </c>
      <c r="F9" s="150" t="str">
        <f ca="1">VLOOKUP($D9,OFFSET([2]stages!$A$1,0,0,COUNTA([2]stages!$A:$A),MATCH(F$1,[2]stages!$2:$2,0)-MATCH($D$1,[2]stages!$2:$2,0)+1),MATCH(F$1,[2]stages!$2:$2,0)-MATCH($D$1,[2]stages!$2:$2,0)+1,FALSE)</f>
        <v>【上級】野獣死すべしっ！</v>
      </c>
      <c r="G9" s="148">
        <v>1</v>
      </c>
      <c r="H9" s="149" t="str">
        <f t="shared" si="2"/>
        <v>30021_2-1</v>
      </c>
      <c r="I9" s="150">
        <f ca="1">VLOOKUP($H9,OFFSET(floors!$A$1,0,0,COUNTA(floors!$A:$A),MATCH(I$1,floors!$1:$1,0)-MATCH($H$1,floors!$1:$1,0)+1),MATCH(I$1,floors!$1:$1,0)-MATCH($H$1,floors!$1:$1,0)+1,FALSE)</f>
        <v>45</v>
      </c>
      <c r="J9" s="150">
        <f ca="1">VLOOKUP($H9,OFFSET(floors!$A$1,0,0,COUNTA(floors!$A:$A),MATCH(J$1,floors!$1:$1,0)-MATCH($H$1,floors!$1:$1,0)+1),MATCH(J$1,floors!$1:$1,0)-MATCH($H$1,floors!$1:$1,0)+1,FALSE)</f>
        <v>45</v>
      </c>
      <c r="K9" s="151" t="s">
        <v>199</v>
      </c>
      <c r="L9" s="152">
        <v>367</v>
      </c>
      <c r="M9" s="153" t="str">
        <f ca="1">VLOOKUP($L9,OFFSET([3]enemies!$A$1,0,0,COUNTA([3]enemies!$A:$A),MATCH(M$1,[3]enemies!$1:$1,0)-MATCH($L$1,[3]enemies!$1:$1,0)+1),MATCH(M$1,[3]enemies!$1:$1,0)-MATCH($L$1,[3]enemies!$1:$1,0)+1,FALSE)</f>
        <v>爆進の小兵 トト</v>
      </c>
      <c r="N9" s="153" t="str">
        <f ca="1">VLOOKUP($L9,OFFSET([3]enemies!$A$1,0,0,COUNTA([3]enemies!$A:$A),MATCH(N$1,[3]enemies!$1:$1,0)-MATCH($L$1,[3]enemies!$1:$1,0)+1),MATCH(N$1,[3]enemies!$1:$1,0)-MATCH($L$1,[3]enemies!$1:$1,0)+1,FALSE)</f>
        <v>yellow</v>
      </c>
      <c r="O9" s="153" t="str">
        <f ca="1">VLOOKUP($L9,OFFSET([4]characters!$A$1,0,0,COUNTA([4]characters!$A:$A),MATCH(O$1,[4]characters!$1:$1,0)-MATCH($L$1,[4]characters!$1:$1,0)+1),MATCH(O$1,[4]characters!$1:$1,0)-MATCH($L$1,[4]characters!$1:$1,0)+1,FALSE)</f>
        <v>Drop1S</v>
      </c>
      <c r="P9" s="153" t="str">
        <f ca="1">VLOOKUP($L9,OFFSET([3]enemies!$A$1,0,0,COUNTA([3]enemies!$A:$A),MATCH(P$1,[3]enemies!$1:$1,0)-MATCH($L$1,[3]enemies!$1:$1,0)+1),MATCH(P$1,[3]enemies!$1:$1,0)-MATCH($L$1,[3]enemies!$1:$1,0)+1,FALSE)</f>
        <v>animal</v>
      </c>
      <c r="Q9" s="153">
        <f ca="1">VLOOKUP($L9,OFFSET([3]enemies!$A$1,0,0,COUNTA([3]enemies!$A:$A),MATCH(Q$1,[3]enemies!$1:$1,0)-MATCH($L$1,[3]enemies!$1:$1,0)+1),MATCH(Q$1,[3]enemies!$1:$1,0)-MATCH($L$1,[3]enemies!$1:$1,0)+1,FALSE)</f>
        <v>15</v>
      </c>
      <c r="R9" s="154">
        <v>40</v>
      </c>
      <c r="S9" s="155">
        <v>1</v>
      </c>
      <c r="T9" s="155">
        <v>0.8</v>
      </c>
      <c r="U9" s="154">
        <v>0</v>
      </c>
      <c r="V9" s="116" t="str">
        <f ca="1">VLOOKUP($W9,OFFSET(enemy_skill_sets!$B$1,0,0,COUNTA(enemy_skill_sets!$B:$B),MATCH(M$1,enemy_skill_sets!$1:$1,0)-MATCH($W$1,enemy_skill_sets!$1:$1,0)+2),MATCH(M$1,enemy_skill_sets!$1:$1,0)-MATCH($W$1,enemy_skill_sets!$1:$1,0)+2,FALSE)</f>
        <v>クリティカル！</v>
      </c>
      <c r="W9" s="116">
        <v>30021004</v>
      </c>
      <c r="X9" s="156">
        <v>1</v>
      </c>
      <c r="Y9" s="156">
        <v>100</v>
      </c>
      <c r="Z9" s="156">
        <v>0</v>
      </c>
      <c r="AA9" s="153">
        <f ca="1">VLOOKUP($L9,OFFSET([3]enemies!$A$1,0,0,COUNTA([3]enemies!$A:$A),MATCH(AA$1,[3]enemies!$1:$1,0)-MATCH($L$1,[3]enemies!$1:$1,0)+1),MATCH(AA$1,[3]enemies!$1:$1,0)-MATCH($L$1,[3]enemies!$1:$1,0)+1,FALSE)</f>
        <v>3</v>
      </c>
      <c r="AB9" s="157">
        <f t="shared" si="3"/>
        <v>367</v>
      </c>
      <c r="AC9" s="150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爆進の小兵 トト</v>
      </c>
      <c r="AD9" s="150">
        <f ca="1">VLOOKUP($AB9,OFFSET([4]characters!$A$1,0,0,COUNTA([4]characters!$A:$A),MATCH(AD$1,[4]characters!$1:$1,0)-MATCH("character_id",[4]characters!$1:$1,0)+1),MATCH(AD$1,[4]characters!$1:$1,0)-MATCH("character_id",[4]characters!$1:$1,0)+1,FALSE)</f>
        <v>3</v>
      </c>
      <c r="AE9" s="150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Drop1S</v>
      </c>
      <c r="AF9" s="158">
        <v>1</v>
      </c>
      <c r="AG9" s="157">
        <f t="shared" ca="1" si="4"/>
        <v>3</v>
      </c>
      <c r="AH9" s="159">
        <v>60</v>
      </c>
      <c r="AI9" s="158">
        <v>0</v>
      </c>
      <c r="AJ9" s="158">
        <v>0</v>
      </c>
      <c r="AK9" s="158">
        <v>0</v>
      </c>
      <c r="AL9" s="158">
        <v>0</v>
      </c>
      <c r="AM9" s="158">
        <v>1</v>
      </c>
      <c r="AN9" s="160">
        <v>1</v>
      </c>
    </row>
    <row r="10" spans="1:40" s="161" customFormat="1" ht="21" customHeight="1" thickTop="1" thickBot="1" x14ac:dyDescent="0.2">
      <c r="A10" s="205" t="str">
        <f t="shared" ca="1" si="0"/>
        <v>30021_2-2/228&lt;lv40&gt;s1</v>
      </c>
      <c r="B10" s="147">
        <v>30021</v>
      </c>
      <c r="C10" s="223">
        <v>2</v>
      </c>
      <c r="D10" s="224" t="str">
        <f t="shared" si="1"/>
        <v>30021_2</v>
      </c>
      <c r="E10" s="150" t="str">
        <f ca="1">VLOOKUP($B10,OFFSET([2]quests!$A$1,0,0,COUNTA([2]quests!$A:$A),MATCH(E$1,[2]quests!$1:$1,0)-MATCH($B$1,[2]quests!$1:$1,0)+1),MATCH(E$1,[2]quests!$1:$1,0)-MATCH($B$1,[2]quests!$1:$1,0)+1,FALSE)</f>
        <v>野獣死すべしっ！</v>
      </c>
      <c r="F10" s="150" t="str">
        <f ca="1">VLOOKUP($D10,OFFSET([2]stages!$A$1,0,0,COUNTA([2]stages!$A:$A),MATCH(F$1,[2]stages!$2:$2,0)-MATCH($D$1,[2]stages!$2:$2,0)+1),MATCH(F$1,[2]stages!$2:$2,0)-MATCH($D$1,[2]stages!$2:$2,0)+1,FALSE)</f>
        <v>【上級】野獣死すべしっ！</v>
      </c>
      <c r="G10" s="223">
        <v>2</v>
      </c>
      <c r="H10" s="224" t="str">
        <f t="shared" si="2"/>
        <v>30021_2-2</v>
      </c>
      <c r="I10" s="150">
        <f ca="1">VLOOKUP($H10,OFFSET(floors!$A$1,0,0,COUNTA(floors!$A:$A),MATCH(I$1,floors!$1:$1,0)-MATCH($H$1,floors!$1:$1,0)+1),MATCH(I$1,floors!$1:$1,0)-MATCH($H$1,floors!$1:$1,0)+1,FALSE)</f>
        <v>60</v>
      </c>
      <c r="J10" s="150">
        <f ca="1">VLOOKUP($H10,OFFSET(floors!$A$1,0,0,COUNTA(floors!$A:$A),MATCH(J$1,floors!$1:$1,0)-MATCH($H$1,floors!$1:$1,0)+1),MATCH(J$1,floors!$1:$1,0)-MATCH($H$1,floors!$1:$1,0)+1,FALSE)</f>
        <v>60</v>
      </c>
      <c r="K10" s="225">
        <v>1</v>
      </c>
      <c r="L10" s="226">
        <v>228</v>
      </c>
      <c r="M10" s="153" t="str">
        <f ca="1">VLOOKUP($L10,OFFSET([3]enemies!$A$1,0,0,COUNTA([3]enemies!$A:$A),MATCH(M$1,[3]enemies!$1:$1,0)-MATCH($L$1,[3]enemies!$1:$1,0)+1),MATCH(M$1,[3]enemies!$1:$1,0)-MATCH($L$1,[3]enemies!$1:$1,0)+1,FALSE)</f>
        <v>殲滅の掃射砲 アレス</v>
      </c>
      <c r="N10" s="153" t="str">
        <f ca="1">VLOOKUP($L10,OFFSET([3]enemies!$A$1,0,0,COUNTA([3]enemies!$A:$A),MATCH(N$1,[3]enemies!$1:$1,0)-MATCH($L$1,[3]enemies!$1:$1,0)+1),MATCH(N$1,[3]enemies!$1:$1,0)-MATCH($L$1,[3]enemies!$1:$1,0)+1,FALSE)</f>
        <v>red</v>
      </c>
      <c r="O10" s="153" t="str">
        <f ca="1">VLOOKUP($L10,OFFSET([4]characters!$A$1,0,0,COUNTA([4]characters!$A:$A),MATCH(O$1,[4]characters!$1:$1,0)-MATCH($L$1,[4]characters!$1:$1,0)+1),MATCH(O$1,[4]characters!$1:$1,0)-MATCH($L$1,[4]characters!$1:$1,0)+1,FALSE)</f>
        <v>PremiumS</v>
      </c>
      <c r="P10" s="153" t="str">
        <f ca="1">VLOOKUP($L10,OFFSET([3]enemies!$A$1,0,0,COUNTA([3]enemies!$A:$A),MATCH(P$1,[3]enemies!$1:$1,0)-MATCH($L$1,[3]enemies!$1:$1,0)+1),MATCH(P$1,[3]enemies!$1:$1,0)-MATCH($L$1,[3]enemies!$1:$1,0)+1,FALSE)</f>
        <v>god</v>
      </c>
      <c r="Q10" s="153">
        <f ca="1">VLOOKUP($L10,OFFSET([3]enemies!$A$1,0,0,COUNTA([3]enemies!$A:$A),MATCH(Q$1,[3]enemies!$1:$1,0)-MATCH($L$1,[3]enemies!$1:$1,0)+1),MATCH(Q$1,[3]enemies!$1:$1,0)-MATCH($L$1,[3]enemies!$1:$1,0)+1,FALSE)</f>
        <v>60</v>
      </c>
      <c r="R10" s="227">
        <v>40</v>
      </c>
      <c r="S10" s="228">
        <v>1.3</v>
      </c>
      <c r="T10" s="228">
        <v>0.9</v>
      </c>
      <c r="U10" s="227">
        <v>0</v>
      </c>
      <c r="V10" s="116" t="str">
        <f ca="1">VLOOKUP($W10,OFFSET(enemy_skill_sets!$B$1,0,0,COUNTA(enemy_skill_sets!$B:$B),MATCH(M$1,enemy_skill_sets!$1:$1,0)-MATCH($W$1,enemy_skill_sets!$1:$1,0)+2),MATCH(M$1,enemy_skill_sets!$1:$1,0)-MATCH($W$1,enemy_skill_sets!$1:$1,0)+2,FALSE)</f>
        <v>状態異常無効</v>
      </c>
      <c r="W10" s="116">
        <v>30021005</v>
      </c>
      <c r="X10" s="229">
        <v>1</v>
      </c>
      <c r="Y10" s="229">
        <v>100</v>
      </c>
      <c r="Z10" s="229">
        <v>1</v>
      </c>
      <c r="AA10" s="153">
        <f ca="1">VLOOKUP($L10,OFFSET([3]enemies!$A$1,0,0,COUNTA([3]enemies!$A:$A),MATCH(AA$1,[3]enemies!$1:$1,0)-MATCH($L$1,[3]enemies!$1:$1,0)+1),MATCH(AA$1,[3]enemies!$1:$1,0)-MATCH($L$1,[3]enemies!$1:$1,0)+1,FALSE)</f>
        <v>1</v>
      </c>
      <c r="AB10" s="230">
        <f t="shared" si="3"/>
        <v>228</v>
      </c>
      <c r="AC10" s="150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殲滅の掃射砲 アレス</v>
      </c>
      <c r="AD10" s="150">
        <f ca="1">VLOOKUP($AB10,OFFSET([4]characters!$A$1,0,0,COUNTA([4]characters!$A:$A),MATCH(AD$1,[4]characters!$1:$1,0)-MATCH("character_id",[4]characters!$1:$1,0)+1),MATCH(AD$1,[4]characters!$1:$1,0)-MATCH("character_id",[4]characters!$1:$1,0)+1,FALSE)</f>
        <v>5</v>
      </c>
      <c r="AE10" s="150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10" s="231">
        <v>1</v>
      </c>
      <c r="AG10" s="230">
        <f t="shared" ca="1" si="4"/>
        <v>5</v>
      </c>
      <c r="AH10" s="232">
        <v>0</v>
      </c>
      <c r="AI10" s="231">
        <v>0</v>
      </c>
      <c r="AJ10" s="231">
        <v>0</v>
      </c>
      <c r="AK10" s="231">
        <v>0</v>
      </c>
      <c r="AL10" s="231">
        <v>0</v>
      </c>
      <c r="AM10" s="231">
        <v>1</v>
      </c>
      <c r="AN10" s="233">
        <v>1</v>
      </c>
    </row>
    <row r="11" spans="1:40" ht="21" customHeight="1" thickTop="1" thickBot="1" x14ac:dyDescent="0.2">
      <c r="A11" s="9" t="str">
        <f t="shared" ca="1" si="0"/>
        <v>30021_2-3/32&lt;lv40&gt;s5</v>
      </c>
      <c r="B11" s="112">
        <v>30021</v>
      </c>
      <c r="C11" s="212">
        <v>2</v>
      </c>
      <c r="D11" s="213" t="str">
        <f t="shared" si="1"/>
        <v>30021_2</v>
      </c>
      <c r="E11" s="113" t="str">
        <f ca="1">VLOOKUP($B11,OFFSET([2]quests!$A$1,0,0,COUNTA([2]quests!$A:$A),MATCH(E$1,[2]quests!$1:$1,0)-MATCH($B$1,[2]quests!$1:$1,0)+1),MATCH(E$1,[2]quests!$1:$1,0)-MATCH($B$1,[2]quests!$1:$1,0)+1,FALSE)</f>
        <v>野獣死すべしっ！</v>
      </c>
      <c r="F11" s="113" t="str">
        <f ca="1">VLOOKUP($D11,OFFSET([2]stages!$A$1,0,0,COUNTA([2]stages!$A:$A),MATCH(F$1,[2]stages!$2:$2,0)-MATCH($D$1,[2]stages!$2:$2,0)+1),MATCH(F$1,[2]stages!$2:$2,0)-MATCH($D$1,[2]stages!$2:$2,0)+1,FALSE)</f>
        <v>【上級】野獣死すべしっ！</v>
      </c>
      <c r="G11" s="212">
        <v>3</v>
      </c>
      <c r="H11" s="213" t="str">
        <f t="shared" si="2"/>
        <v>30021_2-3</v>
      </c>
      <c r="I11" s="113">
        <f ca="1">VLOOKUP($H11,OFFSET(floors!$A$1,0,0,COUNTA(floors!$A:$A),MATCH(I$1,floors!$1:$1,0)-MATCH($H$1,floors!$1:$1,0)+1),MATCH(I$1,floors!$1:$1,0)-MATCH($H$1,floors!$1:$1,0)+1,FALSE)</f>
        <v>30</v>
      </c>
      <c r="J11" s="113">
        <f ca="1">VLOOKUP($H11,OFFSET(floors!$A$1,0,0,COUNTA(floors!$A:$A),MATCH(J$1,floors!$1:$1,0)-MATCH($H$1,floors!$1:$1,0)+1),MATCH(J$1,floors!$1:$1,0)-MATCH($H$1,floors!$1:$1,0)+1,FALSE)</f>
        <v>30</v>
      </c>
      <c r="K11" s="214" t="s">
        <v>200</v>
      </c>
      <c r="L11" s="215">
        <v>32</v>
      </c>
      <c r="M11" s="114" t="str">
        <f ca="1">VLOOKUP($L11,OFFSET([3]enemies!$A$1,0,0,COUNTA([3]enemies!$A:$A),MATCH(M$1,[3]enemies!$1:$1,0)-MATCH($L$1,[3]enemies!$1:$1,0)+1),MATCH(M$1,[3]enemies!$1:$1,0)-MATCH($L$1,[3]enemies!$1:$1,0)+1,FALSE)</f>
        <v>沈黙のジャミング マービー</v>
      </c>
      <c r="N11" s="114" t="str">
        <f ca="1">VLOOKUP($L11,OFFSET([3]enemies!$A$1,0,0,COUNTA([3]enemies!$A:$A),MATCH(N$1,[3]enemies!$1:$1,0)-MATCH($L$1,[3]enemies!$1:$1,0)+1),MATCH(N$1,[3]enemies!$1:$1,0)-MATCH($L$1,[3]enemies!$1:$1,0)+1,FALSE)</f>
        <v>yellow</v>
      </c>
      <c r="O11" s="114" t="str">
        <f ca="1">VLOOKUP($L11,OFFSET([4]characters!$A$1,0,0,COUNTA([4]characters!$A:$A),MATCH(O$1,[4]characters!$1:$1,0)-MATCH($L$1,[4]characters!$1:$1,0)+1),MATCH(O$1,[4]characters!$1:$1,0)-MATCH($L$1,[4]characters!$1:$1,0)+1,FALSE)</f>
        <v>Drop1N</v>
      </c>
      <c r="P11" s="114" t="str">
        <f ca="1">VLOOKUP($L11,OFFSET([3]enemies!$A$1,0,0,COUNTA([3]enemies!$A:$A),MATCH(P$1,[3]enemies!$1:$1,0)-MATCH($L$1,[3]enemies!$1:$1,0)+1),MATCH(P$1,[3]enemies!$1:$1,0)-MATCH($L$1,[3]enemies!$1:$1,0)+1,FALSE)</f>
        <v>machine</v>
      </c>
      <c r="Q11" s="114">
        <f ca="1">VLOOKUP($L11,OFFSET([3]enemies!$A$1,0,0,COUNTA([3]enemies!$A:$A),MATCH(Q$1,[3]enemies!$1:$1,0)-MATCH($L$1,[3]enemies!$1:$1,0)+1),MATCH(Q$1,[3]enemies!$1:$1,0)-MATCH($L$1,[3]enemies!$1:$1,0)+1,FALSE)</f>
        <v>15</v>
      </c>
      <c r="R11" s="216">
        <v>40</v>
      </c>
      <c r="S11" s="217">
        <v>1.3</v>
      </c>
      <c r="T11" s="198">
        <v>1</v>
      </c>
      <c r="U11" s="216">
        <v>0</v>
      </c>
      <c r="V11" s="116" t="str">
        <f ca="1">VLOOKUP($W11,OFFSET(enemy_skill_sets!$B$1,0,0,COUNTA(enemy_skill_sets!$B:$B),MATCH(M$1,enemy_skill_sets!$1:$1,0)-MATCH($W$1,enemy_skill_sets!$1:$1,0)+2),MATCH(M$1,enemy_skill_sets!$1:$1,0)-MATCH($W$1,enemy_skill_sets!$1:$1,0)+2,FALSE)</f>
        <v>1ターンカウンター&amp;3ターン防御UP</v>
      </c>
      <c r="W11" s="116">
        <v>30021008</v>
      </c>
      <c r="X11" s="218">
        <v>1</v>
      </c>
      <c r="Y11" s="218">
        <v>100</v>
      </c>
      <c r="Z11" s="218">
        <v>0</v>
      </c>
      <c r="AA11" s="114">
        <f ca="1">VLOOKUP($L11,OFFSET([3]enemies!$A$1,0,0,COUNTA([3]enemies!$A:$A),MATCH(AA$1,[3]enemies!$1:$1,0)-MATCH($L$1,[3]enemies!$1:$1,0)+1),MATCH(AA$1,[3]enemies!$1:$1,0)-MATCH($L$1,[3]enemies!$1:$1,0)+1,FALSE)</f>
        <v>5</v>
      </c>
      <c r="AB11" s="219">
        <f t="shared" si="3"/>
        <v>32</v>
      </c>
      <c r="AC11" s="113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沈黙のジャミング マービー</v>
      </c>
      <c r="AD11" s="113">
        <f ca="1">VLOOKUP($AB11,OFFSET([4]characters!$A$1,0,0,COUNTA([4]characters!$A:$A),MATCH(AD$1,[4]characters!$1:$1,0)-MATCH("character_id",[4]characters!$1:$1,0)+1),MATCH(AD$1,[4]characters!$1:$1,0)-MATCH("character_id",[4]characters!$1:$1,0)+1,FALSE)</f>
        <v>2</v>
      </c>
      <c r="AE11" s="113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Drop1N</v>
      </c>
      <c r="AF11" s="220">
        <v>1</v>
      </c>
      <c r="AG11" s="219">
        <f t="shared" ca="1" si="4"/>
        <v>2</v>
      </c>
      <c r="AH11" s="221">
        <v>60</v>
      </c>
      <c r="AI11" s="220">
        <v>0</v>
      </c>
      <c r="AJ11" s="220">
        <v>0</v>
      </c>
      <c r="AK11" s="220">
        <v>0</v>
      </c>
      <c r="AL11" s="220">
        <v>0</v>
      </c>
      <c r="AM11" s="220">
        <v>1</v>
      </c>
      <c r="AN11" s="222">
        <v>1</v>
      </c>
    </row>
    <row r="12" spans="1:40" s="211" customFormat="1" ht="21" customHeight="1" thickBot="1" x14ac:dyDescent="0.2">
      <c r="A12" s="206" t="str">
        <f t="shared" ca="1" si="0"/>
        <v>30021_2-3/14&lt;lv40&gt;s2</v>
      </c>
      <c r="B12" s="207">
        <v>30021</v>
      </c>
      <c r="C12" s="148">
        <v>2</v>
      </c>
      <c r="D12" s="149" t="str">
        <f t="shared" si="1"/>
        <v>30021_2</v>
      </c>
      <c r="E12" s="208" t="str">
        <f ca="1">VLOOKUP($B12,OFFSET([2]quests!$A$1,0,0,COUNTA([2]quests!$A:$A),MATCH(E$1,[2]quests!$1:$1,0)-MATCH($B$1,[2]quests!$1:$1,0)+1),MATCH(E$1,[2]quests!$1:$1,0)-MATCH($B$1,[2]quests!$1:$1,0)+1,FALSE)</f>
        <v>野獣死すべしっ！</v>
      </c>
      <c r="F12" s="208" t="str">
        <f ca="1">VLOOKUP($D12,OFFSET([2]stages!$A$1,0,0,COUNTA([2]stages!$A:$A),MATCH(F$1,[2]stages!$2:$2,0)-MATCH($D$1,[2]stages!$2:$2,0)+1),MATCH(F$1,[2]stages!$2:$2,0)-MATCH($D$1,[2]stages!$2:$2,0)+1,FALSE)</f>
        <v>【上級】野獣死すべしっ！</v>
      </c>
      <c r="G12" s="148">
        <v>3</v>
      </c>
      <c r="H12" s="149" t="str">
        <f t="shared" si="2"/>
        <v>30021_2-3</v>
      </c>
      <c r="I12" s="208">
        <f ca="1">VLOOKUP($H12,OFFSET(floors!$A$1,0,0,COUNTA(floors!$A:$A),MATCH(I$1,floors!$1:$1,0)-MATCH($H$1,floors!$1:$1,0)+1),MATCH(I$1,floors!$1:$1,0)-MATCH($H$1,floors!$1:$1,0)+1,FALSE)</f>
        <v>30</v>
      </c>
      <c r="J12" s="208">
        <f ca="1">VLOOKUP($H12,OFFSET(floors!$A$1,0,0,COUNTA(floors!$A:$A),MATCH(J$1,floors!$1:$1,0)-MATCH($H$1,floors!$1:$1,0)+1),MATCH(J$1,floors!$1:$1,0)-MATCH($H$1,floors!$1:$1,0)+1,FALSE)</f>
        <v>30</v>
      </c>
      <c r="K12" s="151" t="s">
        <v>200</v>
      </c>
      <c r="L12" s="152">
        <v>14</v>
      </c>
      <c r="M12" s="209" t="str">
        <f ca="1">VLOOKUP($L12,OFFSET([3]enemies!$A$1,0,0,COUNTA([3]enemies!$A:$A),MATCH(M$1,[3]enemies!$1:$1,0)-MATCH($L$1,[3]enemies!$1:$1,0)+1),MATCH(M$1,[3]enemies!$1:$1,0)-MATCH($L$1,[3]enemies!$1:$1,0)+1,FALSE)</f>
        <v>ミミ・ザ・ガンマンキャット</v>
      </c>
      <c r="N12" s="209" t="str">
        <f ca="1">VLOOKUP($L12,OFFSET([3]enemies!$A$1,0,0,COUNTA([3]enemies!$A:$A),MATCH(N$1,[3]enemies!$1:$1,0)-MATCH($L$1,[3]enemies!$1:$1,0)+1),MATCH(N$1,[3]enemies!$1:$1,0)-MATCH($L$1,[3]enemies!$1:$1,0)+1,FALSE)</f>
        <v>yellow</v>
      </c>
      <c r="O12" s="209" t="str">
        <f ca="1">VLOOKUP($L12,OFFSET([4]characters!$A$1,0,0,COUNTA([4]characters!$A:$A),MATCH(O$1,[4]characters!$1:$1,0)-MATCH($L$1,[4]characters!$1:$1,0)+1),MATCH(O$1,[4]characters!$1:$1,0)-MATCH($L$1,[4]characters!$1:$1,0)+1,FALSE)</f>
        <v>Drop1W</v>
      </c>
      <c r="P12" s="209" t="str">
        <f ca="1">VLOOKUP($L12,OFFSET([3]enemies!$A$1,0,0,COUNTA([3]enemies!$A:$A),MATCH(P$1,[3]enemies!$1:$1,0)-MATCH($L$1,[3]enemies!$1:$1,0)+1),MATCH(P$1,[3]enemies!$1:$1,0)-MATCH($L$1,[3]enemies!$1:$1,0)+1,FALSE)</f>
        <v>animal</v>
      </c>
      <c r="Q12" s="209">
        <f ca="1">VLOOKUP($L12,OFFSET([3]enemies!$A$1,0,0,COUNTA([3]enemies!$A:$A),MATCH(Q$1,[3]enemies!$1:$1,0)-MATCH($L$1,[3]enemies!$1:$1,0)+1),MATCH(Q$1,[3]enemies!$1:$1,0)-MATCH($L$1,[3]enemies!$1:$1,0)+1,FALSE)</f>
        <v>15</v>
      </c>
      <c r="R12" s="154">
        <v>40</v>
      </c>
      <c r="S12" s="155">
        <v>1.5</v>
      </c>
      <c r="T12" s="155">
        <v>0.9</v>
      </c>
      <c r="U12" s="154">
        <v>0</v>
      </c>
      <c r="V12" s="116" t="str">
        <f ca="1">VLOOKUP($W12,OFFSET(enemy_skill_sets!$B$1,0,0,COUNTA(enemy_skill_sets!$B:$B),MATCH(M$1,enemy_skill_sets!$1:$1,0)-MATCH($W$1,enemy_skill_sets!$1:$1,0)+2),MATCH(M$1,enemy_skill_sets!$1:$1,0)-MATCH($W$1,enemy_skill_sets!$1:$1,0)+2,FALSE)</f>
        <v>クリティカル！</v>
      </c>
      <c r="W12" s="116">
        <v>30021009</v>
      </c>
      <c r="X12" s="210">
        <v>1</v>
      </c>
      <c r="Y12" s="210">
        <v>100</v>
      </c>
      <c r="Z12" s="210">
        <v>0</v>
      </c>
      <c r="AA12" s="209">
        <f ca="1">VLOOKUP($L12,OFFSET([3]enemies!$A$1,0,0,COUNTA([3]enemies!$A:$A),MATCH(AA$1,[3]enemies!$1:$1,0)-MATCH($L$1,[3]enemies!$1:$1,0)+1),MATCH(AA$1,[3]enemies!$1:$1,0)-MATCH($L$1,[3]enemies!$1:$1,0)+1,FALSE)</f>
        <v>2</v>
      </c>
      <c r="AB12" s="157">
        <f t="shared" si="3"/>
        <v>14</v>
      </c>
      <c r="AC12" s="208" t="str">
        <f ca="1">VLOOKUP($AB12,OFFSET([4]characters!$A$1,0,0,COUNTA([4]characters!$A:$A),MATCH(AC$1,[4]characters!$1:$1,0)-MATCH("character_id",[4]characters!$1:$1,0)+1),MATCH(AC$1,[4]characters!$1:$1,0)-MATCH("character_id",[4]characters!$1:$1,0)+1,FALSE)</f>
        <v>ミミ・ザ・ガンマンキャット</v>
      </c>
      <c r="AD12" s="208">
        <f ca="1">VLOOKUP($AB12,OFFSET([4]characters!$A$1,0,0,COUNTA([4]characters!$A:$A),MATCH(AD$1,[4]characters!$1:$1,0)-MATCH("character_id",[4]characters!$1:$1,0)+1),MATCH(AD$1,[4]characters!$1:$1,0)-MATCH("character_id",[4]characters!$1:$1,0)+1,FALSE)</f>
        <v>2</v>
      </c>
      <c r="AE12" s="208" t="str">
        <f ca="1">VLOOKUP($AB12,OFFSET([4]characters!$A$1,0,0,COUNTA([4]characters!$A:$A),MATCH(AE$1,[4]characters!$1:$1,0)-MATCH("character_id",[4]characters!$1:$1,0)+1),MATCH(AE$1,[4]characters!$1:$1,0)-MATCH("character_id",[4]characters!$1:$1,0)+1,FALSE)</f>
        <v>Drop1W</v>
      </c>
      <c r="AF12" s="158">
        <v>1</v>
      </c>
      <c r="AG12" s="157">
        <f t="shared" ca="1" si="4"/>
        <v>2</v>
      </c>
      <c r="AH12" s="159">
        <v>60</v>
      </c>
      <c r="AI12" s="158">
        <v>0</v>
      </c>
      <c r="AJ12" s="158">
        <v>0</v>
      </c>
      <c r="AK12" s="158">
        <v>0</v>
      </c>
      <c r="AL12" s="158">
        <v>0</v>
      </c>
      <c r="AM12" s="158">
        <v>1</v>
      </c>
      <c r="AN12" s="160">
        <v>1</v>
      </c>
    </row>
    <row r="13" spans="1:40" ht="21" customHeight="1" thickTop="1" thickBot="1" x14ac:dyDescent="0.2">
      <c r="A13" s="9" t="str">
        <f t="shared" si="0"/>
        <v>30021_2-4/502&lt;lv43&gt;s2</v>
      </c>
      <c r="B13" s="112">
        <v>30021</v>
      </c>
      <c r="C13" s="212">
        <v>2</v>
      </c>
      <c r="D13" s="213" t="str">
        <f t="shared" si="1"/>
        <v>30021_2</v>
      </c>
      <c r="E13" s="113" t="str">
        <f ca="1">VLOOKUP($B13,OFFSET([2]quests!$A$1,0,0,COUNTA([2]quests!$A:$A),MATCH(E$1,[2]quests!$1:$1,0)-MATCH($B$1,[2]quests!$1:$1,0)+1),MATCH(E$1,[2]quests!$1:$1,0)-MATCH($B$1,[2]quests!$1:$1,0)+1,FALSE)</f>
        <v>野獣死すべしっ！</v>
      </c>
      <c r="F13" s="113" t="str">
        <f ca="1">VLOOKUP($D13,OFFSET([2]stages!$A$1,0,0,COUNTA([2]stages!$A:$A),MATCH(F$1,[2]stages!$2:$2,0)-MATCH($D$1,[2]stages!$2:$2,0)+1),MATCH(F$1,[2]stages!$2:$2,0)-MATCH($D$1,[2]stages!$2:$2,0)+1,FALSE)</f>
        <v>【上級】野獣死すべしっ！</v>
      </c>
      <c r="G13" s="212">
        <v>4</v>
      </c>
      <c r="H13" s="213" t="str">
        <f t="shared" si="2"/>
        <v>30021_2-4</v>
      </c>
      <c r="I13" s="113">
        <f ca="1">VLOOKUP($H13,OFFSET(floors!$A$1,0,0,COUNTA(floors!$A:$A),MATCH(I$1,floors!$1:$1,0)-MATCH($H$1,floors!$1:$1,0)+1),MATCH(I$1,floors!$1:$1,0)-MATCH($H$1,floors!$1:$1,0)+1,FALSE)</f>
        <v>60</v>
      </c>
      <c r="J13" s="113">
        <f ca="1">VLOOKUP($H13,OFFSET(floors!$A$1,0,0,COUNTA(floors!$A:$A),MATCH(J$1,floors!$1:$1,0)-MATCH($H$1,floors!$1:$1,0)+1),MATCH(J$1,floors!$1:$1,0)-MATCH($H$1,floors!$1:$1,0)+1,FALSE)</f>
        <v>60</v>
      </c>
      <c r="K13" s="214">
        <v>2</v>
      </c>
      <c r="L13" s="215">
        <v>502</v>
      </c>
      <c r="M13" s="114" t="str">
        <f ca="1">VLOOKUP($L13,OFFSET([3]enemies!$A$1,0,0,COUNTA([3]enemies!$A:$A),MATCH(M$1,[3]enemies!$1:$1,0)-MATCH($L$1,[3]enemies!$1:$1,0)+1),MATCH(M$1,[3]enemies!$1:$1,0)-MATCH($L$1,[3]enemies!$1:$1,0)+1,FALSE)</f>
        <v>テラベル</v>
      </c>
      <c r="N13" s="114" t="str">
        <f ca="1">VLOOKUP($L13,OFFSET([3]enemies!$A$1,0,0,COUNTA([3]enemies!$A:$A),MATCH(N$1,[3]enemies!$1:$1,0)-MATCH($L$1,[3]enemies!$1:$1,0)+1),MATCH(N$1,[3]enemies!$1:$1,0)-MATCH($L$1,[3]enemies!$1:$1,0)+1,FALSE)</f>
        <v>red</v>
      </c>
      <c r="O13" s="114" t="str">
        <f ca="1">VLOOKUP($L13,OFFSET([4]characters!$A$1,0,0,COUNTA([4]characters!$A:$A),MATCH(O$1,[4]characters!$1:$1,0)-MATCH($L$1,[4]characters!$1:$1,0)+1),MATCH(O$1,[4]characters!$1:$1,0)-MATCH($L$1,[4]characters!$1:$1,0)+1,FALSE)</f>
        <v>Drop2N</v>
      </c>
      <c r="P13" s="114" t="str">
        <f ca="1">VLOOKUP($L13,OFFSET([3]enemies!$A$1,0,0,COUNTA([3]enemies!$A:$A),MATCH(P$1,[3]enemies!$1:$1,0)-MATCH($L$1,[3]enemies!$1:$1,0)+1),MATCH(P$1,[3]enemies!$1:$1,0)-MATCH($L$1,[3]enemies!$1:$1,0)+1,FALSE)</f>
        <v>human</v>
      </c>
      <c r="Q13" s="114">
        <f ca="1">VLOOKUP($L13,OFFSET([3]enemies!$A$1,0,0,COUNTA([3]enemies!$A:$A),MATCH(Q$1,[3]enemies!$1:$1,0)-MATCH($L$1,[3]enemies!$1:$1,0)+1),MATCH(Q$1,[3]enemies!$1:$1,0)-MATCH($L$1,[3]enemies!$1:$1,0)+1,FALSE)</f>
        <v>30</v>
      </c>
      <c r="R13" s="216">
        <v>43</v>
      </c>
      <c r="S13" s="217">
        <v>2</v>
      </c>
      <c r="T13" s="217">
        <v>0.9</v>
      </c>
      <c r="U13" s="216">
        <v>0</v>
      </c>
      <c r="V13" s="116" t="str">
        <f ca="1">VLOOKUP($W13,OFFSET(enemy_skill_sets!$B$1,0,0,COUNTA(enemy_skill_sets!$B:$B),MATCH(M$1,enemy_skill_sets!$1:$1,0)-MATCH($W$1,enemy_skill_sets!$1:$1,0)+2),MATCH(M$1,enemy_skill_sets!$1:$1,0)-MATCH($W$1,enemy_skill_sets!$1:$1,0)+2,FALSE)</f>
        <v>エスタブの姿に驚いている</v>
      </c>
      <c r="W13" s="116">
        <v>30021014</v>
      </c>
      <c r="X13" s="218">
        <v>1</v>
      </c>
      <c r="Y13" s="218">
        <v>100</v>
      </c>
      <c r="Z13" s="218">
        <v>1</v>
      </c>
      <c r="AA13" s="321">
        <v>2</v>
      </c>
      <c r="AB13" s="219">
        <f t="shared" si="3"/>
        <v>502</v>
      </c>
      <c r="AC13" s="113" t="str">
        <f ca="1">VLOOKUP($AB13,OFFSET([4]characters!$A$1,0,0,COUNTA([4]characters!$A:$A),MATCH(AC$1,[4]characters!$1:$1,0)-MATCH("character_id",[4]characters!$1:$1,0)+1),MATCH(AC$1,[4]characters!$1:$1,0)-MATCH("character_id",[4]characters!$1:$1,0)+1,FALSE)</f>
        <v>テラベル</v>
      </c>
      <c r="AD13" s="113">
        <f ca="1">VLOOKUP($AB13,OFFSET([4]characters!$A$1,0,0,COUNTA([4]characters!$A:$A),MATCH(AD$1,[4]characters!$1:$1,0)-MATCH("character_id",[4]characters!$1:$1,0)+1),MATCH(AD$1,[4]characters!$1:$1,0)-MATCH("character_id",[4]characters!$1:$1,0)+1,FALSE)</f>
        <v>4</v>
      </c>
      <c r="AE13" s="113" t="str">
        <f ca="1">VLOOKUP($AB13,OFFSET([4]characters!$A$1,0,0,COUNTA([4]characters!$A:$A),MATCH(AE$1,[4]characters!$1:$1,0)-MATCH("character_id",[4]characters!$1:$1,0)+1),MATCH(AE$1,[4]characters!$1:$1,0)-MATCH("character_id",[4]characters!$1:$1,0)+1,FALSE)</f>
        <v>Drop2N</v>
      </c>
      <c r="AF13" s="220">
        <v>1</v>
      </c>
      <c r="AG13" s="219">
        <f t="shared" ca="1" si="4"/>
        <v>4</v>
      </c>
      <c r="AH13" s="221">
        <v>50</v>
      </c>
      <c r="AI13" s="220">
        <v>0</v>
      </c>
      <c r="AJ13" s="220">
        <v>0</v>
      </c>
      <c r="AK13" s="220">
        <v>0</v>
      </c>
      <c r="AL13" s="220">
        <v>0</v>
      </c>
      <c r="AM13" s="220">
        <v>1</v>
      </c>
      <c r="AN13" s="222">
        <v>1</v>
      </c>
    </row>
    <row r="14" spans="1:40" s="125" customFormat="1" ht="21" customHeight="1" thickBot="1" x14ac:dyDescent="0.2">
      <c r="A14" s="82" t="str">
        <f t="shared" ca="1" si="0"/>
        <v>30021_3-1/50&lt;lv60&gt;s2</v>
      </c>
      <c r="B14" s="235">
        <v>30021</v>
      </c>
      <c r="C14" s="236">
        <v>3</v>
      </c>
      <c r="D14" s="237" t="str">
        <f t="shared" si="1"/>
        <v>30021_3</v>
      </c>
      <c r="E14" s="238" t="str">
        <f ca="1">VLOOKUP($B14,OFFSET([2]quests!$A$1,0,0,COUNTA([2]quests!$A:$A),MATCH(E$1,[2]quests!$1:$1,0)-MATCH($B$1,[2]quests!$1:$1,0)+1),MATCH(E$1,[2]quests!$1:$1,0)-MATCH($B$1,[2]quests!$1:$1,0)+1,FALSE)</f>
        <v>野獣死すべしっ！</v>
      </c>
      <c r="F14" s="238" t="str">
        <f ca="1">VLOOKUP($D14,OFFSET([2]stages!$A$1,0,0,COUNTA([2]stages!$A:$A),MATCH(F$1,[2]stages!$2:$2,0)-MATCH($D$1,[2]stages!$2:$2,0)+1),MATCH(F$1,[2]stages!$2:$2,0)-MATCH($D$1,[2]stages!$2:$2,0)+1,FALSE)</f>
        <v>【超級】野獣死すべしっ！</v>
      </c>
      <c r="G14" s="236">
        <v>1</v>
      </c>
      <c r="H14" s="237" t="str">
        <f t="shared" si="2"/>
        <v>30021_3-1</v>
      </c>
      <c r="I14" s="238">
        <f ca="1">VLOOKUP($H14,OFFSET(floors!$A$1,0,0,COUNTA(floors!$A:$A),MATCH(I$1,floors!$1:$1,0)-MATCH($H$1,floors!$1:$1,0)+1),MATCH(I$1,floors!$1:$1,0)-MATCH($H$1,floors!$1:$1,0)+1,FALSE)</f>
        <v>45</v>
      </c>
      <c r="J14" s="238">
        <f ca="1">VLOOKUP($H14,OFFSET(floors!$A$1,0,0,COUNTA(floors!$A:$A),MATCH(J$1,floors!$1:$1,0)-MATCH($H$1,floors!$1:$1,0)+1),MATCH(J$1,floors!$1:$1,0)-MATCH($H$1,floors!$1:$1,0)+1,FALSE)</f>
        <v>45</v>
      </c>
      <c r="K14" s="239" t="s">
        <v>53</v>
      </c>
      <c r="L14" s="240">
        <v>50</v>
      </c>
      <c r="M14" s="241" t="str">
        <f ca="1">VLOOKUP($L14,OFFSET([3]enemies!$A$1,0,0,COUNTA([3]enemies!$A:$A),MATCH(M$1,[3]enemies!$1:$1,0)-MATCH($L$1,[3]enemies!$1:$1,0)+1),MATCH(M$1,[3]enemies!$1:$1,0)-MATCH($L$1,[3]enemies!$1:$1,0)+1,FALSE)</f>
        <v>炎銃のレジスタンス ヨシタカ</v>
      </c>
      <c r="N14" s="241" t="str">
        <f ca="1">VLOOKUP($L14,OFFSET([3]enemies!$A$1,0,0,COUNTA([3]enemies!$A:$A),MATCH(N$1,[3]enemies!$1:$1,0)-MATCH($L$1,[3]enemies!$1:$1,0)+1),MATCH(N$1,[3]enemies!$1:$1,0)-MATCH($L$1,[3]enemies!$1:$1,0)+1,FALSE)</f>
        <v>red</v>
      </c>
      <c r="O14" s="241" t="str">
        <f ca="1">VLOOKUP($L14,OFFSET([4]characters!$A$1,0,0,COUNTA([4]characters!$A:$A),MATCH(O$1,[4]characters!$1:$1,0)-MATCH($L$1,[4]characters!$1:$1,0)+1),MATCH(O$1,[4]characters!$1:$1,0)-MATCH($L$1,[4]characters!$1:$1,0)+1,FALSE)</f>
        <v>Drop1N</v>
      </c>
      <c r="P14" s="241" t="str">
        <f ca="1">VLOOKUP($L14,OFFSET([3]enemies!$A$1,0,0,COUNTA([3]enemies!$A:$A),MATCH(P$1,[3]enemies!$1:$1,0)-MATCH($L$1,[3]enemies!$1:$1,0)+1),MATCH(P$1,[3]enemies!$1:$1,0)-MATCH($L$1,[3]enemies!$1:$1,0)+1,FALSE)</f>
        <v>human</v>
      </c>
      <c r="Q14" s="241">
        <f ca="1">VLOOKUP($L14,OFFSET([3]enemies!$A$1,0,0,COUNTA([3]enemies!$A:$A),MATCH(Q$1,[3]enemies!$1:$1,0)-MATCH($L$1,[3]enemies!$1:$1,0)+1),MATCH(Q$1,[3]enemies!$1:$1,0)-MATCH($L$1,[3]enemies!$1:$1,0)+1,FALSE)</f>
        <v>20</v>
      </c>
      <c r="R14" s="242">
        <v>60</v>
      </c>
      <c r="S14" s="243">
        <v>1</v>
      </c>
      <c r="T14" s="243">
        <v>1</v>
      </c>
      <c r="U14" s="242">
        <v>0</v>
      </c>
      <c r="V14" s="116" t="str">
        <f ca="1">VLOOKUP($W14,OFFSET(enemy_skill_sets!$B$1,0,0,COUNTA(enemy_skill_sets!$B:$B),MATCH(M$1,enemy_skill_sets!$1:$1,0)-MATCH($W$1,enemy_skill_sets!$1:$1,0)+2),MATCH(M$1,enemy_skill_sets!$1:$1,0)-MATCH($W$1,enemy_skill_sets!$1:$1,0)+2,FALSE)</f>
        <v>4連続攻撃</v>
      </c>
      <c r="W14" s="116">
        <v>30021002</v>
      </c>
      <c r="X14" s="244">
        <v>1</v>
      </c>
      <c r="Y14" s="244">
        <v>100</v>
      </c>
      <c r="Z14" s="244">
        <v>0</v>
      </c>
      <c r="AA14" s="241">
        <f ca="1">VLOOKUP($L14,OFFSET([3]enemies!$A$1,0,0,COUNTA([3]enemies!$A:$A),MATCH(AA$1,[3]enemies!$1:$1,0)-MATCH($L$1,[3]enemies!$1:$1,0)+1),MATCH(AA$1,[3]enemies!$1:$1,0)-MATCH($L$1,[3]enemies!$1:$1,0)+1,FALSE)</f>
        <v>2</v>
      </c>
      <c r="AB14" s="245">
        <f t="shared" si="3"/>
        <v>50</v>
      </c>
      <c r="AC14" s="238" t="str">
        <f ca="1">VLOOKUP($AB14,OFFSET([4]characters!$A$1,0,0,COUNTA([4]characters!$A:$A),MATCH(AC$1,[4]characters!$1:$1,0)-MATCH("character_id",[4]characters!$1:$1,0)+1),MATCH(AC$1,[4]characters!$1:$1,0)-MATCH("character_id",[4]characters!$1:$1,0)+1,FALSE)</f>
        <v>炎銃のレジスタンス ヨシタカ</v>
      </c>
      <c r="AD14" s="238">
        <f ca="1">VLOOKUP($AB14,OFFSET([4]characters!$A$1,0,0,COUNTA([4]characters!$A:$A),MATCH(AD$1,[4]characters!$1:$1,0)-MATCH("character_id",[4]characters!$1:$1,0)+1),MATCH(AD$1,[4]characters!$1:$1,0)-MATCH("character_id",[4]characters!$1:$1,0)+1,FALSE)</f>
        <v>3</v>
      </c>
      <c r="AE14" s="238" t="str">
        <f ca="1">VLOOKUP($AB14,OFFSET([4]characters!$A$1,0,0,COUNTA([4]characters!$A:$A),MATCH(AE$1,[4]characters!$1:$1,0)-MATCH("character_id",[4]characters!$1:$1,0)+1),MATCH(AE$1,[4]characters!$1:$1,0)-MATCH("character_id",[4]characters!$1:$1,0)+1,FALSE)</f>
        <v>Drop1N</v>
      </c>
      <c r="AF14" s="246">
        <v>1</v>
      </c>
      <c r="AG14" s="245">
        <f t="shared" ca="1" si="4"/>
        <v>3</v>
      </c>
      <c r="AH14" s="247">
        <v>60</v>
      </c>
      <c r="AI14" s="246">
        <v>0</v>
      </c>
      <c r="AJ14" s="246">
        <v>0</v>
      </c>
      <c r="AK14" s="246">
        <v>0</v>
      </c>
      <c r="AL14" s="246">
        <v>0</v>
      </c>
      <c r="AM14" s="246">
        <v>1</v>
      </c>
      <c r="AN14" s="248">
        <v>1</v>
      </c>
    </row>
    <row r="15" spans="1:40" s="211" customFormat="1" ht="21" customHeight="1" thickBot="1" x14ac:dyDescent="0.2">
      <c r="A15" s="234" t="str">
        <f t="shared" ca="1" si="0"/>
        <v>30021_3-1/367&lt;lv60&gt;s3</v>
      </c>
      <c r="B15" s="207">
        <v>30021</v>
      </c>
      <c r="C15" s="148">
        <v>3</v>
      </c>
      <c r="D15" s="149" t="str">
        <f t="shared" si="1"/>
        <v>30021_3</v>
      </c>
      <c r="E15" s="208" t="str">
        <f ca="1">VLOOKUP($B15,OFFSET([2]quests!$A$1,0,0,COUNTA([2]quests!$A:$A),MATCH(E$1,[2]quests!$1:$1,0)-MATCH($B$1,[2]quests!$1:$1,0)+1),MATCH(E$1,[2]quests!$1:$1,0)-MATCH($B$1,[2]quests!$1:$1,0)+1,FALSE)</f>
        <v>野獣死すべしっ！</v>
      </c>
      <c r="F15" s="208" t="str">
        <f ca="1">VLOOKUP($D15,OFFSET([2]stages!$A$1,0,0,COUNTA([2]stages!$A:$A),MATCH(F$1,[2]stages!$2:$2,0)-MATCH($D$1,[2]stages!$2:$2,0)+1),MATCH(F$1,[2]stages!$2:$2,0)-MATCH($D$1,[2]stages!$2:$2,0)+1,FALSE)</f>
        <v>【超級】野獣死すべしっ！</v>
      </c>
      <c r="G15" s="148">
        <v>1</v>
      </c>
      <c r="H15" s="149" t="str">
        <f t="shared" si="2"/>
        <v>30021_3-1</v>
      </c>
      <c r="I15" s="208">
        <f ca="1">VLOOKUP($H15,OFFSET(floors!$A$1,0,0,COUNTA(floors!$A:$A),MATCH(I$1,floors!$1:$1,0)-MATCH($H$1,floors!$1:$1,0)+1),MATCH(I$1,floors!$1:$1,0)-MATCH($H$1,floors!$1:$1,0)+1,FALSE)</f>
        <v>45</v>
      </c>
      <c r="J15" s="208">
        <f ca="1">VLOOKUP($H15,OFFSET(floors!$A$1,0,0,COUNTA(floors!$A:$A),MATCH(J$1,floors!$1:$1,0)-MATCH($H$1,floors!$1:$1,0)+1),MATCH(J$1,floors!$1:$1,0)-MATCH($H$1,floors!$1:$1,0)+1,FALSE)</f>
        <v>45</v>
      </c>
      <c r="K15" s="151" t="s">
        <v>199</v>
      </c>
      <c r="L15" s="152">
        <v>367</v>
      </c>
      <c r="M15" s="209" t="str">
        <f ca="1">VLOOKUP($L15,OFFSET([3]enemies!$A$1,0,0,COUNTA([3]enemies!$A:$A),MATCH(M$1,[3]enemies!$1:$1,0)-MATCH($L$1,[3]enemies!$1:$1,0)+1),MATCH(M$1,[3]enemies!$1:$1,0)-MATCH($L$1,[3]enemies!$1:$1,0)+1,FALSE)</f>
        <v>爆進の小兵 トト</v>
      </c>
      <c r="N15" s="209" t="str">
        <f ca="1">VLOOKUP($L15,OFFSET([3]enemies!$A$1,0,0,COUNTA([3]enemies!$A:$A),MATCH(N$1,[3]enemies!$1:$1,0)-MATCH($L$1,[3]enemies!$1:$1,0)+1),MATCH(N$1,[3]enemies!$1:$1,0)-MATCH($L$1,[3]enemies!$1:$1,0)+1,FALSE)</f>
        <v>yellow</v>
      </c>
      <c r="O15" s="209" t="str">
        <f ca="1">VLOOKUP($L15,OFFSET([4]characters!$A$1,0,0,COUNTA([4]characters!$A:$A),MATCH(O$1,[4]characters!$1:$1,0)-MATCH($L$1,[4]characters!$1:$1,0)+1),MATCH(O$1,[4]characters!$1:$1,0)-MATCH($L$1,[4]characters!$1:$1,0)+1,FALSE)</f>
        <v>Drop1S</v>
      </c>
      <c r="P15" s="209" t="str">
        <f ca="1">VLOOKUP($L15,OFFSET([3]enemies!$A$1,0,0,COUNTA([3]enemies!$A:$A),MATCH(P$1,[3]enemies!$1:$1,0)-MATCH($L$1,[3]enemies!$1:$1,0)+1),MATCH(P$1,[3]enemies!$1:$1,0)-MATCH($L$1,[3]enemies!$1:$1,0)+1,FALSE)</f>
        <v>animal</v>
      </c>
      <c r="Q15" s="209">
        <f ca="1">VLOOKUP($L15,OFFSET([3]enemies!$A$1,0,0,COUNTA([3]enemies!$A:$A),MATCH(Q$1,[3]enemies!$1:$1,0)-MATCH($L$1,[3]enemies!$1:$1,0)+1),MATCH(Q$1,[3]enemies!$1:$1,0)-MATCH($L$1,[3]enemies!$1:$1,0)+1,FALSE)</f>
        <v>15</v>
      </c>
      <c r="R15" s="154">
        <v>60</v>
      </c>
      <c r="S15" s="155">
        <v>1</v>
      </c>
      <c r="T15" s="155">
        <v>1</v>
      </c>
      <c r="U15" s="154">
        <v>0</v>
      </c>
      <c r="V15" s="116" t="str">
        <f ca="1">VLOOKUP($W15,OFFSET(enemy_skill_sets!$B$1,0,0,COUNTA(enemy_skill_sets!$B:$B),MATCH(M$1,enemy_skill_sets!$1:$1,0)-MATCH($W$1,enemy_skill_sets!$1:$1,0)+2),MATCH(M$1,enemy_skill_sets!$1:$1,0)-MATCH($W$1,enemy_skill_sets!$1:$1,0)+2,FALSE)</f>
        <v>クリティカル！</v>
      </c>
      <c r="W15" s="116">
        <v>30021004</v>
      </c>
      <c r="X15" s="210">
        <v>1</v>
      </c>
      <c r="Y15" s="210">
        <v>100</v>
      </c>
      <c r="Z15" s="210">
        <v>0</v>
      </c>
      <c r="AA15" s="209">
        <f ca="1">VLOOKUP($L15,OFFSET([3]enemies!$A$1,0,0,COUNTA([3]enemies!$A:$A),MATCH(AA$1,[3]enemies!$1:$1,0)-MATCH($L$1,[3]enemies!$1:$1,0)+1),MATCH(AA$1,[3]enemies!$1:$1,0)-MATCH($L$1,[3]enemies!$1:$1,0)+1,FALSE)</f>
        <v>3</v>
      </c>
      <c r="AB15" s="157">
        <f t="shared" si="3"/>
        <v>367</v>
      </c>
      <c r="AC15" s="208" t="str">
        <f ca="1">VLOOKUP($AB15,OFFSET([4]characters!$A$1,0,0,COUNTA([4]characters!$A:$A),MATCH(AC$1,[4]characters!$1:$1,0)-MATCH("character_id",[4]characters!$1:$1,0)+1),MATCH(AC$1,[4]characters!$1:$1,0)-MATCH("character_id",[4]characters!$1:$1,0)+1,FALSE)</f>
        <v>爆進の小兵 トト</v>
      </c>
      <c r="AD15" s="208">
        <f ca="1">VLOOKUP($AB15,OFFSET([4]characters!$A$1,0,0,COUNTA([4]characters!$A:$A),MATCH(AD$1,[4]characters!$1:$1,0)-MATCH("character_id",[4]characters!$1:$1,0)+1),MATCH(AD$1,[4]characters!$1:$1,0)-MATCH("character_id",[4]characters!$1:$1,0)+1,FALSE)</f>
        <v>3</v>
      </c>
      <c r="AE15" s="208" t="str">
        <f ca="1">VLOOKUP($AB15,OFFSET([4]characters!$A$1,0,0,COUNTA([4]characters!$A:$A),MATCH(AE$1,[4]characters!$1:$1,0)-MATCH("character_id",[4]characters!$1:$1,0)+1),MATCH(AE$1,[4]characters!$1:$1,0)-MATCH("character_id",[4]characters!$1:$1,0)+1,FALSE)</f>
        <v>Drop1S</v>
      </c>
      <c r="AF15" s="158">
        <v>1</v>
      </c>
      <c r="AG15" s="157">
        <f t="shared" ca="1" si="4"/>
        <v>3</v>
      </c>
      <c r="AH15" s="159">
        <v>60</v>
      </c>
      <c r="AI15" s="158">
        <v>0</v>
      </c>
      <c r="AJ15" s="158">
        <v>0</v>
      </c>
      <c r="AK15" s="158">
        <v>0</v>
      </c>
      <c r="AL15" s="158">
        <v>0</v>
      </c>
      <c r="AM15" s="158">
        <v>1</v>
      </c>
      <c r="AN15" s="160">
        <v>1</v>
      </c>
    </row>
    <row r="16" spans="1:40" s="161" customFormat="1" ht="21" customHeight="1" thickTop="1" thickBot="1" x14ac:dyDescent="0.2">
      <c r="A16" s="146" t="str">
        <f t="shared" ca="1" si="0"/>
        <v>30021_3-2/228&lt;lv60&gt;s1</v>
      </c>
      <c r="B16" s="147">
        <v>30021</v>
      </c>
      <c r="C16" s="223">
        <v>3</v>
      </c>
      <c r="D16" s="224" t="str">
        <f t="shared" si="1"/>
        <v>30021_3</v>
      </c>
      <c r="E16" s="150" t="str">
        <f ca="1">VLOOKUP($B16,OFFSET([2]quests!$A$1,0,0,COUNTA([2]quests!$A:$A),MATCH(E$1,[2]quests!$1:$1,0)-MATCH($B$1,[2]quests!$1:$1,0)+1),MATCH(E$1,[2]quests!$1:$1,0)-MATCH($B$1,[2]quests!$1:$1,0)+1,FALSE)</f>
        <v>野獣死すべしっ！</v>
      </c>
      <c r="F16" s="150" t="str">
        <f ca="1">VLOOKUP($D16,OFFSET([2]stages!$A$1,0,0,COUNTA([2]stages!$A:$A),MATCH(F$1,[2]stages!$2:$2,0)-MATCH($D$1,[2]stages!$2:$2,0)+1),MATCH(F$1,[2]stages!$2:$2,0)-MATCH($D$1,[2]stages!$2:$2,0)+1,FALSE)</f>
        <v>【超級】野獣死すべしっ！</v>
      </c>
      <c r="G16" s="223">
        <v>2</v>
      </c>
      <c r="H16" s="224" t="str">
        <f t="shared" si="2"/>
        <v>30021_3-2</v>
      </c>
      <c r="I16" s="150">
        <f ca="1">VLOOKUP($H16,OFFSET(floors!$A$1,0,0,COUNTA(floors!$A:$A),MATCH(I$1,floors!$1:$1,0)-MATCH($H$1,floors!$1:$1,0)+1),MATCH(I$1,floors!$1:$1,0)-MATCH($H$1,floors!$1:$1,0)+1,FALSE)</f>
        <v>60</v>
      </c>
      <c r="J16" s="150">
        <f ca="1">VLOOKUP($H16,OFFSET(floors!$A$1,0,0,COUNTA(floors!$A:$A),MATCH(J$1,floors!$1:$1,0)-MATCH($H$1,floors!$1:$1,0)+1),MATCH(J$1,floors!$1:$1,0)-MATCH($H$1,floors!$1:$1,0)+1,FALSE)</f>
        <v>60</v>
      </c>
      <c r="K16" s="225">
        <v>3</v>
      </c>
      <c r="L16" s="226">
        <v>228</v>
      </c>
      <c r="M16" s="153" t="str">
        <f ca="1">VLOOKUP($L16,OFFSET([3]enemies!$A$1,0,0,COUNTA([3]enemies!$A:$A),MATCH(M$1,[3]enemies!$1:$1,0)-MATCH($L$1,[3]enemies!$1:$1,0)+1),MATCH(M$1,[3]enemies!$1:$1,0)-MATCH($L$1,[3]enemies!$1:$1,0)+1,FALSE)</f>
        <v>殲滅の掃射砲 アレス</v>
      </c>
      <c r="N16" s="153" t="str">
        <f ca="1">VLOOKUP($L16,OFFSET([3]enemies!$A$1,0,0,COUNTA([3]enemies!$A:$A),MATCH(N$1,[3]enemies!$1:$1,0)-MATCH($L$1,[3]enemies!$1:$1,0)+1),MATCH(N$1,[3]enemies!$1:$1,0)-MATCH($L$1,[3]enemies!$1:$1,0)+1,FALSE)</f>
        <v>red</v>
      </c>
      <c r="O16" s="153" t="str">
        <f ca="1">VLOOKUP($L16,OFFSET([4]characters!$A$1,0,0,COUNTA([4]characters!$A:$A),MATCH(O$1,[4]characters!$1:$1,0)-MATCH($L$1,[4]characters!$1:$1,0)+1),MATCH(O$1,[4]characters!$1:$1,0)-MATCH($L$1,[4]characters!$1:$1,0)+1,FALSE)</f>
        <v>PremiumS</v>
      </c>
      <c r="P16" s="153" t="str">
        <f ca="1">VLOOKUP($L16,OFFSET([3]enemies!$A$1,0,0,COUNTA([3]enemies!$A:$A),MATCH(P$1,[3]enemies!$1:$1,0)-MATCH($L$1,[3]enemies!$1:$1,0)+1),MATCH(P$1,[3]enemies!$1:$1,0)-MATCH($L$1,[3]enemies!$1:$1,0)+1,FALSE)</f>
        <v>god</v>
      </c>
      <c r="Q16" s="153">
        <f ca="1">VLOOKUP($L16,OFFSET([3]enemies!$A$1,0,0,COUNTA([3]enemies!$A:$A),MATCH(Q$1,[3]enemies!$1:$1,0)-MATCH($L$1,[3]enemies!$1:$1,0)+1),MATCH(Q$1,[3]enemies!$1:$1,0)-MATCH($L$1,[3]enemies!$1:$1,0)+1,FALSE)</f>
        <v>60</v>
      </c>
      <c r="R16" s="227">
        <v>60</v>
      </c>
      <c r="S16" s="228">
        <v>1.3</v>
      </c>
      <c r="T16" s="228">
        <v>0.9</v>
      </c>
      <c r="U16" s="227">
        <v>0</v>
      </c>
      <c r="V16" s="116" t="str">
        <f ca="1">VLOOKUP($W16,OFFSET(enemy_skill_sets!$B$1,0,0,COUNTA(enemy_skill_sets!$B:$B),MATCH(M$1,enemy_skill_sets!$1:$1,0)-MATCH($W$1,enemy_skill_sets!$1:$1,0)+2),MATCH(M$1,enemy_skill_sets!$1:$1,0)-MATCH($W$1,enemy_skill_sets!$1:$1,0)+2,FALSE)</f>
        <v>状態異常無効</v>
      </c>
      <c r="W16" s="116">
        <v>30021005</v>
      </c>
      <c r="X16" s="229">
        <v>1</v>
      </c>
      <c r="Y16" s="229">
        <v>100</v>
      </c>
      <c r="Z16" s="229">
        <v>1</v>
      </c>
      <c r="AA16" s="153">
        <f ca="1">VLOOKUP($L16,OFFSET([3]enemies!$A$1,0,0,COUNTA([3]enemies!$A:$A),MATCH(AA$1,[3]enemies!$1:$1,0)-MATCH($L$1,[3]enemies!$1:$1,0)+1),MATCH(AA$1,[3]enemies!$1:$1,0)-MATCH($L$1,[3]enemies!$1:$1,0)+1,FALSE)</f>
        <v>1</v>
      </c>
      <c r="AB16" s="230">
        <f t="shared" si="3"/>
        <v>228</v>
      </c>
      <c r="AC16" s="150" t="str">
        <f ca="1">VLOOKUP($AB16,OFFSET([4]characters!$A$1,0,0,COUNTA([4]characters!$A:$A),MATCH(AC$1,[4]characters!$1:$1,0)-MATCH("character_id",[4]characters!$1:$1,0)+1),MATCH(AC$1,[4]characters!$1:$1,0)-MATCH("character_id",[4]characters!$1:$1,0)+1,FALSE)</f>
        <v>殲滅の掃射砲 アレス</v>
      </c>
      <c r="AD16" s="150">
        <f ca="1">VLOOKUP($AB16,OFFSET([4]characters!$A$1,0,0,COUNTA([4]characters!$A:$A),MATCH(AD$1,[4]characters!$1:$1,0)-MATCH("character_id",[4]characters!$1:$1,0)+1),MATCH(AD$1,[4]characters!$1:$1,0)-MATCH("character_id",[4]characters!$1:$1,0)+1,FALSE)</f>
        <v>5</v>
      </c>
      <c r="AE16" s="150" t="str">
        <f ca="1">VLOOKUP($AB16,OFFSET([4]characters!$A$1,0,0,COUNTA([4]characters!$A:$A),MATCH(AE$1,[4]characters!$1:$1,0)-MATCH("character_id",[4]characters!$1:$1,0)+1),MATCH(AE$1,[4]characters!$1:$1,0)-MATCH("character_id",[4]characters!$1:$1,0)+1,FALSE)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16" s="231">
        <v>1</v>
      </c>
      <c r="AG16" s="230">
        <f t="shared" ca="1" si="4"/>
        <v>5</v>
      </c>
      <c r="AH16" s="232">
        <v>0</v>
      </c>
      <c r="AI16" s="231">
        <v>0</v>
      </c>
      <c r="AJ16" s="231">
        <v>0</v>
      </c>
      <c r="AK16" s="231">
        <v>0</v>
      </c>
      <c r="AL16" s="231">
        <v>0</v>
      </c>
      <c r="AM16" s="231">
        <v>1</v>
      </c>
      <c r="AN16" s="233">
        <v>1</v>
      </c>
    </row>
    <row r="17" spans="1:40" s="204" customFormat="1" ht="21" customHeight="1" thickTop="1" thickBot="1" x14ac:dyDescent="0.2">
      <c r="A17" s="189" t="str">
        <f t="shared" ca="1" si="0"/>
        <v>30021_3-3/32&lt;lv60&gt;s5</v>
      </c>
      <c r="B17" s="190">
        <v>30021</v>
      </c>
      <c r="C17" s="191">
        <v>3</v>
      </c>
      <c r="D17" s="192" t="str">
        <f t="shared" si="1"/>
        <v>30021_3</v>
      </c>
      <c r="E17" s="193" t="str">
        <f ca="1">VLOOKUP($B17,OFFSET([2]quests!$A$1,0,0,COUNTA([2]quests!$A:$A),MATCH(E$1,[2]quests!$1:$1,0)-MATCH($B$1,[2]quests!$1:$1,0)+1),MATCH(E$1,[2]quests!$1:$1,0)-MATCH($B$1,[2]quests!$1:$1,0)+1,FALSE)</f>
        <v>野獣死すべしっ！</v>
      </c>
      <c r="F17" s="193" t="str">
        <f ca="1">VLOOKUP($D17,OFFSET([2]stages!$A$1,0,0,COUNTA([2]stages!$A:$A),MATCH(F$1,[2]stages!$2:$2,0)-MATCH($D$1,[2]stages!$2:$2,0)+1),MATCH(F$1,[2]stages!$2:$2,0)-MATCH($D$1,[2]stages!$2:$2,0)+1,FALSE)</f>
        <v>【超級】野獣死すべしっ！</v>
      </c>
      <c r="G17" s="191">
        <v>3</v>
      </c>
      <c r="H17" s="192" t="str">
        <f t="shared" si="2"/>
        <v>30021_3-3</v>
      </c>
      <c r="I17" s="193">
        <f ca="1">VLOOKUP($H17,OFFSET(floors!$A$1,0,0,COUNTA(floors!$A:$A),MATCH(I$1,floors!$1:$1,0)-MATCH($H$1,floors!$1:$1,0)+1),MATCH(I$1,floors!$1:$1,0)-MATCH($H$1,floors!$1:$1,0)+1,FALSE)</f>
        <v>30</v>
      </c>
      <c r="J17" s="193">
        <f ca="1">VLOOKUP($H17,OFFSET(floors!$A$1,0,0,COUNTA(floors!$A:$A),MATCH(J$1,floors!$1:$1,0)-MATCH($H$1,floors!$1:$1,0)+1),MATCH(J$1,floors!$1:$1,0)-MATCH($H$1,floors!$1:$1,0)+1,FALSE)</f>
        <v>30</v>
      </c>
      <c r="K17" s="194" t="s">
        <v>200</v>
      </c>
      <c r="L17" s="195">
        <v>32</v>
      </c>
      <c r="M17" s="196" t="str">
        <f ca="1">VLOOKUP($L17,OFFSET([3]enemies!$A$1,0,0,COUNTA([3]enemies!$A:$A),MATCH(M$1,[3]enemies!$1:$1,0)-MATCH($L$1,[3]enemies!$1:$1,0)+1),MATCH(M$1,[3]enemies!$1:$1,0)-MATCH($L$1,[3]enemies!$1:$1,0)+1,FALSE)</f>
        <v>沈黙のジャミング マービー</v>
      </c>
      <c r="N17" s="196" t="str">
        <f ca="1">VLOOKUP($L17,OFFSET([3]enemies!$A$1,0,0,COUNTA([3]enemies!$A:$A),MATCH(N$1,[3]enemies!$1:$1,0)-MATCH($L$1,[3]enemies!$1:$1,0)+1),MATCH(N$1,[3]enemies!$1:$1,0)-MATCH($L$1,[3]enemies!$1:$1,0)+1,FALSE)</f>
        <v>yellow</v>
      </c>
      <c r="O17" s="196" t="str">
        <f ca="1">VLOOKUP($L17,OFFSET([4]characters!$A$1,0,0,COUNTA([4]characters!$A:$A),MATCH(O$1,[4]characters!$1:$1,0)-MATCH($L$1,[4]characters!$1:$1,0)+1),MATCH(O$1,[4]characters!$1:$1,0)-MATCH($L$1,[4]characters!$1:$1,0)+1,FALSE)</f>
        <v>Drop1N</v>
      </c>
      <c r="P17" s="196" t="str">
        <f ca="1">VLOOKUP($L17,OFFSET([3]enemies!$A$1,0,0,COUNTA([3]enemies!$A:$A),MATCH(P$1,[3]enemies!$1:$1,0)-MATCH($L$1,[3]enemies!$1:$1,0)+1),MATCH(P$1,[3]enemies!$1:$1,0)-MATCH($L$1,[3]enemies!$1:$1,0)+1,FALSE)</f>
        <v>machine</v>
      </c>
      <c r="Q17" s="196">
        <f ca="1">VLOOKUP($L17,OFFSET([3]enemies!$A$1,0,0,COUNTA([3]enemies!$A:$A),MATCH(Q$1,[3]enemies!$1:$1,0)-MATCH($L$1,[3]enemies!$1:$1,0)+1),MATCH(Q$1,[3]enemies!$1:$1,0)-MATCH($L$1,[3]enemies!$1:$1,0)+1,FALSE)</f>
        <v>15</v>
      </c>
      <c r="R17" s="197">
        <v>60</v>
      </c>
      <c r="S17" s="198">
        <v>1.3</v>
      </c>
      <c r="T17" s="198">
        <v>1.2</v>
      </c>
      <c r="U17" s="197">
        <v>0</v>
      </c>
      <c r="V17" s="116" t="str">
        <f ca="1">VLOOKUP($W17,OFFSET(enemy_skill_sets!$B$1,0,0,COUNTA(enemy_skill_sets!$B:$B),MATCH(M$1,enemy_skill_sets!$1:$1,0)-MATCH($W$1,enemy_skill_sets!$1:$1,0)+2),MATCH(M$1,enemy_skill_sets!$1:$1,0)-MATCH($W$1,enemy_skill_sets!$1:$1,0)+2,FALSE)</f>
        <v>1ターンカウンター&amp;3ターン防御UP</v>
      </c>
      <c r="W17" s="116">
        <v>30021008</v>
      </c>
      <c r="X17" s="199">
        <v>1</v>
      </c>
      <c r="Y17" s="199">
        <v>100</v>
      </c>
      <c r="Z17" s="199">
        <v>0</v>
      </c>
      <c r="AA17" s="196">
        <f ca="1">VLOOKUP($L17,OFFSET([3]enemies!$A$1,0,0,COUNTA([3]enemies!$A:$A),MATCH(AA$1,[3]enemies!$1:$1,0)-MATCH($L$1,[3]enemies!$1:$1,0)+1),MATCH(AA$1,[3]enemies!$1:$1,0)-MATCH($L$1,[3]enemies!$1:$1,0)+1,FALSE)</f>
        <v>5</v>
      </c>
      <c r="AB17" s="200">
        <f t="shared" si="3"/>
        <v>32</v>
      </c>
      <c r="AC17" s="193" t="str">
        <f ca="1">VLOOKUP($AB17,OFFSET([4]characters!$A$1,0,0,COUNTA([4]characters!$A:$A),MATCH(AC$1,[4]characters!$1:$1,0)-MATCH("character_id",[4]characters!$1:$1,0)+1),MATCH(AC$1,[4]characters!$1:$1,0)-MATCH("character_id",[4]characters!$1:$1,0)+1,FALSE)</f>
        <v>沈黙のジャミング マービー</v>
      </c>
      <c r="AD17" s="193">
        <f ca="1">VLOOKUP($AB17,OFFSET([4]characters!$A$1,0,0,COUNTA([4]characters!$A:$A),MATCH(AD$1,[4]characters!$1:$1,0)-MATCH("character_id",[4]characters!$1:$1,0)+1),MATCH(AD$1,[4]characters!$1:$1,0)-MATCH("character_id",[4]characters!$1:$1,0)+1,FALSE)</f>
        <v>2</v>
      </c>
      <c r="AE17" s="193" t="str">
        <f ca="1">VLOOKUP($AB17,OFFSET([4]characters!$A$1,0,0,COUNTA([4]characters!$A:$A),MATCH(AE$1,[4]characters!$1:$1,0)-MATCH("character_id",[4]characters!$1:$1,0)+1),MATCH(AE$1,[4]characters!$1:$1,0)-MATCH("character_id",[4]characters!$1:$1,0)+1,FALSE)</f>
        <v>Drop1N</v>
      </c>
      <c r="AF17" s="201">
        <v>1</v>
      </c>
      <c r="AG17" s="200">
        <f t="shared" ca="1" si="4"/>
        <v>2</v>
      </c>
      <c r="AH17" s="202">
        <v>60</v>
      </c>
      <c r="AI17" s="201">
        <v>0</v>
      </c>
      <c r="AJ17" s="201">
        <v>0</v>
      </c>
      <c r="AK17" s="201">
        <v>0</v>
      </c>
      <c r="AL17" s="201">
        <v>0</v>
      </c>
      <c r="AM17" s="201">
        <v>1</v>
      </c>
      <c r="AN17" s="203">
        <v>1</v>
      </c>
    </row>
    <row r="18" spans="1:40" s="161" customFormat="1" ht="21" customHeight="1" thickBot="1" x14ac:dyDescent="0.2">
      <c r="A18" s="146" t="str">
        <f t="shared" ca="1" si="0"/>
        <v>30021_3-3/14&lt;lv60&gt;s2</v>
      </c>
      <c r="B18" s="147">
        <v>30021</v>
      </c>
      <c r="C18" s="148">
        <v>3</v>
      </c>
      <c r="D18" s="149" t="str">
        <f t="shared" si="1"/>
        <v>30021_3</v>
      </c>
      <c r="E18" s="150" t="str">
        <f ca="1">VLOOKUP($B18,OFFSET([2]quests!$A$1,0,0,COUNTA([2]quests!$A:$A),MATCH(E$1,[2]quests!$1:$1,0)-MATCH($B$1,[2]quests!$1:$1,0)+1),MATCH(E$1,[2]quests!$1:$1,0)-MATCH($B$1,[2]quests!$1:$1,0)+1,FALSE)</f>
        <v>野獣死すべしっ！</v>
      </c>
      <c r="F18" s="150" t="str">
        <f ca="1">VLOOKUP($D18,OFFSET([2]stages!$A$1,0,0,COUNTA([2]stages!$A:$A),MATCH(F$1,[2]stages!$2:$2,0)-MATCH($D$1,[2]stages!$2:$2,0)+1),MATCH(F$1,[2]stages!$2:$2,0)-MATCH($D$1,[2]stages!$2:$2,0)+1,FALSE)</f>
        <v>【超級】野獣死すべしっ！</v>
      </c>
      <c r="G18" s="148">
        <v>3</v>
      </c>
      <c r="H18" s="149" t="str">
        <f t="shared" si="2"/>
        <v>30021_3-3</v>
      </c>
      <c r="I18" s="150">
        <f ca="1">VLOOKUP($H18,OFFSET(floors!$A$1,0,0,COUNTA(floors!$A:$A),MATCH(I$1,floors!$1:$1,0)-MATCH($H$1,floors!$1:$1,0)+1),MATCH(I$1,floors!$1:$1,0)-MATCH($H$1,floors!$1:$1,0)+1,FALSE)</f>
        <v>30</v>
      </c>
      <c r="J18" s="150">
        <f ca="1">VLOOKUP($H18,OFFSET(floors!$A$1,0,0,COUNTA(floors!$A:$A),MATCH(J$1,floors!$1:$1,0)-MATCH($H$1,floors!$1:$1,0)+1),MATCH(J$1,floors!$1:$1,0)-MATCH($H$1,floors!$1:$1,0)+1,FALSE)</f>
        <v>30</v>
      </c>
      <c r="K18" s="151" t="s">
        <v>200</v>
      </c>
      <c r="L18" s="152">
        <v>14</v>
      </c>
      <c r="M18" s="153" t="str">
        <f ca="1">VLOOKUP($L18,OFFSET([3]enemies!$A$1,0,0,COUNTA([3]enemies!$A:$A),MATCH(M$1,[3]enemies!$1:$1,0)-MATCH($L$1,[3]enemies!$1:$1,0)+1),MATCH(M$1,[3]enemies!$1:$1,0)-MATCH($L$1,[3]enemies!$1:$1,0)+1,FALSE)</f>
        <v>ミミ・ザ・ガンマンキャット</v>
      </c>
      <c r="N18" s="153" t="str">
        <f ca="1">VLOOKUP($L18,OFFSET([3]enemies!$A$1,0,0,COUNTA([3]enemies!$A:$A),MATCH(N$1,[3]enemies!$1:$1,0)-MATCH($L$1,[3]enemies!$1:$1,0)+1),MATCH(N$1,[3]enemies!$1:$1,0)-MATCH($L$1,[3]enemies!$1:$1,0)+1,FALSE)</f>
        <v>yellow</v>
      </c>
      <c r="O18" s="153" t="str">
        <f ca="1">VLOOKUP($L18,OFFSET([4]characters!$A$1,0,0,COUNTA([4]characters!$A:$A),MATCH(O$1,[4]characters!$1:$1,0)-MATCH($L$1,[4]characters!$1:$1,0)+1),MATCH(O$1,[4]characters!$1:$1,0)-MATCH($L$1,[4]characters!$1:$1,0)+1,FALSE)</f>
        <v>Drop1W</v>
      </c>
      <c r="P18" s="153" t="str">
        <f ca="1">VLOOKUP($L18,OFFSET([3]enemies!$A$1,0,0,COUNTA([3]enemies!$A:$A),MATCH(P$1,[3]enemies!$1:$1,0)-MATCH($L$1,[3]enemies!$1:$1,0)+1),MATCH(P$1,[3]enemies!$1:$1,0)-MATCH($L$1,[3]enemies!$1:$1,0)+1,FALSE)</f>
        <v>animal</v>
      </c>
      <c r="Q18" s="153">
        <f ca="1">VLOOKUP($L18,OFFSET([3]enemies!$A$1,0,0,COUNTA([3]enemies!$A:$A),MATCH(Q$1,[3]enemies!$1:$1,0)-MATCH($L$1,[3]enemies!$1:$1,0)+1),MATCH(Q$1,[3]enemies!$1:$1,0)-MATCH($L$1,[3]enemies!$1:$1,0)+1,FALSE)</f>
        <v>15</v>
      </c>
      <c r="R18" s="154">
        <v>60</v>
      </c>
      <c r="S18" s="155">
        <v>1.5</v>
      </c>
      <c r="T18" s="155">
        <v>1</v>
      </c>
      <c r="U18" s="154">
        <v>0</v>
      </c>
      <c r="V18" s="116" t="str">
        <f ca="1">VLOOKUP($W18,OFFSET(enemy_skill_sets!$B$1,0,0,COUNTA(enemy_skill_sets!$B:$B),MATCH(M$1,enemy_skill_sets!$1:$1,0)-MATCH($W$1,enemy_skill_sets!$1:$1,0)+2),MATCH(M$1,enemy_skill_sets!$1:$1,0)-MATCH($W$1,enemy_skill_sets!$1:$1,0)+2,FALSE)</f>
        <v>クリティカル！</v>
      </c>
      <c r="W18" s="116">
        <v>30021010</v>
      </c>
      <c r="X18" s="156">
        <v>1</v>
      </c>
      <c r="Y18" s="156">
        <v>100</v>
      </c>
      <c r="Z18" s="156">
        <v>0</v>
      </c>
      <c r="AA18" s="153">
        <f ca="1">VLOOKUP($L18,OFFSET([3]enemies!$A$1,0,0,COUNTA([3]enemies!$A:$A),MATCH(AA$1,[3]enemies!$1:$1,0)-MATCH($L$1,[3]enemies!$1:$1,0)+1),MATCH(AA$1,[3]enemies!$1:$1,0)-MATCH($L$1,[3]enemies!$1:$1,0)+1,FALSE)</f>
        <v>2</v>
      </c>
      <c r="AB18" s="157">
        <f t="shared" si="3"/>
        <v>14</v>
      </c>
      <c r="AC18" s="150" t="str">
        <f ca="1">VLOOKUP($AB18,OFFSET([4]characters!$A$1,0,0,COUNTA([4]characters!$A:$A),MATCH(AC$1,[4]characters!$1:$1,0)-MATCH("character_id",[4]characters!$1:$1,0)+1),MATCH(AC$1,[4]characters!$1:$1,0)-MATCH("character_id",[4]characters!$1:$1,0)+1,FALSE)</f>
        <v>ミミ・ザ・ガンマンキャット</v>
      </c>
      <c r="AD18" s="150">
        <f ca="1">VLOOKUP($AB18,OFFSET([4]characters!$A$1,0,0,COUNTA([4]characters!$A:$A),MATCH(AD$1,[4]characters!$1:$1,0)-MATCH("character_id",[4]characters!$1:$1,0)+1),MATCH(AD$1,[4]characters!$1:$1,0)-MATCH("character_id",[4]characters!$1:$1,0)+1,FALSE)</f>
        <v>2</v>
      </c>
      <c r="AE18" s="150" t="str">
        <f ca="1">VLOOKUP($AB18,OFFSET([4]characters!$A$1,0,0,COUNTA([4]characters!$A:$A),MATCH(AE$1,[4]characters!$1:$1,0)-MATCH("character_id",[4]characters!$1:$1,0)+1),MATCH(AE$1,[4]characters!$1:$1,0)-MATCH("character_id",[4]characters!$1:$1,0)+1,FALSE)</f>
        <v>Drop1W</v>
      </c>
      <c r="AF18" s="158">
        <v>1</v>
      </c>
      <c r="AG18" s="157">
        <f t="shared" ca="1" si="4"/>
        <v>2</v>
      </c>
      <c r="AH18" s="159">
        <v>60</v>
      </c>
      <c r="AI18" s="158">
        <v>0</v>
      </c>
      <c r="AJ18" s="158">
        <v>0</v>
      </c>
      <c r="AK18" s="158">
        <v>0</v>
      </c>
      <c r="AL18" s="158">
        <v>0</v>
      </c>
      <c r="AM18" s="158">
        <v>1</v>
      </c>
      <c r="AN18" s="160">
        <v>1</v>
      </c>
    </row>
    <row r="19" spans="1:40" s="133" customFormat="1" ht="21" customHeight="1" thickTop="1" thickBot="1" x14ac:dyDescent="0.2">
      <c r="A19" s="96" t="str">
        <f t="shared" si="0"/>
        <v>30021_3-4/502&lt;lv60&gt;s2</v>
      </c>
      <c r="B19" s="127">
        <v>30021</v>
      </c>
      <c r="C19" s="178">
        <v>3</v>
      </c>
      <c r="D19" s="179" t="str">
        <f t="shared" si="1"/>
        <v>30021_3</v>
      </c>
      <c r="E19" s="128" t="str">
        <f ca="1">VLOOKUP($B19,OFFSET([2]quests!$A$1,0,0,COUNTA([2]quests!$A:$A),MATCH(E$1,[2]quests!$1:$1,0)-MATCH($B$1,[2]quests!$1:$1,0)+1),MATCH(E$1,[2]quests!$1:$1,0)-MATCH($B$1,[2]quests!$1:$1,0)+1,FALSE)</f>
        <v>野獣死すべしっ！</v>
      </c>
      <c r="F19" s="128" t="str">
        <f ca="1">VLOOKUP($D19,OFFSET([2]stages!$A$1,0,0,COUNTA([2]stages!$A:$A),MATCH(F$1,[2]stages!$2:$2,0)-MATCH($D$1,[2]stages!$2:$2,0)+1),MATCH(F$1,[2]stages!$2:$2,0)-MATCH($D$1,[2]stages!$2:$2,0)+1,FALSE)</f>
        <v>【超級】野獣死すべしっ！</v>
      </c>
      <c r="G19" s="178">
        <v>4</v>
      </c>
      <c r="H19" s="179" t="str">
        <f t="shared" si="2"/>
        <v>30021_3-4</v>
      </c>
      <c r="I19" s="128">
        <f ca="1">VLOOKUP($H19,OFFSET(floors!$A$1,0,0,COUNTA(floors!$A:$A),MATCH(I$1,floors!$1:$1,0)-MATCH($H$1,floors!$1:$1,0)+1),MATCH(I$1,floors!$1:$1,0)-MATCH($H$1,floors!$1:$1,0)+1,FALSE)</f>
        <v>60</v>
      </c>
      <c r="J19" s="128">
        <f ca="1">VLOOKUP($H19,OFFSET(floors!$A$1,0,0,COUNTA(floors!$A:$A),MATCH(J$1,floors!$1:$1,0)-MATCH($H$1,floors!$1:$1,0)+1),MATCH(J$1,floors!$1:$1,0)-MATCH($H$1,floors!$1:$1,0)+1,FALSE)</f>
        <v>60</v>
      </c>
      <c r="K19" s="180">
        <v>4</v>
      </c>
      <c r="L19" s="181">
        <v>502</v>
      </c>
      <c r="M19" s="130" t="str">
        <f ca="1">VLOOKUP($L19,OFFSET([3]enemies!$A$1,0,0,COUNTA([3]enemies!$A:$A),MATCH(M$1,[3]enemies!$1:$1,0)-MATCH($L$1,[3]enemies!$1:$1,0)+1),MATCH(M$1,[3]enemies!$1:$1,0)-MATCH($L$1,[3]enemies!$1:$1,0)+1,FALSE)</f>
        <v>テラベル</v>
      </c>
      <c r="N19" s="130" t="str">
        <f ca="1">VLOOKUP($L19,OFFSET([3]enemies!$A$1,0,0,COUNTA([3]enemies!$A:$A),MATCH(N$1,[3]enemies!$1:$1,0)-MATCH($L$1,[3]enemies!$1:$1,0)+1),MATCH(N$1,[3]enemies!$1:$1,0)-MATCH($L$1,[3]enemies!$1:$1,0)+1,FALSE)</f>
        <v>red</v>
      </c>
      <c r="O19" s="130" t="str">
        <f ca="1">VLOOKUP($L19,OFFSET([4]characters!$A$1,0,0,COUNTA([4]characters!$A:$A),MATCH(O$1,[4]characters!$1:$1,0)-MATCH($L$1,[4]characters!$1:$1,0)+1),MATCH(O$1,[4]characters!$1:$1,0)-MATCH($L$1,[4]characters!$1:$1,0)+1,FALSE)</f>
        <v>Drop2N</v>
      </c>
      <c r="P19" s="130" t="str">
        <f ca="1">VLOOKUP($L19,OFFSET([3]enemies!$A$1,0,0,COUNTA([3]enemies!$A:$A),MATCH(P$1,[3]enemies!$1:$1,0)-MATCH($L$1,[3]enemies!$1:$1,0)+1),MATCH(P$1,[3]enemies!$1:$1,0)-MATCH($L$1,[3]enemies!$1:$1,0)+1,FALSE)</f>
        <v>human</v>
      </c>
      <c r="Q19" s="130">
        <f ca="1">VLOOKUP($L19,OFFSET([3]enemies!$A$1,0,0,COUNTA([3]enemies!$A:$A),MATCH(Q$1,[3]enemies!$1:$1,0)-MATCH($L$1,[3]enemies!$1:$1,0)+1),MATCH(Q$1,[3]enemies!$1:$1,0)-MATCH($L$1,[3]enemies!$1:$1,0)+1,FALSE)</f>
        <v>30</v>
      </c>
      <c r="R19" s="182">
        <v>60</v>
      </c>
      <c r="S19" s="183">
        <v>2.2000000000000002</v>
      </c>
      <c r="T19" s="183">
        <v>1</v>
      </c>
      <c r="U19" s="182">
        <v>0</v>
      </c>
      <c r="V19" s="116" t="str">
        <f ca="1">VLOOKUP($W19,OFFSET(enemy_skill_sets!$B$1,0,0,COUNTA(enemy_skill_sets!$B:$B),MATCH(M$1,enemy_skill_sets!$1:$1,0)-MATCH($W$1,enemy_skill_sets!$1:$1,0)+2),MATCH(M$1,enemy_skill_sets!$1:$1,0)-MATCH($W$1,enemy_skill_sets!$1:$1,0)+2,FALSE)</f>
        <v>エスタブの姿に驚いている</v>
      </c>
      <c r="W19" s="116">
        <v>30021011</v>
      </c>
      <c r="X19" s="184">
        <v>1</v>
      </c>
      <c r="Y19" s="184">
        <v>100</v>
      </c>
      <c r="Z19" s="184">
        <v>1</v>
      </c>
      <c r="AA19" s="320">
        <v>2</v>
      </c>
      <c r="AB19" s="185">
        <f t="shared" si="3"/>
        <v>502</v>
      </c>
      <c r="AC19" s="128" t="str">
        <f ca="1">VLOOKUP($AB19,OFFSET([4]characters!$A$1,0,0,COUNTA([4]characters!$A:$A),MATCH(AC$1,[4]characters!$1:$1,0)-MATCH("character_id",[4]characters!$1:$1,0)+1),MATCH(AC$1,[4]characters!$1:$1,0)-MATCH("character_id",[4]characters!$1:$1,0)+1,FALSE)</f>
        <v>テラベル</v>
      </c>
      <c r="AD19" s="128">
        <f ca="1">VLOOKUP($AB19,OFFSET([4]characters!$A$1,0,0,COUNTA([4]characters!$A:$A),MATCH(AD$1,[4]characters!$1:$1,0)-MATCH("character_id",[4]characters!$1:$1,0)+1),MATCH(AD$1,[4]characters!$1:$1,0)-MATCH("character_id",[4]characters!$1:$1,0)+1,FALSE)</f>
        <v>4</v>
      </c>
      <c r="AE19" s="128" t="str">
        <f ca="1">VLOOKUP($AB19,OFFSET([4]characters!$A$1,0,0,COUNTA([4]characters!$A:$A),MATCH(AE$1,[4]characters!$1:$1,0)-MATCH("character_id",[4]characters!$1:$1,0)+1),MATCH(AE$1,[4]characters!$1:$1,0)-MATCH("character_id",[4]characters!$1:$1,0)+1,FALSE)</f>
        <v>Drop2N</v>
      </c>
      <c r="AF19" s="186">
        <v>1</v>
      </c>
      <c r="AG19" s="185">
        <f t="shared" ca="1" si="4"/>
        <v>4</v>
      </c>
      <c r="AH19" s="187">
        <v>100</v>
      </c>
      <c r="AI19" s="186">
        <v>0</v>
      </c>
      <c r="AJ19" s="186">
        <v>0</v>
      </c>
      <c r="AK19" s="186">
        <v>0</v>
      </c>
      <c r="AL19" s="186">
        <v>0</v>
      </c>
      <c r="AM19" s="186">
        <v>1</v>
      </c>
      <c r="AN19" s="188">
        <v>1</v>
      </c>
    </row>
  </sheetData>
  <sheetProtection selectLockedCells="1" selectUnlockedCells="1"/>
  <autoFilter ref="B1:AH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6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N17" sqref="N17"/>
    </sheetView>
  </sheetViews>
  <sheetFormatPr baseColWidth="12" defaultColWidth="13" defaultRowHeight="21" customHeight="1" outlineLevelCol="1" x14ac:dyDescent="0.15"/>
  <cols>
    <col min="1" max="1" width="17" style="12" bestFit="1" customWidth="1"/>
    <col min="2" max="2" width="10.83203125" style="1" bestFit="1" customWidth="1"/>
    <col min="3" max="3" width="10.6640625" style="1" bestFit="1" customWidth="1"/>
    <col min="4" max="4" width="13" style="7" bestFit="1" customWidth="1" outlineLevel="1"/>
    <col min="5" max="5" width="11.6640625" style="1" bestFit="1" customWidth="1" outlineLevel="1"/>
    <col min="6" max="6" width="16.1640625" style="1" bestFit="1" customWidth="1" outlineLevel="1"/>
    <col min="7" max="7" width="10" style="1" bestFit="1" customWidth="1"/>
    <col min="8" max="9" width="12.33203125" style="1" bestFit="1" customWidth="1" outlineLevel="1"/>
    <col min="10" max="10" width="12.33203125" style="1" customWidth="1" outlineLevel="1"/>
    <col min="11" max="11" width="12.33203125" style="1" customWidth="1"/>
    <col min="12" max="12" width="11" style="1" bestFit="1" customWidth="1"/>
    <col min="13" max="13" width="13.5" style="4" bestFit="1" customWidth="1"/>
    <col min="14" max="14" width="8.83203125" style="1" customWidth="1" outlineLevel="1"/>
    <col min="15" max="15" width="8.6640625" style="1" customWidth="1" outlineLevel="1"/>
    <col min="16" max="16" width="12" style="1" customWidth="1" outlineLevel="1"/>
    <col min="17" max="17" width="21" style="1" customWidth="1" outlineLevel="1"/>
    <col min="18" max="18" width="8" style="1" customWidth="1" outlineLevel="1"/>
    <col min="19" max="19" width="8.33203125" style="1" bestFit="1" customWidth="1"/>
    <col min="20" max="20" width="14.83203125" style="1" bestFit="1" customWidth="1"/>
    <col min="21" max="21" width="17.5" style="1" bestFit="1" customWidth="1"/>
    <col min="22" max="22" width="18.33203125" style="1" bestFit="1" customWidth="1"/>
    <col min="23" max="23" width="16.6640625" style="1" customWidth="1"/>
    <col min="24" max="24" width="10" style="1" bestFit="1" customWidth="1" outlineLevel="1"/>
    <col min="25" max="25" width="9.33203125" style="1" bestFit="1" customWidth="1"/>
    <col min="26" max="16384" width="13" style="1"/>
  </cols>
  <sheetData>
    <row r="1" spans="1:25" s="18" customFormat="1" ht="21" customHeight="1" thickBot="1" x14ac:dyDescent="0.2">
      <c r="A1" s="16" t="s">
        <v>29</v>
      </c>
      <c r="B1" s="17" t="s">
        <v>0</v>
      </c>
      <c r="C1" s="17" t="s">
        <v>1</v>
      </c>
      <c r="D1" s="134" t="s">
        <v>28</v>
      </c>
      <c r="E1" s="134" t="s">
        <v>16</v>
      </c>
      <c r="F1" s="134" t="s">
        <v>16</v>
      </c>
      <c r="G1" s="17" t="s">
        <v>19</v>
      </c>
      <c r="H1" s="134" t="s">
        <v>30</v>
      </c>
      <c r="I1" s="134" t="s">
        <v>14</v>
      </c>
      <c r="J1" s="134" t="s">
        <v>15</v>
      </c>
      <c r="K1" s="135" t="s">
        <v>54</v>
      </c>
      <c r="L1" s="135" t="s">
        <v>55</v>
      </c>
      <c r="M1" s="135" t="s">
        <v>2</v>
      </c>
      <c r="N1" s="136" t="s">
        <v>16</v>
      </c>
      <c r="O1" s="134" t="s">
        <v>24</v>
      </c>
      <c r="P1" s="134" t="s">
        <v>23</v>
      </c>
      <c r="Q1" s="137" t="s">
        <v>26</v>
      </c>
      <c r="R1" s="134" t="s">
        <v>25</v>
      </c>
      <c r="S1" s="17" t="s">
        <v>3</v>
      </c>
      <c r="T1" s="17" t="s">
        <v>48</v>
      </c>
      <c r="U1" s="17" t="s">
        <v>50</v>
      </c>
      <c r="V1" s="17" t="s">
        <v>52</v>
      </c>
      <c r="W1" s="17" t="s">
        <v>130</v>
      </c>
      <c r="X1" s="134" t="s">
        <v>129</v>
      </c>
      <c r="Y1" s="17" t="s">
        <v>8</v>
      </c>
    </row>
    <row r="2" spans="1:25" s="125" customFormat="1" ht="21" customHeight="1" thickBot="1" x14ac:dyDescent="0.2">
      <c r="A2" s="82" t="str">
        <f t="shared" ref="A2:A6" si="0">B2&amp;"_"&amp;C2&amp;"-"&amp;G2&amp;"/"&amp;M2&amp;"&lt;lv"&amp;S2&amp;"&gt;sq"&amp;K2&amp;"st"&amp;L2</f>
        <v>30021_2-2/228&lt;lv40&gt;sq1st2</v>
      </c>
      <c r="B2" s="115">
        <v>30021</v>
      </c>
      <c r="C2" s="86">
        <v>2</v>
      </c>
      <c r="D2" s="88" t="str">
        <f t="shared" ref="D2:D6" si="1">B2&amp;"_"&amp;C2</f>
        <v>30021_2</v>
      </c>
      <c r="E2" s="116" t="str">
        <f ca="1">VLOOKUP($B2,OFFSET([2]quests!$A$1,0,0,COUNTA([2]quests!$A:$A),MATCH(E$1,[2]quests!$1:$1,0)-MATCH($B$1,[2]quests!$1:$1,0)+1),MATCH(E$1,[2]quests!$1:$1,0)-MATCH($B$1,[2]quests!$1:$1,0)+1,FALSE)</f>
        <v>野獣死すべしっ！</v>
      </c>
      <c r="F2" s="116" t="str">
        <f ca="1">VLOOKUP($D2,OFFSET([2]stages!$A$1,0,0,COUNTA([2]stages!$A:$A),MATCH(F$1,[2]stages!$2:$2,0)-MATCH($D$1,[2]stages!$2:$2,0)+1),MATCH(F$1,[2]stages!$2:$2,0)-MATCH($D$1,[2]stages!$2:$2,0)+1,FALSE)</f>
        <v>【上級】野獣死すべしっ！</v>
      </c>
      <c r="G2" s="86">
        <v>2</v>
      </c>
      <c r="H2" s="88" t="str">
        <f t="shared" ref="H2:H6" si="2">B2&amp;"_"&amp;C2&amp;"-"&amp;G2</f>
        <v>30021_2-2</v>
      </c>
      <c r="I2" s="116">
        <f ca="1">VLOOKUP($H2,OFFSET(floors!$A$1,0,0,COUNTA(floors!$A:$A),MATCH(I$1,floors!$1:$1,0)-MATCH($H$1,floors!$1:$1,0)+1),MATCH(I$1,floors!$1:$1,0)-MATCH($H$1,floors!$1:$1,0)+1,FALSE)</f>
        <v>60</v>
      </c>
      <c r="J2" s="116">
        <f ca="1">VLOOKUP($H2,OFFSET(floors!$A$1,0,0,COUNTA(floors!$A:$A),MATCH(J$1,floors!$1:$1,0)-MATCH($H$1,floors!$1:$1,0)+1),MATCH(J$1,floors!$1:$1,0)-MATCH($H$1,floors!$1:$1,0)+1,FALSE)</f>
        <v>60</v>
      </c>
      <c r="K2" s="89">
        <v>1</v>
      </c>
      <c r="L2" s="89">
        <v>2</v>
      </c>
      <c r="M2" s="117">
        <v>228</v>
      </c>
      <c r="N2" s="118" t="str">
        <f ca="1">VLOOKUP($M2,OFFSET([3]enemies!$A$1,0,0,COUNTA([3]enemies!$A:$A),MATCH(N$1,[3]enemies!$1:$1,0)-MATCH($M$1,[3]enemies!$1:$1,0)+1),MATCH(N$1,[3]enemies!$1:$1,0)-MATCH($M$1,[3]enemies!$1:$1,0)+1,FALSE)</f>
        <v>殲滅の掃射砲 アレス</v>
      </c>
      <c r="O2" s="118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18" t="str">
        <f ca="1">VLOOKUP($M2,OFFSET([4]characters!$A$1,0,0,COUNTA([4]characters!$A:$A),MATCH(P$1,[4]characters!$1:$1,0)-MATCH($M$1,[4]characters!$1:$1,0)+1),MATCH(P$1,[4]characters!$1:$1,0)-MATCH($M$1,[4]characters!$1:$1,0)+1,FALSE)</f>
        <v>PremiumS</v>
      </c>
      <c r="Q2" s="118" t="str">
        <f ca="1">VLOOKUP($M2,OFFSET([3]enemies!$A$1,0,0,COUNTA([3]enemies!$A:$A),MATCH(Q$1,[3]enemies!$1:$1,0)-MATCH($M$1,[3]enemies!$1:$1,0)+1),MATCH(Q$1,[3]enemies!$1:$1,0)-MATCH($M$1,[3]enemies!$1:$1,0)+1,FALSE)</f>
        <v>god</v>
      </c>
      <c r="R2" s="118">
        <f ca="1">VLOOKUP($M2,OFFSET([3]enemies!$A$1,0,0,COUNTA([3]enemies!$A:$A),MATCH(R$1,[3]enemies!$1:$1,0)-MATCH($M$1,[3]enemies!$1:$1,0)+1),MATCH(R$1,[3]enemies!$1:$1,0)-MATCH($M$1,[3]enemies!$1:$1,0)+1,FALSE)</f>
        <v>60</v>
      </c>
      <c r="S2" s="119">
        <v>40</v>
      </c>
      <c r="T2" s="120">
        <v>1.4</v>
      </c>
      <c r="U2" s="120">
        <v>1</v>
      </c>
      <c r="V2" s="119">
        <v>0</v>
      </c>
      <c r="W2" s="116" t="e">
        <f ca="1">VLOOKUP($X2,OFFSET(enemy_skill_sets!$B$1,0,0,COUNTA(enemy_skill_sets!$B:$B),MATCH(M$1,enemy_skill_sets!$1:$1,0)-MATCH($X$1,enemy_skill_sets!$1:$1,0)+2),MATCH(M$1,enemy_skill_sets!$1:$1,0)-MATCH($X$1,enemy_skill_sets!$1:$1,0)+2,FALSE)</f>
        <v>#N/A</v>
      </c>
      <c r="X2" s="116">
        <v>30021006</v>
      </c>
      <c r="Y2" s="317">
        <v>1</v>
      </c>
    </row>
    <row r="3" spans="1:25" s="111" customFormat="1" ht="21" customHeight="1" thickBot="1" x14ac:dyDescent="0.2">
      <c r="A3" s="91" t="str">
        <f t="shared" si="0"/>
        <v>30021_2-4/502&lt;lv47&gt;sq2st2</v>
      </c>
      <c r="B3" s="13">
        <v>30021</v>
      </c>
      <c r="C3" s="94">
        <v>2</v>
      </c>
      <c r="D3" s="8" t="str">
        <f t="shared" si="1"/>
        <v>30021_2</v>
      </c>
      <c r="E3" s="2" t="str">
        <f ca="1">VLOOKUP($B3,OFFSET([2]quests!$A$1,0,0,COUNTA([2]quests!$A:$A),MATCH(E$1,[2]quests!$1:$1,0)-MATCH($B$1,[2]quests!$1:$1,0)+1),MATCH(E$1,[2]quests!$1:$1,0)-MATCH($B$1,[2]quests!$1:$1,0)+1,FALSE)</f>
        <v>野獣死すべしっ！</v>
      </c>
      <c r="F3" s="2" t="str">
        <f ca="1">VLOOKUP($D3,OFFSET([2]stages!$A$1,0,0,COUNTA([2]stages!$A:$A),MATCH(F$1,[2]stages!$2:$2,0)-MATCH($D$1,[2]stages!$2:$2,0)+1),MATCH(F$1,[2]stages!$2:$2,0)-MATCH($D$1,[2]stages!$2:$2,0)+1,FALSE)</f>
        <v>【上級】野獣死すべしっ！</v>
      </c>
      <c r="G3" s="94">
        <v>4</v>
      </c>
      <c r="H3" s="8" t="str">
        <f t="shared" si="2"/>
        <v>30021_2-4</v>
      </c>
      <c r="I3" s="2">
        <f ca="1">VLOOKUP($H3,OFFSET(floors!$A$1,0,0,COUNTA(floors!$A:$A),MATCH(I$1,floors!$1:$1,0)-MATCH($H$1,floors!$1:$1,0)+1),MATCH(I$1,floors!$1:$1,0)-MATCH($H$1,floors!$1:$1,0)+1,FALSE)</f>
        <v>60</v>
      </c>
      <c r="J3" s="2">
        <f ca="1">VLOOKUP($H3,OFFSET(floors!$A$1,0,0,COUNTA(floors!$A:$A),MATCH(J$1,floors!$1:$1,0)-MATCH($H$1,floors!$1:$1,0)+1),MATCH(J$1,floors!$1:$1,0)-MATCH($H$1,floors!$1:$1,0)+1,FALSE)</f>
        <v>60</v>
      </c>
      <c r="K3" s="19">
        <v>2</v>
      </c>
      <c r="L3" s="19">
        <v>2</v>
      </c>
      <c r="M3" s="126">
        <v>502</v>
      </c>
      <c r="N3" s="10" t="str">
        <f ca="1">VLOOKUP($M3,OFFSET([3]enemies!$A$1,0,0,COUNTA([3]enemies!$A:$A),MATCH(N$1,[3]enemies!$1:$1,0)-MATCH($M$1,[3]enemies!$1:$1,0)+1),MATCH(N$1,[3]enemies!$1:$1,0)-MATCH($M$1,[3]enemies!$1:$1,0)+1,FALSE)</f>
        <v>テラベル</v>
      </c>
      <c r="O3" s="10" t="str">
        <f ca="1">VLOOKUP($M3,OFFSET([3]enemies!$A$1,0,0,COUNTA([3]enemies!$A:$A),MATCH(O$1,[3]enemies!$1:$1,0)-MATCH($M$1,[3]enemies!$1:$1,0)+1),MATCH(O$1,[3]enemies!$1:$1,0)-MATCH($M$1,[3]enemies!$1:$1,0)+1,FALSE)</f>
        <v>red</v>
      </c>
      <c r="P3" s="10" t="str">
        <f ca="1">VLOOKUP($M3,OFFSET([4]characters!$A$1,0,0,COUNTA([4]characters!$A:$A),MATCH(P$1,[4]characters!$1:$1,0)-MATCH($M$1,[4]characters!$1:$1,0)+1),MATCH(P$1,[4]characters!$1:$1,0)-MATCH($M$1,[4]characters!$1:$1,0)+1,FALSE)</f>
        <v>Drop2N</v>
      </c>
      <c r="Q3" s="10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0">
        <f ca="1">VLOOKUP($M3,OFFSET([3]enemies!$A$1,0,0,COUNTA([3]enemies!$A:$A),MATCH(R$1,[3]enemies!$1:$1,0)-MATCH($M$1,[3]enemies!$1:$1,0)+1),MATCH(R$1,[3]enemies!$1:$1,0)-MATCH($M$1,[3]enemies!$1:$1,0)+1,FALSE)</f>
        <v>30</v>
      </c>
      <c r="S3" s="3">
        <v>47</v>
      </c>
      <c r="T3" s="15">
        <v>2.7</v>
      </c>
      <c r="U3" s="15">
        <v>0.9</v>
      </c>
      <c r="V3" s="3">
        <v>0</v>
      </c>
      <c r="W3" s="116" t="e">
        <f ca="1">VLOOKUP($X3,OFFSET(enemy_skill_sets!$B$1,0,0,COUNTA(enemy_skill_sets!$B:$B),MATCH(M$1,enemy_skill_sets!$1:$1,0)-MATCH($X$1,enemy_skill_sets!$1:$1,0)+2),MATCH(M$1,enemy_skill_sets!$1:$1,0)-MATCH($X$1,enemy_skill_sets!$1:$1,0)+2,FALSE)</f>
        <v>#N/A</v>
      </c>
      <c r="X3" s="2">
        <v>30021012</v>
      </c>
      <c r="Y3" s="318">
        <v>2</v>
      </c>
    </row>
    <row r="4" spans="1:25" s="125" customFormat="1" ht="21" customHeight="1" thickBot="1" x14ac:dyDescent="0.2">
      <c r="A4" s="82" t="str">
        <f t="shared" si="0"/>
        <v>30021_3-2/228&lt;lv60&gt;sq3st2</v>
      </c>
      <c r="B4" s="115">
        <v>30021</v>
      </c>
      <c r="C4" s="86">
        <v>3</v>
      </c>
      <c r="D4" s="88" t="str">
        <f t="shared" si="1"/>
        <v>30021_3</v>
      </c>
      <c r="E4" s="116" t="str">
        <f ca="1">VLOOKUP($B4,OFFSET([2]quests!$A$1,0,0,COUNTA([2]quests!$A:$A),MATCH(E$1,[2]quests!$1:$1,0)-MATCH($B$1,[2]quests!$1:$1,0)+1),MATCH(E$1,[2]quests!$1:$1,0)-MATCH($B$1,[2]quests!$1:$1,0)+1,FALSE)</f>
        <v>野獣死すべしっ！</v>
      </c>
      <c r="F4" s="116" t="str">
        <f ca="1">VLOOKUP($D4,OFFSET([2]stages!$A$1,0,0,COUNTA([2]stages!$A:$A),MATCH(F$1,[2]stages!$2:$2,0)-MATCH($D$1,[2]stages!$2:$2,0)+1),MATCH(F$1,[2]stages!$2:$2,0)-MATCH($D$1,[2]stages!$2:$2,0)+1,FALSE)</f>
        <v>【超級】野獣死すべしっ！</v>
      </c>
      <c r="G4" s="86">
        <v>2</v>
      </c>
      <c r="H4" s="88" t="str">
        <f t="shared" si="2"/>
        <v>30021_3-2</v>
      </c>
      <c r="I4" s="116">
        <f ca="1">VLOOKUP($H4,OFFSET(floors!$A$1,0,0,COUNTA(floors!$A:$A),MATCH(I$1,floors!$1:$1,0)-MATCH($H$1,floors!$1:$1,0)+1),MATCH(I$1,floors!$1:$1,0)-MATCH($H$1,floors!$1:$1,0)+1,FALSE)</f>
        <v>60</v>
      </c>
      <c r="J4" s="116">
        <f ca="1">VLOOKUP($H4,OFFSET(floors!$A$1,0,0,COUNTA(floors!$A:$A),MATCH(J$1,floors!$1:$1,0)-MATCH($H$1,floors!$1:$1,0)+1),MATCH(J$1,floors!$1:$1,0)-MATCH($H$1,floors!$1:$1,0)+1,FALSE)</f>
        <v>60</v>
      </c>
      <c r="K4" s="89">
        <v>3</v>
      </c>
      <c r="L4" s="89">
        <v>2</v>
      </c>
      <c r="M4" s="117">
        <v>228</v>
      </c>
      <c r="N4" s="118" t="str">
        <f ca="1">VLOOKUP($M4,OFFSET([3]enemies!$A$1,0,0,COUNTA([3]enemies!$A:$A),MATCH(N$1,[3]enemies!$1:$1,0)-MATCH($M$1,[3]enemies!$1:$1,0)+1),MATCH(N$1,[3]enemies!$1:$1,0)-MATCH($M$1,[3]enemies!$1:$1,0)+1,FALSE)</f>
        <v>殲滅の掃射砲 アレス</v>
      </c>
      <c r="O4" s="118" t="str">
        <f ca="1">VLOOKUP($M4,OFFSET([3]enemies!$A$1,0,0,COUNTA([3]enemies!$A:$A),MATCH(O$1,[3]enemies!$1:$1,0)-MATCH($M$1,[3]enemies!$1:$1,0)+1),MATCH(O$1,[3]enemies!$1:$1,0)-MATCH($M$1,[3]enemies!$1:$1,0)+1,FALSE)</f>
        <v>red</v>
      </c>
      <c r="P4" s="118" t="str">
        <f ca="1">VLOOKUP($M4,OFFSET([4]characters!$A$1,0,0,COUNTA([4]characters!$A:$A),MATCH(P$1,[4]characters!$1:$1,0)-MATCH($M$1,[4]characters!$1:$1,0)+1),MATCH(P$1,[4]characters!$1:$1,0)-MATCH($M$1,[4]characters!$1:$1,0)+1,FALSE)</f>
        <v>PremiumS</v>
      </c>
      <c r="Q4" s="118" t="str">
        <f ca="1">VLOOKUP($M4,OFFSET([3]enemies!$A$1,0,0,COUNTA([3]enemies!$A:$A),MATCH(Q$1,[3]enemies!$1:$1,0)-MATCH($M$1,[3]enemies!$1:$1,0)+1),MATCH(Q$1,[3]enemies!$1:$1,0)-MATCH($M$1,[3]enemies!$1:$1,0)+1,FALSE)</f>
        <v>god</v>
      </c>
      <c r="R4" s="118">
        <f ca="1">VLOOKUP($M4,OFFSET([3]enemies!$A$1,0,0,COUNTA([3]enemies!$A:$A),MATCH(R$1,[3]enemies!$1:$1,0)-MATCH($M$1,[3]enemies!$1:$1,0)+1),MATCH(R$1,[3]enemies!$1:$1,0)-MATCH($M$1,[3]enemies!$1:$1,0)+1,FALSE)</f>
        <v>60</v>
      </c>
      <c r="S4" s="119">
        <v>60</v>
      </c>
      <c r="T4" s="120">
        <v>1.7</v>
      </c>
      <c r="U4" s="120">
        <v>0.9</v>
      </c>
      <c r="V4" s="119">
        <v>0</v>
      </c>
      <c r="W4" s="116" t="e">
        <f ca="1">VLOOKUP($X4,OFFSET(enemy_skill_sets!$B$1,0,0,COUNTA(enemy_skill_sets!$B:$B),MATCH(M$1,enemy_skill_sets!$1:$1,0)-MATCH($X$1,enemy_skill_sets!$1:$1,0)+2),MATCH(M$1,enemy_skill_sets!$1:$1,0)-MATCH($X$1,enemy_skill_sets!$1:$1,0)+2,FALSE)</f>
        <v>#N/A</v>
      </c>
      <c r="X4" s="116">
        <v>30021006</v>
      </c>
      <c r="Y4" s="317">
        <v>1</v>
      </c>
    </row>
    <row r="5" spans="1:25" s="111" customFormat="1" ht="21" customHeight="1" thickBot="1" x14ac:dyDescent="0.2">
      <c r="A5" s="91" t="str">
        <f t="shared" si="0"/>
        <v>30021_3-4/503&lt;lv60&gt;sq4st2</v>
      </c>
      <c r="B5" s="13">
        <v>30021</v>
      </c>
      <c r="C5" s="94">
        <v>3</v>
      </c>
      <c r="D5" s="8" t="str">
        <f t="shared" si="1"/>
        <v>30021_3</v>
      </c>
      <c r="E5" s="2" t="str">
        <f ca="1">VLOOKUP($B5,OFFSET([2]quests!$A$1,0,0,COUNTA([2]quests!$A:$A),MATCH(E$1,[2]quests!$1:$1,0)-MATCH($B$1,[2]quests!$1:$1,0)+1),MATCH(E$1,[2]quests!$1:$1,0)-MATCH($B$1,[2]quests!$1:$1,0)+1,FALSE)</f>
        <v>野獣死すべしっ！</v>
      </c>
      <c r="F5" s="2" t="str">
        <f ca="1">VLOOKUP($D5,OFFSET([2]stages!$A$1,0,0,COUNTA([2]stages!$A:$A),MATCH(F$1,[2]stages!$2:$2,0)-MATCH($D$1,[2]stages!$2:$2,0)+1),MATCH(F$1,[2]stages!$2:$2,0)-MATCH($D$1,[2]stages!$2:$2,0)+1,FALSE)</f>
        <v>【超級】野獣死すべしっ！</v>
      </c>
      <c r="G5" s="94">
        <v>4</v>
      </c>
      <c r="H5" s="8" t="str">
        <f t="shared" si="2"/>
        <v>30021_3-4</v>
      </c>
      <c r="I5" s="2">
        <f ca="1">VLOOKUP($H5,OFFSET(floors!$A$1,0,0,COUNTA(floors!$A:$A),MATCH(I$1,floors!$1:$1,0)-MATCH($H$1,floors!$1:$1,0)+1),MATCH(I$1,floors!$1:$1,0)-MATCH($H$1,floors!$1:$1,0)+1,FALSE)</f>
        <v>60</v>
      </c>
      <c r="J5" s="2">
        <f ca="1">VLOOKUP($H5,OFFSET(floors!$A$1,0,0,COUNTA(floors!$A:$A),MATCH(J$1,floors!$1:$1,0)-MATCH($H$1,floors!$1:$1,0)+1),MATCH(J$1,floors!$1:$1,0)-MATCH($H$1,floors!$1:$1,0)+1,FALSE)</f>
        <v>60</v>
      </c>
      <c r="K5" s="19">
        <v>4</v>
      </c>
      <c r="L5" s="19">
        <v>2</v>
      </c>
      <c r="M5" s="126">
        <v>503</v>
      </c>
      <c r="N5" s="10" t="str">
        <f ca="1">VLOOKUP($M5,OFFSET([3]enemies!$A$1,0,0,COUNTA([3]enemies!$A:$A),MATCH(N$1,[3]enemies!$1:$1,0)-MATCH($M$1,[3]enemies!$1:$1,0)+1),MATCH(N$1,[3]enemies!$1:$1,0)-MATCH($M$1,[3]enemies!$1:$1,0)+1,FALSE)</f>
        <v>破獣の爆姫 テラベル</v>
      </c>
      <c r="O5" s="10" t="str">
        <f ca="1">VLOOKUP($M5,OFFSET([3]enemies!$A$1,0,0,COUNTA([3]enemies!$A:$A),MATCH(O$1,[3]enemies!$1:$1,0)-MATCH($M$1,[3]enemies!$1:$1,0)+1),MATCH(O$1,[3]enemies!$1:$1,0)-MATCH($M$1,[3]enemies!$1:$1,0)+1,FALSE)</f>
        <v>red</v>
      </c>
      <c r="P5" s="10" t="str">
        <f ca="1">VLOOKUP($M5,OFFSET([4]characters!$A$1,0,0,COUNTA([4]characters!$A:$A),MATCH(P$1,[4]characters!$1:$1,0)-MATCH($M$1,[4]characters!$1:$1,0)+1),MATCH(P$1,[4]characters!$1:$1,0)-MATCH($M$1,[4]characters!$1:$1,0)+1,FALSE)</f>
        <v>Drop2N</v>
      </c>
      <c r="Q5" s="10" t="str">
        <f ca="1">VLOOKUP($M5,OFFSET([3]enemies!$A$1,0,0,COUNTA([3]enemies!$A:$A),MATCH(Q$1,[3]enemies!$1:$1,0)-MATCH($M$1,[3]enemies!$1:$1,0)+1),MATCH(Q$1,[3]enemies!$1:$1,0)-MATCH($M$1,[3]enemies!$1:$1,0)+1,FALSE)</f>
        <v>human</v>
      </c>
      <c r="R5" s="10">
        <f ca="1">VLOOKUP($M5,OFFSET([3]enemies!$A$1,0,0,COUNTA([3]enemies!$A:$A),MATCH(R$1,[3]enemies!$1:$1,0)-MATCH($M$1,[3]enemies!$1:$1,0)+1),MATCH(R$1,[3]enemies!$1:$1,0)-MATCH($M$1,[3]enemies!$1:$1,0)+1,FALSE)</f>
        <v>60</v>
      </c>
      <c r="S5" s="3">
        <v>60</v>
      </c>
      <c r="T5" s="15">
        <v>3.2</v>
      </c>
      <c r="U5" s="15">
        <v>1</v>
      </c>
      <c r="V5" s="3">
        <v>0</v>
      </c>
      <c r="W5" s="116" t="e">
        <f ca="1">VLOOKUP($X5,OFFSET(enemy_skill_sets!$B$1,0,0,COUNTA(enemy_skill_sets!$B:$B),MATCH(M$1,enemy_skill_sets!$1:$1,0)-MATCH($X$1,enemy_skill_sets!$1:$1,0)+2),MATCH(M$1,enemy_skill_sets!$1:$1,0)-MATCH($X$1,enemy_skill_sets!$1:$1,0)+2,FALSE)</f>
        <v>#N/A</v>
      </c>
      <c r="X5" s="2">
        <v>30021012</v>
      </c>
      <c r="Y5" s="318">
        <v>2</v>
      </c>
    </row>
    <row r="6" spans="1:25" s="133" customFormat="1" ht="21" customHeight="1" thickBot="1" x14ac:dyDescent="0.2">
      <c r="A6" s="96" t="str">
        <f t="shared" si="0"/>
        <v>30021_3-4/503&lt;lv60&gt;sq4st3</v>
      </c>
      <c r="B6" s="127">
        <v>30021</v>
      </c>
      <c r="C6" s="100">
        <v>3</v>
      </c>
      <c r="D6" s="102" t="str">
        <f t="shared" si="1"/>
        <v>30021_3</v>
      </c>
      <c r="E6" s="128" t="str">
        <f ca="1">VLOOKUP($B6,OFFSET([2]quests!$A$1,0,0,COUNTA([2]quests!$A:$A),MATCH(E$1,[2]quests!$1:$1,0)-MATCH($B$1,[2]quests!$1:$1,0)+1),MATCH(E$1,[2]quests!$1:$1,0)-MATCH($B$1,[2]quests!$1:$1,0)+1,FALSE)</f>
        <v>野獣死すべしっ！</v>
      </c>
      <c r="F6" s="128" t="str">
        <f ca="1">VLOOKUP($D6,OFFSET([2]stages!$A$1,0,0,COUNTA([2]stages!$A:$A),MATCH(F$1,[2]stages!$2:$2,0)-MATCH($D$1,[2]stages!$2:$2,0)+1),MATCH(F$1,[2]stages!$2:$2,0)-MATCH($D$1,[2]stages!$2:$2,0)+1,FALSE)</f>
        <v>【超級】野獣死すべしっ！</v>
      </c>
      <c r="G6" s="100">
        <v>4</v>
      </c>
      <c r="H6" s="102" t="str">
        <f t="shared" si="2"/>
        <v>30021_3-4</v>
      </c>
      <c r="I6" s="128">
        <f ca="1">VLOOKUP($H6,OFFSET(floors!$A$1,0,0,COUNTA(floors!$A:$A),MATCH(I$1,floors!$1:$1,0)-MATCH($H$1,floors!$1:$1,0)+1),MATCH(I$1,floors!$1:$1,0)-MATCH($H$1,floors!$1:$1,0)+1,FALSE)</f>
        <v>60</v>
      </c>
      <c r="J6" s="128">
        <f ca="1">VLOOKUP($H6,OFFSET(floors!$A$1,0,0,COUNTA(floors!$A:$A),MATCH(J$1,floors!$1:$1,0)-MATCH($H$1,floors!$1:$1,0)+1),MATCH(J$1,floors!$1:$1,0)-MATCH($H$1,floors!$1:$1,0)+1,FALSE)</f>
        <v>60</v>
      </c>
      <c r="K6" s="103">
        <v>4</v>
      </c>
      <c r="L6" s="103">
        <v>3</v>
      </c>
      <c r="M6" s="129">
        <v>503</v>
      </c>
      <c r="N6" s="130" t="str">
        <f ca="1">VLOOKUP($M6,OFFSET([3]enemies!$A$1,0,0,COUNTA([3]enemies!$A:$A),MATCH(N$1,[3]enemies!$1:$1,0)-MATCH($M$1,[3]enemies!$1:$1,0)+1),MATCH(N$1,[3]enemies!$1:$1,0)-MATCH($M$1,[3]enemies!$1:$1,0)+1,FALSE)</f>
        <v>破獣の爆姫 テラベル</v>
      </c>
      <c r="O6" s="130" t="str">
        <f ca="1">VLOOKUP($M6,OFFSET([3]enemies!$A$1,0,0,COUNTA([3]enemies!$A:$A),MATCH(O$1,[3]enemies!$1:$1,0)-MATCH($M$1,[3]enemies!$1:$1,0)+1),MATCH(O$1,[3]enemies!$1:$1,0)-MATCH($M$1,[3]enemies!$1:$1,0)+1,FALSE)</f>
        <v>red</v>
      </c>
      <c r="P6" s="130" t="str">
        <f ca="1">VLOOKUP($M6,OFFSET([4]characters!$A$1,0,0,COUNTA([4]characters!$A:$A),MATCH(P$1,[4]characters!$1:$1,0)-MATCH($M$1,[4]characters!$1:$1,0)+1),MATCH(P$1,[4]characters!$1:$1,0)-MATCH($M$1,[4]characters!$1:$1,0)+1,FALSE)</f>
        <v>Drop2N</v>
      </c>
      <c r="Q6" s="130" t="str">
        <f ca="1">VLOOKUP($M6,OFFSET([3]enemies!$A$1,0,0,COUNTA([3]enemies!$A:$A),MATCH(Q$1,[3]enemies!$1:$1,0)-MATCH($M$1,[3]enemies!$1:$1,0)+1),MATCH(Q$1,[3]enemies!$1:$1,0)-MATCH($M$1,[3]enemies!$1:$1,0)+1,FALSE)</f>
        <v>human</v>
      </c>
      <c r="R6" s="130">
        <f ca="1">VLOOKUP($M6,OFFSET([3]enemies!$A$1,0,0,COUNTA([3]enemies!$A:$A),MATCH(R$1,[3]enemies!$1:$1,0)-MATCH($M$1,[3]enemies!$1:$1,0)+1),MATCH(R$1,[3]enemies!$1:$1,0)-MATCH($M$1,[3]enemies!$1:$1,0)+1,FALSE)</f>
        <v>60</v>
      </c>
      <c r="S6" s="131">
        <v>60</v>
      </c>
      <c r="T6" s="132">
        <v>3.2</v>
      </c>
      <c r="U6" s="132">
        <v>1</v>
      </c>
      <c r="V6" s="131">
        <v>0</v>
      </c>
      <c r="W6" s="116" t="e">
        <f ca="1">VLOOKUP($X6,OFFSET(enemy_skill_sets!$B$1,0,0,COUNTA(enemy_skill_sets!$B:$B),MATCH(M$1,enemy_skill_sets!$1:$1,0)-MATCH($X$1,enemy_skill_sets!$1:$1,0)+2),MATCH(M$1,enemy_skill_sets!$1:$1,0)-MATCH($X$1,enemy_skill_sets!$1:$1,0)+2,FALSE)</f>
        <v>#N/A</v>
      </c>
      <c r="X6" s="128">
        <v>30021013</v>
      </c>
      <c r="Y6" s="319">
        <v>2</v>
      </c>
    </row>
  </sheetData>
  <sheetProtection selectLockedCells="1" selectUnlockedCells="1"/>
  <autoFilter ref="B1:Y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39"/>
  <sheetViews>
    <sheetView showGridLines="0" workbookViewId="0">
      <pane xSplit="5" ySplit="1" topLeftCell="F18" activePane="bottomRight" state="frozen"/>
      <selection pane="topRight"/>
      <selection pane="bottomLeft"/>
      <selection pane="bottomRight" activeCell="F27" sqref="F27"/>
    </sheetView>
  </sheetViews>
  <sheetFormatPr baseColWidth="12" defaultColWidth="12.83203125" defaultRowHeight="21" customHeight="1" outlineLevelCol="1" x14ac:dyDescent="0.15"/>
  <cols>
    <col min="1" max="1" width="11.33203125" style="20" bestFit="1" customWidth="1"/>
    <col min="2" max="2" width="9.5" style="28" bestFit="1" customWidth="1"/>
    <col min="3" max="3" width="9.6640625" style="28" customWidth="1"/>
    <col min="4" max="4" width="18.5" style="28" customWidth="1" outlineLevel="1"/>
    <col min="5" max="5" width="44.1640625" style="28" bestFit="1" customWidth="1" outlineLevel="1"/>
    <col min="6" max="6" width="10.83203125" style="28" bestFit="1" customWidth="1"/>
    <col min="7" max="7" width="8.33203125" style="28" customWidth="1" outlineLevel="1"/>
    <col min="8" max="9" width="12.83203125" style="28" outlineLevel="1"/>
    <col min="10" max="10" width="17.6640625" style="28" bestFit="1" customWidth="1" outlineLevel="1"/>
    <col min="11" max="15" width="12.83203125" style="28" outlineLevel="1"/>
    <col min="16" max="16" width="8.33203125" style="25" bestFit="1" customWidth="1"/>
    <col min="17" max="17" width="9.6640625" style="25" customWidth="1"/>
    <col min="18" max="18" width="56.5" style="25" bestFit="1" customWidth="1"/>
    <col min="19" max="16384" width="12.83203125" style="25"/>
  </cols>
  <sheetData>
    <row r="1" spans="1:18" ht="21" customHeight="1" thickBot="1" x14ac:dyDescent="0.2">
      <c r="A1" s="20" t="s">
        <v>60</v>
      </c>
      <c r="B1" s="274" t="s">
        <v>61</v>
      </c>
      <c r="C1" s="274" t="s">
        <v>62</v>
      </c>
      <c r="D1" s="275" t="s">
        <v>63</v>
      </c>
      <c r="E1" s="275" t="s">
        <v>64</v>
      </c>
      <c r="F1" s="32" t="s">
        <v>65</v>
      </c>
      <c r="G1" s="24" t="s">
        <v>66</v>
      </c>
      <c r="H1" s="24" t="s">
        <v>68</v>
      </c>
      <c r="I1" s="24" t="s">
        <v>69</v>
      </c>
      <c r="J1" s="24" t="s">
        <v>70</v>
      </c>
      <c r="K1" s="24" t="s">
        <v>71</v>
      </c>
      <c r="L1" s="24" t="s">
        <v>72</v>
      </c>
      <c r="M1" s="24" t="s">
        <v>73</v>
      </c>
      <c r="N1" s="24" t="s">
        <v>74</v>
      </c>
      <c r="O1" s="24" t="s">
        <v>75</v>
      </c>
      <c r="P1" s="275" t="s">
        <v>76</v>
      </c>
      <c r="Q1" s="275" t="s">
        <v>77</v>
      </c>
      <c r="R1" s="275" t="s">
        <v>78</v>
      </c>
    </row>
    <row r="2" spans="1:18" s="285" customFormat="1" ht="21" customHeight="1" thickBot="1" x14ac:dyDescent="0.2">
      <c r="A2" s="280" t="str">
        <f t="shared" ref="A2" si="0">B2&amp;"_"&amp;C2</f>
        <v>30021001_30021001</v>
      </c>
      <c r="B2" s="281">
        <v>30021001</v>
      </c>
      <c r="C2" s="281">
        <v>30021001</v>
      </c>
      <c r="D2" s="310" t="str">
        <f ca="1">VLOOKUP($C2,OFFSET(enemy_skills!$A$1,0,0,COUNTA(enemy_skills!$A:$A),MATCH(D$1,enemy_skills!$1:$1,0)-MATCH("enemy_skill_id",enemy_skills!$1:$1,0)+1),MATCH(D$1,enemy_skills!$1:$1,0)-MATCH("enemy_skill_id",enemy_skills!$1:$1,0)+1,FALSE)</f>
        <v>ラピッドファイア</v>
      </c>
      <c r="E2" s="310" t="str">
        <f ca="1">VLOOKUP($C2,OFFSET(enemy_skills!$A$1,0,0,COUNTA(enemy_skills!$A:$A),MATCH(E$1,enemy_skills!$1:$1,0)-MATCH("enemy_skill_id",enemy_skills!$1:$1,0)+1),MATCH(E$1,enemy_skills!$1:$1,0)-MATCH("enemy_skill_id",enemy_skills!$1:$1,0)+1,FALSE)</f>
        <v>3連続攻撃</v>
      </c>
      <c r="F2" s="281">
        <v>30021001</v>
      </c>
      <c r="G2" s="309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309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309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309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2" s="309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309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2" s="309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309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309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282" t="s">
        <v>298</v>
      </c>
      <c r="Q2" s="283">
        <v>42355</v>
      </c>
      <c r="R2" s="284" t="s">
        <v>271</v>
      </c>
    </row>
    <row r="3" spans="1:18" s="287" customFormat="1" ht="21" customHeight="1" thickBot="1" x14ac:dyDescent="0.2">
      <c r="A3" s="286" t="str">
        <f t="shared" ref="A3:A32" si="1">B3&amp;"_"&amp;C3</f>
        <v>30021002_30021002</v>
      </c>
      <c r="B3" s="26">
        <v>30021002</v>
      </c>
      <c r="C3" s="26">
        <v>30021002</v>
      </c>
      <c r="D3" s="311" t="str">
        <f ca="1">VLOOKUP($C3,OFFSET(enemy_skills!$A$1,0,0,COUNTA(enemy_skills!$A:$A),MATCH(D$1,enemy_skills!$1:$1,0)-MATCH("enemy_skill_id",enemy_skills!$1:$1,0)+1),MATCH(D$1,enemy_skills!$1:$1,0)-MATCH("enemy_skill_id",enemy_skills!$1:$1,0)+1,FALSE)</f>
        <v>ラピッドファイア</v>
      </c>
      <c r="E3" s="311" t="str">
        <f ca="1">VLOOKUP($C3,OFFSET(enemy_skills!$A$1,0,0,COUNTA(enemy_skills!$A:$A),MATCH(E$1,enemy_skills!$1:$1,0)-MATCH("enemy_skill_id",enemy_skills!$1:$1,0)+1),MATCH(E$1,enemy_skills!$1:$1,0)-MATCH("enemy_skill_id",enemy_skills!$1:$1,0)+1,FALSE)</f>
        <v>4連続攻撃</v>
      </c>
      <c r="F3" s="26">
        <v>30021001</v>
      </c>
      <c r="G3" s="309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309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309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309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3" s="309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309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3" s="309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309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309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29" t="s">
        <v>298</v>
      </c>
      <c r="Q3" s="31">
        <v>42355</v>
      </c>
      <c r="R3" s="30" t="s">
        <v>288</v>
      </c>
    </row>
    <row r="4" spans="1:18" s="287" customFormat="1" ht="21" customHeight="1" thickBot="1" x14ac:dyDescent="0.2">
      <c r="A4" s="286" t="str">
        <f t="shared" si="1"/>
        <v>30021003_30021003</v>
      </c>
      <c r="B4" s="26">
        <v>30021003</v>
      </c>
      <c r="C4" s="26">
        <v>30021003</v>
      </c>
      <c r="D4" s="311" t="str">
        <f ca="1">VLOOKUP($C4,OFFSET(enemy_skills!$A$1,0,0,COUNTA(enemy_skills!$A:$A),MATCH(D$1,enemy_skills!$1:$1,0)-MATCH("enemy_skill_id",enemy_skills!$1:$1,0)+1),MATCH(D$1,enemy_skills!$1:$1,0)-MATCH("enemy_skill_id",enemy_skills!$1:$1,0)+1,FALSE)</f>
        <v>突撃</v>
      </c>
      <c r="E4" s="311" t="str">
        <f ca="1">VLOOKUP($C4,OFFSET(enemy_skills!$A$1,0,0,COUNTA(enemy_skills!$A:$A),MATCH(E$1,enemy_skills!$1:$1,0)-MATCH("enemy_skill_id",enemy_skills!$1:$1,0)+1),MATCH(E$1,enemy_skills!$1:$1,0)-MATCH("enemy_skill_id",enemy_skills!$1:$1,0)+1,FALSE)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4" s="26">
        <v>30021002</v>
      </c>
      <c r="G4" s="309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309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309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4" s="309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309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309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309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309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309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4" s="29" t="s">
        <v>298</v>
      </c>
      <c r="Q4" s="31">
        <v>42355</v>
      </c>
      <c r="R4" s="30" t="s">
        <v>273</v>
      </c>
    </row>
    <row r="5" spans="1:18" s="287" customFormat="1" ht="21" customHeight="1" thickBot="1" x14ac:dyDescent="0.2">
      <c r="A5" s="286" t="str">
        <f t="shared" si="1"/>
        <v>30021004_30021004</v>
      </c>
      <c r="B5" s="298">
        <v>30021004</v>
      </c>
      <c r="C5" s="298">
        <v>30021004</v>
      </c>
      <c r="D5" s="313" t="str">
        <f ca="1">VLOOKUP($C5,OFFSET(enemy_skills!$A$1,0,0,COUNTA(enemy_skills!$A:$A),MATCH(D$1,enemy_skills!$1:$1,0)-MATCH("enemy_skill_id",enemy_skills!$1:$1,0)+1),MATCH(D$1,enemy_skills!$1:$1,0)-MATCH("enemy_skill_id",enemy_skills!$1:$1,0)+1,FALSE)</f>
        <v>突撃</v>
      </c>
      <c r="E5" s="313" t="str">
        <f ca="1">VLOOKUP($C5,OFFSET(enemy_skills!$A$1,0,0,COUNTA(enemy_skills!$A:$A),MATCH(E$1,enemy_skills!$1:$1,0)-MATCH("enemy_skill_id",enemy_skills!$1:$1,0)+1),MATCH(E$1,enemy_skills!$1:$1,0)-MATCH("enemy_skill_id",enemy_skills!$1:$1,0)+1,FALSE)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5" s="298">
        <v>30021002</v>
      </c>
      <c r="G5" s="324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324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324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5" s="324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324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324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324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324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324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5" s="301" t="s">
        <v>298</v>
      </c>
      <c r="Q5" s="302">
        <v>42355</v>
      </c>
      <c r="R5" s="304" t="s">
        <v>289</v>
      </c>
    </row>
    <row r="6" spans="1:18" s="329" customFormat="1" ht="21" customHeight="1" x14ac:dyDescent="0.15">
      <c r="A6" s="305" t="str">
        <f t="shared" ref="A6" si="2">B6&amp;"_"&amp;C6</f>
        <v>30021005_30021041</v>
      </c>
      <c r="B6" s="281">
        <v>30021005</v>
      </c>
      <c r="C6" s="281">
        <v>30021041</v>
      </c>
      <c r="D6" s="310" t="str">
        <f ca="1">VLOOKUP($C6,OFFSET(enemy_skills!$A$1,0,0,COUNTA(enemy_skills!$A:$A),MATCH(D$1,enemy_skills!$1:$1,0)-MATCH("enemy_skill_id",enemy_skills!$1:$1,0)+1),MATCH(D$1,enemy_skills!$1:$1,0)-MATCH("enemy_skill_id",enemy_skills!$1:$1,0)+1,FALSE)</f>
        <v>マルチプロテクト</v>
      </c>
      <c r="E6" s="310" t="str">
        <f ca="1">VLOOKUP($C6,OFFSET(enemy_skills!$A$1,0,0,COUNTA(enemy_skills!$A:$A),MATCH(E$1,enemy_skills!$1:$1,0)-MATCH("enemy_skill_id",enemy_skills!$1:$1,0)+1),MATCH(E$1,enemy_skills!$1:$1,0)-MATCH("enemy_skill_id",enemy_skills!$1:$1,0)+1,FALSE)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6" s="294">
        <v>30021009</v>
      </c>
      <c r="G6" s="309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309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309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309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309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309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309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309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309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282" t="s">
        <v>298</v>
      </c>
      <c r="Q6" s="283">
        <v>42355</v>
      </c>
      <c r="R6" s="284" t="s">
        <v>276</v>
      </c>
    </row>
    <row r="7" spans="1:18" s="328" customFormat="1" ht="21" customHeight="1" x14ac:dyDescent="0.15">
      <c r="A7" s="306" t="str">
        <f t="shared" si="1"/>
        <v>30021005_30021005</v>
      </c>
      <c r="B7" s="26">
        <v>30021005</v>
      </c>
      <c r="C7" s="26">
        <v>30021005</v>
      </c>
      <c r="D7" s="311" t="str">
        <f ca="1">VLOOKUP($C7,OFFSET(enemy_skills!$A$1,0,0,COUNTA(enemy_skills!$A:$A),MATCH(D$1,enemy_skills!$1:$1,0)-MATCH("enemy_skill_id",enemy_skills!$1:$1,0)+1),MATCH(D$1,enemy_skills!$1:$1,0)-MATCH("enemy_skill_id",enemy_skills!$1:$1,0)+1,FALSE)</f>
        <v>グレネード・セット</v>
      </c>
      <c r="E7" s="311" t="str">
        <f ca="1">VLOOKUP($C7,OFFSET(enemy_skills!$A$1,0,0,COUNTA(enemy_skills!$A:$A),MATCH(E$1,enemy_skills!$1:$1,0)-MATCH("enemy_skill_id",enemy_skills!$1:$1,0)+1),MATCH(E$1,enemy_skills!$1:$1,0)-MATCH("enemy_skill_id",enemy_skills!$1:$1,0)+1,FALSE)</f>
        <v>次のターンに強力な攻撃</v>
      </c>
      <c r="F7" s="271">
        <v>30021031</v>
      </c>
      <c r="G7" s="327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327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7" s="327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327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15</v>
      </c>
      <c r="K7" s="327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327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327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327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327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29" t="s">
        <v>298</v>
      </c>
      <c r="Q7" s="31">
        <v>42355</v>
      </c>
      <c r="R7" s="30" t="s">
        <v>276</v>
      </c>
    </row>
    <row r="8" spans="1:18" s="328" customFormat="1" ht="21" customHeight="1" x14ac:dyDescent="0.15">
      <c r="A8" s="306" t="str">
        <f t="shared" si="1"/>
        <v>30021005_30021006</v>
      </c>
      <c r="B8" s="26">
        <v>30021005</v>
      </c>
      <c r="C8" s="26">
        <v>30021006</v>
      </c>
      <c r="D8" s="311" t="str">
        <f ca="1">VLOOKUP($C8,OFFSET(enemy_skills!$A$1,0,0,COUNTA(enemy_skills!$A:$A),MATCH(D$1,enemy_skills!$1:$1,0)-MATCH("enemy_skill_id",enemy_skills!$1:$1,0)+1),MATCH(D$1,enemy_skills!$1:$1,0)-MATCH("enemy_skill_id",enemy_skills!$1:$1,0)+1,FALSE)</f>
        <v>クイックショット</v>
      </c>
      <c r="E8" s="311" t="str">
        <f ca="1">VLOOKUP($C8,OFFSET(enemy_skills!$A$1,0,0,COUNTA(enemy_skills!$A:$A),MATCH(E$1,enemy_skills!$1:$1,0)-MATCH("enemy_skill_id",enemy_skills!$1:$1,0)+1),MATCH(E$1,enemy_skills!$1:$1,0)-MATCH("enemy_skill_id",enemy_skills!$1:$1,0)+1,FALSE)</f>
        <v>3連続攻撃</v>
      </c>
      <c r="F8" s="271">
        <v>30021004</v>
      </c>
      <c r="G8" s="327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327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327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8" s="327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327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15</v>
      </c>
      <c r="L8" s="327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327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8" s="327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327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8" s="29" t="s">
        <v>298</v>
      </c>
      <c r="Q8" s="31">
        <v>42355</v>
      </c>
      <c r="R8" s="30" t="s">
        <v>277</v>
      </c>
    </row>
    <row r="9" spans="1:18" s="328" customFormat="1" ht="21" customHeight="1" x14ac:dyDescent="0.15">
      <c r="A9" s="306" t="str">
        <f t="shared" si="1"/>
        <v>30021005_30021007</v>
      </c>
      <c r="B9" s="26">
        <v>30021005</v>
      </c>
      <c r="C9" s="26">
        <v>30021007</v>
      </c>
      <c r="D9" s="311" t="str">
        <f ca="1">VLOOKUP($C9,OFFSET(enemy_skills!$A$1,0,0,COUNTA(enemy_skills!$A:$A),MATCH(D$1,enemy_skills!$1:$1,0)-MATCH("enemy_skill_id",enemy_skills!$1:$1,0)+1),MATCH(D$1,enemy_skills!$1:$1,0)-MATCH("enemy_skill_id",enemy_skills!$1:$1,0)+1,FALSE)</f>
        <v>リロード</v>
      </c>
      <c r="E9" s="311" t="str">
        <f ca="1">VLOOKUP($C9,OFFSET(enemy_skills!$A$1,0,0,COUNTA(enemy_skills!$A:$A),MATCH(E$1,enemy_skills!$1:$1,0)-MATCH("enemy_skill_id",enemy_skills!$1:$1,0)+1),MATCH(E$1,enemy_skills!$1:$1,0)-MATCH("enemy_skill_id",enemy_skills!$1:$1,0)+1,FALSE)</f>
        <v>3ターン攻撃力アップ</v>
      </c>
      <c r="F9" s="271">
        <v>30021005</v>
      </c>
      <c r="G9" s="327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327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327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327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327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15</v>
      </c>
      <c r="L9" s="327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327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9" s="327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327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29" t="s">
        <v>298</v>
      </c>
      <c r="Q9" s="31">
        <v>42355</v>
      </c>
      <c r="R9" s="30" t="s">
        <v>278</v>
      </c>
    </row>
    <row r="10" spans="1:18" s="331" customFormat="1" ht="21" customHeight="1" thickBot="1" x14ac:dyDescent="0.2">
      <c r="A10" s="307" t="str">
        <f t="shared" ref="A10" si="3">B10&amp;"_"&amp;C10</f>
        <v>30021005_30021039</v>
      </c>
      <c r="B10" s="289">
        <v>30021005</v>
      </c>
      <c r="C10" s="289">
        <v>30021039</v>
      </c>
      <c r="D10" s="312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ツイングレネード</v>
      </c>
      <c r="E10" s="312" t="str">
        <f ca="1">VLOOKUP($C10,OFFSET(enemy_skills!$A$1,0,0,COUNTA(enemy_skills!$A:$A),MATCH(E$1,enemy_skills!$1:$1,0)-MATCH("enemy_skill_id",enemy_skills!$1:$1,0)+1),MATCH(E$1,enemy_skills!$1:$1,0)-MATCH("enemy_skill_id",enemy_skills!$1:$1,0)+1,FALSE)</f>
        <v>強力な2連続攻撃！</v>
      </c>
      <c r="F10" s="295">
        <v>30021008</v>
      </c>
      <c r="G10" s="330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330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0" s="330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330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15</v>
      </c>
      <c r="K10" s="330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330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330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330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330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290" t="s">
        <v>298</v>
      </c>
      <c r="Q10" s="291">
        <v>42355</v>
      </c>
      <c r="R10" s="292" t="s">
        <v>278</v>
      </c>
    </row>
    <row r="11" spans="1:18" s="287" customFormat="1" ht="21" customHeight="1" thickBot="1" x14ac:dyDescent="0.2">
      <c r="A11" s="286" t="str">
        <f t="shared" si="1"/>
        <v>30021006_30021008</v>
      </c>
      <c r="B11" s="276">
        <v>30021006</v>
      </c>
      <c r="C11" s="276">
        <v>30021008</v>
      </c>
      <c r="D11" s="314" t="str">
        <f ca="1">VLOOKUP($C11,OFFSET(enemy_skills!$A$1,0,0,COUNTA(enemy_skills!$A:$A),MATCH(D$1,enemy_skills!$1:$1,0)-MATCH("enemy_skill_id",enemy_skills!$1:$1,0)+1),MATCH(D$1,enemy_skills!$1:$1,0)-MATCH("enemy_skill_id",enemy_skills!$1:$1,0)+1,FALSE)</f>
        <v>制圧射撃</v>
      </c>
      <c r="E11" s="314" t="str">
        <f ca="1">VLOOKUP($C11,OFFSET(enemy_skills!$A$1,0,0,COUNTA(enemy_skills!$A:$A),MATCH(E$1,enemy_skills!$1:$1,0)-MATCH("enemy_skill_id",enemy_skills!$1:$1,0)+1),MATCH(E$1,enemy_skills!$1:$1,0)-MATCH("enemy_skill_id",enemy_skills!$1:$1,0)+1,FALSE)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1" s="277">
        <v>30021006</v>
      </c>
      <c r="G11" s="325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325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1" s="325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325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325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15</v>
      </c>
      <c r="L11" s="325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325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1" s="325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325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278" t="s">
        <v>298</v>
      </c>
      <c r="Q11" s="279">
        <v>42355</v>
      </c>
      <c r="R11" s="326" t="s">
        <v>279</v>
      </c>
    </row>
    <row r="12" spans="1:18" s="287" customFormat="1" ht="21" customHeight="1" x14ac:dyDescent="0.15">
      <c r="A12" s="286" t="str">
        <f t="shared" si="1"/>
        <v>30021006_30021009</v>
      </c>
      <c r="B12" s="26">
        <v>30021006</v>
      </c>
      <c r="C12" s="26">
        <v>30021009</v>
      </c>
      <c r="D12" s="311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トリガーハッピー</v>
      </c>
      <c r="E12" s="311" t="str">
        <f ca="1">VLOOKUP($C12,OFFSET(enemy_skills!$A$1,0,0,COUNTA(enemy_skills!$A:$A),MATCH(E$1,enemy_skills!$1:$1,0)-MATCH("enemy_skill_id",enemy_skills!$1:$1,0)+1),MATCH(E$1,enemy_skills!$1:$1,0)-MATCH("enemy_skill_id",enemy_skills!$1:$1,0)+1,FALSE)</f>
        <v>4連続攻撃&amp;永続攻撃力アップ</v>
      </c>
      <c r="F12" s="271">
        <v>30021007</v>
      </c>
      <c r="G12" s="309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309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2" s="309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309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309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15</v>
      </c>
      <c r="L12" s="309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309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2" s="309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309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29" t="s">
        <v>298</v>
      </c>
      <c r="Q12" s="31">
        <v>42355</v>
      </c>
      <c r="R12" s="30" t="s">
        <v>280</v>
      </c>
    </row>
    <row r="13" spans="1:18" s="328" customFormat="1" ht="21" customHeight="1" thickBot="1" x14ac:dyDescent="0.2">
      <c r="A13" s="306" t="str">
        <f t="shared" ref="A13" si="4">B13&amp;"_"&amp;C13</f>
        <v>30021006_30021005</v>
      </c>
      <c r="B13" s="26">
        <v>30021006</v>
      </c>
      <c r="C13" s="26">
        <v>30021005</v>
      </c>
      <c r="D13" s="311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グレネード・セット</v>
      </c>
      <c r="E13" s="311" t="str">
        <f ca="1">VLOOKUP($C13,OFFSET(enemy_skills!$A$1,0,0,COUNTA(enemy_skills!$A:$A),MATCH(E$1,enemy_skills!$1:$1,0)-MATCH("enemy_skill_id",enemy_skills!$1:$1,0)+1),MATCH(E$1,enemy_skills!$1:$1,0)-MATCH("enemy_skill_id",enemy_skills!$1:$1,0)+1,FALSE)</f>
        <v>次のターンに強力な攻撃</v>
      </c>
      <c r="F13" s="271">
        <v>30021031</v>
      </c>
      <c r="G13" s="327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327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13" s="327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327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15</v>
      </c>
      <c r="K13" s="327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327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327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327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327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29" t="s">
        <v>298</v>
      </c>
      <c r="Q13" s="31">
        <v>42355</v>
      </c>
      <c r="R13" s="30" t="s">
        <v>276</v>
      </c>
    </row>
    <row r="14" spans="1:18" s="293" customFormat="1" ht="21" customHeight="1" thickBot="1" x14ac:dyDescent="0.2">
      <c r="A14" s="288" t="str">
        <f t="shared" si="1"/>
        <v>30021016_30021010</v>
      </c>
      <c r="B14" s="289">
        <v>30021016</v>
      </c>
      <c r="C14" s="289">
        <v>30021010</v>
      </c>
      <c r="D14" s="312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ハイパーグレネード！</v>
      </c>
      <c r="E14" s="312" t="str">
        <f ca="1">VLOOKUP($C14,OFFSET(enemy_skills!$A$1,0,0,COUNTA(enemy_skills!$A:$A),MATCH(E$1,enemy_skills!$1:$1,0)-MATCH("enemy_skill_id",enemy_skills!$1:$1,0)+1),MATCH(E$1,enemy_skills!$1:$1,0)-MATCH("enemy_skill_id",enemy_skills!$1:$1,0)+1,FALSE)</f>
        <v>自爆</v>
      </c>
      <c r="F14" s="295">
        <v>30021008</v>
      </c>
      <c r="G14" s="309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309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4" s="309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309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15</v>
      </c>
      <c r="K14" s="309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309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309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309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309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290" t="s">
        <v>298</v>
      </c>
      <c r="Q14" s="291">
        <v>42355</v>
      </c>
      <c r="R14" s="292" t="s">
        <v>281</v>
      </c>
    </row>
    <row r="15" spans="1:18" s="285" customFormat="1" ht="21" customHeight="1" thickBot="1" x14ac:dyDescent="0.2">
      <c r="A15" s="280" t="str">
        <f t="shared" si="1"/>
        <v>30021007_30021011</v>
      </c>
      <c r="B15" s="281">
        <v>30021007</v>
      </c>
      <c r="C15" s="281">
        <v>30021011</v>
      </c>
      <c r="D15" s="310" t="str">
        <f ca="1">VLOOKUP($C15,OFFSET(enemy_skills!$A$1,0,0,COUNTA(enemy_skills!$A:$A),MATCH(D$1,enemy_skills!$1:$1,0)-MATCH("enemy_skill_id",enemy_skills!$1:$1,0)+1),MATCH(D$1,enemy_skills!$1:$1,0)-MATCH("enemy_skill_id",enemy_skills!$1:$1,0)+1,FALSE)</f>
        <v>防弾シールド</v>
      </c>
      <c r="E15" s="310" t="str">
        <f ca="1">VLOOKUP($C15,OFFSET(enemy_skills!$A$1,0,0,COUNTA(enemy_skills!$A:$A),MATCH(E$1,enemy_skills!$1:$1,0)-MATCH("enemy_skill_id",enemy_skills!$1:$1,0)+1),MATCH(E$1,enemy_skills!$1:$1,0)-MATCH("enemy_skill_id",enemy_skills!$1:$1,0)+1,FALSE)</f>
        <v>3ターン防御UP</v>
      </c>
      <c r="F15" s="294">
        <v>30021009</v>
      </c>
      <c r="G15" s="309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309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309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309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309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309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309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309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309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282" t="s">
        <v>298</v>
      </c>
      <c r="Q15" s="283">
        <v>42355</v>
      </c>
      <c r="R15" s="284" t="s">
        <v>283</v>
      </c>
    </row>
    <row r="16" spans="1:18" s="287" customFormat="1" ht="21" customHeight="1" thickBot="1" x14ac:dyDescent="0.2">
      <c r="A16" s="286" t="str">
        <f t="shared" si="1"/>
        <v>30021008_30021012</v>
      </c>
      <c r="B16" s="26">
        <v>30021008</v>
      </c>
      <c r="C16" s="26">
        <v>30021012</v>
      </c>
      <c r="D16" s="311" t="str">
        <f ca="1">VLOOKUP($C16,OFFSET(enemy_skills!$A$1,0,0,COUNTA(enemy_skills!$A:$A),MATCH(D$1,enemy_skills!$1:$1,0)-MATCH("enemy_skill_id",enemy_skills!$1:$1,0)+1),MATCH(D$1,enemy_skills!$1:$1,0)-MATCH("enemy_skill_id",enemy_skills!$1:$1,0)+1,FALSE)</f>
        <v>防護システム</v>
      </c>
      <c r="E16" s="311" t="str">
        <f ca="1">VLOOKUP($C16,OFFSET(enemy_skills!$A$1,0,0,COUNTA(enemy_skills!$A:$A),MATCH(E$1,enemy_skills!$1:$1,0)-MATCH("enemy_skill_id",enemy_skills!$1:$1,0)+1),MATCH(E$1,enemy_skills!$1:$1,0)-MATCH("enemy_skill_id",enemy_skills!$1:$1,0)+1,FALSE)</f>
        <v>1ターンカウンター&amp;3ターン防御UP</v>
      </c>
      <c r="F16" s="271">
        <v>30021010</v>
      </c>
      <c r="G16" s="309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309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309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309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309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309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309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309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309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29" t="s">
        <v>298</v>
      </c>
      <c r="Q16" s="31">
        <v>42355</v>
      </c>
      <c r="R16" s="30" t="s">
        <v>290</v>
      </c>
    </row>
    <row r="17" spans="1:18" s="287" customFormat="1" ht="21" customHeight="1" thickBot="1" x14ac:dyDescent="0.2">
      <c r="A17" s="286" t="str">
        <f t="shared" si="1"/>
        <v>30021009_30021013</v>
      </c>
      <c r="B17" s="26">
        <v>30021009</v>
      </c>
      <c r="C17" s="26">
        <v>30021013</v>
      </c>
      <c r="D17" s="311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ネックショット！</v>
      </c>
      <c r="E17" s="311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7" s="271">
        <v>30021011</v>
      </c>
      <c r="G17" s="309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309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309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17" s="309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309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309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17" s="309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309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309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17" s="29" t="s">
        <v>298</v>
      </c>
      <c r="Q17" s="31">
        <v>42355</v>
      </c>
      <c r="R17" s="30" t="s">
        <v>284</v>
      </c>
    </row>
    <row r="18" spans="1:18" s="287" customFormat="1" ht="21" customHeight="1" thickBot="1" x14ac:dyDescent="0.2">
      <c r="A18" s="286" t="str">
        <f t="shared" si="1"/>
        <v>30021010_30021014</v>
      </c>
      <c r="B18" s="298">
        <v>30021010</v>
      </c>
      <c r="C18" s="298">
        <v>30021014</v>
      </c>
      <c r="D18" s="313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ヘッドショット！</v>
      </c>
      <c r="E18" s="313" t="str">
        <f ca="1">VLOOKUP($C18,OFFSET(enemy_skills!$A$1,0,0,COUNTA(enemy_skills!$A:$A),MATCH(E$1,enemy_skills!$1:$1,0)-MATCH("enemy_skill_id",enemy_skills!$1:$1,0)+1),MATCH(E$1,enemy_skills!$1:$1,0)-MATCH("enemy_skill_id",enemy_skills!$1:$1,0)+1,FALSE)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8" s="299">
        <v>30021012</v>
      </c>
      <c r="G18" s="309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309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309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18" s="309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309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309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18" s="309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309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309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18" s="301" t="s">
        <v>298</v>
      </c>
      <c r="Q18" s="302">
        <v>42355</v>
      </c>
      <c r="R18" s="304" t="s">
        <v>286</v>
      </c>
    </row>
    <row r="19" spans="1:18" s="285" customFormat="1" ht="21" customHeight="1" thickBot="1" x14ac:dyDescent="0.2">
      <c r="A19" s="305" t="str">
        <f t="shared" si="1"/>
        <v>30021011_30021015</v>
      </c>
      <c r="B19" s="281">
        <v>30021011</v>
      </c>
      <c r="C19" s="281">
        <v>30021015</v>
      </c>
      <c r="D19" s="310" t="str">
        <f ca="1">VLOOKUP($C19,OFFSET(enemy_skills!$A$1,0,0,COUNTA(enemy_skills!$A:$A),MATCH(D$1,enemy_skills!$1:$1,0)-MATCH("enemy_skill_id",enemy_skills!$1:$1,0)+1),MATCH(D$1,enemy_skills!$1:$1,0)-MATCH("enemy_skill_id",enemy_skills!$1:$1,0)+1,FALSE)</f>
        <v>(あなた…エスタブ！？)</v>
      </c>
      <c r="E19" s="310" t="str">
        <f ca="1">VLOOKUP($C19,OFFSET(enemy_skills!$A$1,0,0,COUNTA(enemy_skills!$A:$A),MATCH(E$1,enemy_skills!$1:$1,0)-MATCH("enemy_skill_id",enemy_skills!$1:$1,0)+1),MATCH(E$1,enemy_skills!$1:$1,0)-MATCH("enemy_skill_id",enemy_skills!$1:$1,0)+1,FALSE)</f>
        <v>エスタブの姿に驚いている</v>
      </c>
      <c r="F19" s="294">
        <v>30021013</v>
      </c>
      <c r="G19" s="309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309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9" s="309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309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309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309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309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309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498</v>
      </c>
      <c r="O19" s="309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282" t="s">
        <v>298</v>
      </c>
      <c r="Q19" s="283">
        <v>42355</v>
      </c>
      <c r="R19" s="296" t="s">
        <v>291</v>
      </c>
    </row>
    <row r="20" spans="1:18" s="341" customFormat="1" ht="21" customHeight="1" thickBot="1" x14ac:dyDescent="0.2">
      <c r="A20" s="335" t="str">
        <f t="shared" ref="A20:A21" si="5">B20&amp;"_"&amp;C20</f>
        <v>30021011_30021042</v>
      </c>
      <c r="B20" s="336">
        <v>30021011</v>
      </c>
      <c r="C20" s="315">
        <v>30021042</v>
      </c>
      <c r="D20" s="337" t="str">
        <f ca="1">VLOOKUP($C20,OFFSET(enemy_skills!$A$1,0,0,COUNTA(enemy_skills!$A:$A),MATCH(D$1,enemy_skills!$1:$1,0)-MATCH("enemy_skill_id",enemy_skills!$1:$1,0)+1),MATCH(D$1,enemy_skills!$1:$1,0)-MATCH("enemy_skill_id",enemy_skills!$1:$1,0)+1,FALSE)</f>
        <v>(あなた…また来たのね…)</v>
      </c>
      <c r="E20" s="337" t="str">
        <f ca="1">VLOOKUP($C20,OFFSET(enemy_skills!$A$1,0,0,COUNTA(enemy_skills!$A:$A),MATCH(E$1,enemy_skills!$1:$1,0)-MATCH("enemy_skill_id",enemy_skills!$1:$1,0)+1),MATCH(E$1,enemy_skills!$1:$1,0)-MATCH("enemy_skill_id",enemy_skills!$1:$1,0)+1,FALSE)</f>
        <v>テラベルは呆れている</v>
      </c>
      <c r="F20" s="338">
        <v>30021033</v>
      </c>
      <c r="G20" s="336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" s="336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0" s="336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336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336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336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336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336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496</v>
      </c>
      <c r="O20" s="336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337" t="s">
        <v>298</v>
      </c>
      <c r="Q20" s="339">
        <v>42355</v>
      </c>
      <c r="R20" s="340" t="s">
        <v>291</v>
      </c>
    </row>
    <row r="21" spans="1:18" s="341" customFormat="1" ht="21" customHeight="1" thickBot="1" x14ac:dyDescent="0.2">
      <c r="A21" s="335" t="str">
        <f t="shared" si="5"/>
        <v>30021011_30021043</v>
      </c>
      <c r="B21" s="336">
        <v>30021011</v>
      </c>
      <c r="C21" s="315">
        <v>30021043</v>
      </c>
      <c r="D21" s="337" t="str">
        <f ca="1">VLOOKUP($C21,OFFSET(enemy_skills!$A$1,0,0,COUNTA(enemy_skills!$A:$A),MATCH(D$1,enemy_skills!$1:$1,0)-MATCH("enemy_skill_id",enemy_skills!$1:$1,0)+1),MATCH(D$1,enemy_skills!$1:$1,0)-MATCH("enemy_skill_id",enemy_skills!$1:$1,0)+1,FALSE)</f>
        <v>(あなた…また来たのね…)</v>
      </c>
      <c r="E21" s="337" t="str">
        <f ca="1">VLOOKUP($C21,OFFSET(enemy_skills!$A$1,0,0,COUNTA(enemy_skills!$A:$A),MATCH(E$1,enemy_skills!$1:$1,0)-MATCH("enemy_skill_id",enemy_skills!$1:$1,0)+1),MATCH(E$1,enemy_skills!$1:$1,0)-MATCH("enemy_skill_id",enemy_skills!$1:$1,0)+1,FALSE)</f>
        <v>テラベルは呆れている</v>
      </c>
      <c r="F21" s="338">
        <v>30021034</v>
      </c>
      <c r="G21" s="336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336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1" s="336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336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336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336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336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336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497</v>
      </c>
      <c r="O21" s="336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337" t="s">
        <v>298</v>
      </c>
      <c r="Q21" s="339">
        <v>42355</v>
      </c>
      <c r="R21" s="340" t="s">
        <v>291</v>
      </c>
    </row>
    <row r="22" spans="1:18" s="287" customFormat="1" ht="21" customHeight="1" thickBot="1" x14ac:dyDescent="0.2">
      <c r="A22" s="306" t="str">
        <f t="shared" si="1"/>
        <v>30021011_30021016</v>
      </c>
      <c r="B22" s="26">
        <v>30021011</v>
      </c>
      <c r="C22" s="26">
        <v>30021016</v>
      </c>
      <c r="D22" s="311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さ、触らないでよ！</v>
      </c>
      <c r="E22" s="311" t="str">
        <f ca="1">VLOOKUP($C22,OFFSET(enemy_skills!$A$1,0,0,COUNTA(enemy_skills!$A:$A),MATCH(E$1,enemy_skills!$1:$1,0)-MATCH("enemy_skill_id",enemy_skills!$1:$1,0)+1),MATCH(E$1,enemy_skills!$1:$1,0)-MATCH("enemy_skill_id",enemy_skills!$1:$1,0)+1,FALSE)</f>
        <v>2ターンハートパネル無効＆状態異常無効</v>
      </c>
      <c r="F22" s="271">
        <v>30021014</v>
      </c>
      <c r="G22" s="309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309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2" s="309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309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309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309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309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" s="309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309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29" t="s">
        <v>298</v>
      </c>
      <c r="Q22" s="31">
        <v>42355</v>
      </c>
      <c r="R22" s="272" t="s">
        <v>292</v>
      </c>
    </row>
    <row r="23" spans="1:18" s="287" customFormat="1" ht="21" customHeight="1" thickBot="1" x14ac:dyDescent="0.2">
      <c r="A23" s="306" t="str">
        <f t="shared" si="1"/>
        <v>30021011_30021019</v>
      </c>
      <c r="B23" s="26">
        <v>30021011</v>
      </c>
      <c r="C23" s="26">
        <v>30021019</v>
      </c>
      <c r="D23" s="311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ダブルデリンジャー</v>
      </c>
      <c r="E23" s="311" t="str">
        <f ca="1">VLOOKUP($C23,OFFSET(enemy_skills!$A$1,0,0,COUNTA(enemy_skills!$A:$A),MATCH(E$1,enemy_skills!$1:$1,0)-MATCH("enemy_skill_id",enemy_skills!$1:$1,0)+1),MATCH(E$1,enemy_skills!$1:$1,0)-MATCH("enemy_skill_id",enemy_skills!$1:$1,0)+1,FALSE)</f>
        <v>2連続攻撃</v>
      </c>
      <c r="F23" s="271">
        <v>30021015</v>
      </c>
      <c r="G23" s="309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309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3" s="309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309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309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309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309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" s="309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309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29" t="s">
        <v>298</v>
      </c>
      <c r="Q23" s="31">
        <v>42355</v>
      </c>
      <c r="R23" s="272" t="s">
        <v>293</v>
      </c>
    </row>
    <row r="24" spans="1:18" s="287" customFormat="1" ht="21" customHeight="1" thickBot="1" x14ac:dyDescent="0.2">
      <c r="A24" s="308" t="str">
        <f t="shared" si="1"/>
        <v>30021011_30021020</v>
      </c>
      <c r="B24" s="298">
        <v>30021011</v>
      </c>
      <c r="C24" s="298">
        <v>30021020</v>
      </c>
      <c r="D24" s="313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ミニ焼夷弾</v>
      </c>
      <c r="E24" s="313" t="str">
        <f ca="1">VLOOKUP($C24,OFFSET(enemy_skills!$A$1,0,0,COUNTA(enemy_skills!$A:$A),MATCH(E$1,enemy_skills!$1:$1,0)-MATCH("enemy_skill_id",enemy_skills!$1:$1,0)+1),MATCH(E$1,enemy_skills!$1:$1,0)-MATCH("enemy_skill_id",enemy_skills!$1:$1,0)+1,FALSE)</f>
        <v>赤パネル破壊攻撃</v>
      </c>
      <c r="F24" s="299">
        <v>30021016</v>
      </c>
      <c r="G24" s="324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324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4" s="324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324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324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324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324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4" s="324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324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301" t="s">
        <v>298</v>
      </c>
      <c r="Q24" s="302">
        <v>42355</v>
      </c>
      <c r="R24" s="303" t="s">
        <v>293</v>
      </c>
    </row>
    <row r="25" spans="1:18" s="329" customFormat="1" ht="21" customHeight="1" x14ac:dyDescent="0.15">
      <c r="A25" s="305" t="str">
        <f t="shared" si="1"/>
        <v>30021012_30021024</v>
      </c>
      <c r="B25" s="281">
        <v>30021012</v>
      </c>
      <c r="C25" s="281">
        <v>30021024</v>
      </c>
      <c r="D25" s="310" t="str">
        <f ca="1">VLOOKUP($C25,OFFSET(enemy_skills!$A$1,0,0,COUNTA(enemy_skills!$A:$A),MATCH(D$1,enemy_skills!$1:$1,0)-MATCH("enemy_skill_id",enemy_skills!$1:$1,0)+1),MATCH(D$1,enemy_skills!$1:$1,0)-MATCH("enemy_skill_id",enemy_skills!$1:$1,0)+1,FALSE)</f>
        <v>(エスタブ…助けて…！)</v>
      </c>
      <c r="E25" s="310" t="str">
        <f ca="1">VLOOKUP($C25,OFFSET(enemy_skills!$A$1,0,0,COUNTA(enemy_skills!$A:$A),MATCH(E$1,enemy_skills!$1:$1,0)-MATCH("enemy_skill_id",enemy_skills!$1:$1,0)+1),MATCH(E$1,enemy_skills!$1:$1,0)-MATCH("enemy_skill_id",enemy_skills!$1:$1,0)+1,FALSE)</f>
        <v>テラベルの意識が戻りかけた！</v>
      </c>
      <c r="F25" s="294">
        <v>30021017</v>
      </c>
      <c r="G25" s="309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309" t="str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5" s="309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309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309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309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309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309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498</v>
      </c>
      <c r="O25" s="309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282" t="s">
        <v>298</v>
      </c>
      <c r="Q25" s="283">
        <v>42355</v>
      </c>
      <c r="R25" s="296" t="s">
        <v>295</v>
      </c>
    </row>
    <row r="26" spans="1:18" s="328" customFormat="1" ht="21" customHeight="1" x14ac:dyDescent="0.15">
      <c r="A26" s="306" t="str">
        <f t="shared" ref="A26" si="6">B26&amp;"_"&amp;C26</f>
        <v>30021012_30021040</v>
      </c>
      <c r="B26" s="26">
        <v>30021012</v>
      </c>
      <c r="C26" s="26">
        <v>30021040</v>
      </c>
      <c r="D26" s="311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アタシに変なことしないで！</v>
      </c>
      <c r="E26" s="311" t="str">
        <f ca="1">VLOOKUP($C26,OFFSET(enemy_skills!$A$1,0,0,COUNTA(enemy_skills!$A:$A),MATCH(E$1,enemy_skills!$1:$1,0)-MATCH("enemy_skill_id",enemy_skills!$1:$1,0)+1),MATCH(E$1,enemy_skills!$1:$1,0)-MATCH("enemy_skill_id",enemy_skills!$1:$1,0)+1,FALSE)</f>
        <v>2ターンスピードアップ＆状態異常無効</v>
      </c>
      <c r="F26" s="271">
        <v>30021032</v>
      </c>
      <c r="G26" s="327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327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6" s="327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327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327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327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327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6" s="327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327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29" t="s">
        <v>298</v>
      </c>
      <c r="Q26" s="31">
        <v>42355</v>
      </c>
      <c r="R26" s="272" t="s">
        <v>295</v>
      </c>
    </row>
    <row r="27" spans="1:18" s="328" customFormat="1" ht="21" customHeight="1" x14ac:dyDescent="0.15">
      <c r="A27" s="306" t="str">
        <f t="shared" si="1"/>
        <v>30021012_30021025</v>
      </c>
      <c r="B27" s="26">
        <v>30021012</v>
      </c>
      <c r="C27" s="26">
        <v>30021025</v>
      </c>
      <c r="D27" s="311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バースト！</v>
      </c>
      <c r="E27" s="311" t="str">
        <f ca="1">VLOOKUP($C27,OFFSET(enemy_skills!$A$1,0,0,COUNTA(enemy_skills!$A:$A),MATCH(E$1,enemy_skills!$1:$1,0)-MATCH("enemy_skill_id",enemy_skills!$1:$1,0)+1),MATCH(E$1,enemy_skills!$1:$1,0)-MATCH("enemy_skill_id",enemy_skills!$1:$1,0)+1,FALSE)</f>
        <v>3連続攻撃</v>
      </c>
      <c r="F27" s="271">
        <v>30021018</v>
      </c>
      <c r="G27" s="327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327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7" s="327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327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327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327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327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7" s="327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327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29" t="s">
        <v>298</v>
      </c>
      <c r="Q27" s="31">
        <v>42355</v>
      </c>
      <c r="R27" s="272" t="s">
        <v>295</v>
      </c>
    </row>
    <row r="28" spans="1:18" s="333" customFormat="1" ht="21" customHeight="1" thickBot="1" x14ac:dyDescent="0.2">
      <c r="A28" s="308" t="str">
        <f t="shared" si="1"/>
        <v>30021012_30021026</v>
      </c>
      <c r="B28" s="298">
        <v>30021012</v>
      </c>
      <c r="C28" s="298">
        <v>30021026</v>
      </c>
      <c r="D28" s="313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ミニ徹甲焼夷弾</v>
      </c>
      <c r="E28" s="313" t="str">
        <f ca="1">VLOOKUP($C28,OFFSET(enemy_skills!$A$1,0,0,COUNTA(enemy_skills!$A:$A),MATCH(E$1,enemy_skills!$1:$1,0)-MATCH("enemy_skill_id",enemy_skills!$1:$1,0)+1),MATCH(E$1,enemy_skills!$1:$1,0)-MATCH("enemy_skill_id",enemy_skills!$1:$1,0)+1,FALSE)</f>
        <v>赤パネル破壊攻撃＆1ターン回復力ダウン</v>
      </c>
      <c r="F28" s="299">
        <v>30021020</v>
      </c>
      <c r="G28" s="332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332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8" s="332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332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332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332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332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8" s="332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332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301" t="s">
        <v>298</v>
      </c>
      <c r="Q28" s="302">
        <v>42355</v>
      </c>
      <c r="R28" s="303" t="s">
        <v>295</v>
      </c>
    </row>
    <row r="29" spans="1:18" s="329" customFormat="1" ht="21" customHeight="1" x14ac:dyDescent="0.15">
      <c r="A29" s="305" t="str">
        <f t="shared" si="1"/>
        <v>30021013_30021030</v>
      </c>
      <c r="B29" s="281">
        <v>30021013</v>
      </c>
      <c r="C29" s="281">
        <v>30021030</v>
      </c>
      <c r="D29" s="310" t="str">
        <f ca="1">VLOOKUP($C29,OFFSET(enemy_skills!$A$1,0,0,COUNTA(enemy_skills!$A:$A),MATCH(D$1,enemy_skills!$1:$1,0)-MATCH("enemy_skill_id",enemy_skills!$1:$1,0)+1),MATCH(D$1,enemy_skills!$1:$1,0)-MATCH("enemy_skill_id",enemy_skills!$1:$1,0)+1,FALSE)</f>
        <v>(エスタブ！これを…！)</v>
      </c>
      <c r="E29" s="310" t="str">
        <f ca="1">VLOOKUP($C29,OFFSET(enemy_skills!$A$1,0,0,COUNTA(enemy_skills!$A:$A),MATCH(E$1,enemy_skills!$1:$1,0)-MATCH("enemy_skill_id",enemy_skills!$1:$1,0)+1),MATCH(E$1,enemy_skills!$1:$1,0)-MATCH("enemy_skill_id",enemy_skills!$1:$1,0)+1,FALSE)</f>
        <v>テラベルの意識が戻りかけた！</v>
      </c>
      <c r="F29" s="294">
        <v>30021021</v>
      </c>
      <c r="G29" s="309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" s="309" t="str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9" s="309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309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309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309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309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309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498</v>
      </c>
      <c r="O29" s="309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282" t="s">
        <v>298</v>
      </c>
      <c r="Q29" s="283">
        <v>42355</v>
      </c>
      <c r="R29" s="296" t="s">
        <v>296</v>
      </c>
    </row>
    <row r="30" spans="1:18" s="328" customFormat="1" ht="21" customHeight="1" x14ac:dyDescent="0.15">
      <c r="A30" s="306" t="str">
        <f t="shared" si="1"/>
        <v>30021013_30021031</v>
      </c>
      <c r="B30" s="26">
        <v>30021013</v>
      </c>
      <c r="C30" s="26">
        <v>30021031</v>
      </c>
      <c r="D30" s="311" t="str">
        <f ca="1">VLOOKUP($C30,OFFSET(enemy_skills!$A$1,0,0,COUNTA(enemy_skills!$A:$A),MATCH(D$1,enemy_skills!$1:$1,0)-MATCH("enemy_skill_id",enemy_skills!$1:$1,0)+1),MATCH(D$1,enemy_skills!$1:$1,0)-MATCH("enemy_skill_id",enemy_skills!$1:$1,0)+1,FALSE)</f>
        <v>速射モード！</v>
      </c>
      <c r="E30" s="311" t="str">
        <f ca="1">VLOOKUP($C30,OFFSET(enemy_skills!$A$1,0,0,COUNTA(enemy_skills!$A:$A),MATCH(E$1,enemy_skills!$1:$1,0)-MATCH("enemy_skill_id",enemy_skills!$1:$1,0)+1),MATCH(E$1,enemy_skills!$1:$1,0)-MATCH("enemy_skill_id",enemy_skills!$1:$1,0)+1,FALSE)</f>
        <v>2ターンスピードアップ＆状態異常無効</v>
      </c>
      <c r="F30" s="271">
        <v>30021022</v>
      </c>
      <c r="G30" s="327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327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30" s="327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327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327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327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327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327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327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29" t="s">
        <v>298</v>
      </c>
      <c r="Q30" s="31">
        <v>42355</v>
      </c>
      <c r="R30" s="272" t="s">
        <v>296</v>
      </c>
    </row>
    <row r="31" spans="1:18" s="328" customFormat="1" ht="21" customHeight="1" x14ac:dyDescent="0.15">
      <c r="A31" s="306" t="str">
        <f t="shared" si="1"/>
        <v>30021013_30021032</v>
      </c>
      <c r="B31" s="26">
        <v>30021013</v>
      </c>
      <c r="C31" s="26">
        <v>30021032</v>
      </c>
      <c r="D31" s="311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レッド・ナパーム</v>
      </c>
      <c r="E31" s="311" t="str">
        <f ca="1">VLOOKUP($C31,OFFSET(enemy_skills!$A$1,0,0,COUNTA(enemy_skills!$A:$A),MATCH(E$1,enemy_skills!$1:$1,0)-MATCH("enemy_skill_id",enemy_skills!$1:$1,0)+1),MATCH(E$1,enemy_skills!$1:$1,0)-MATCH("enemy_skill_id",enemy_skills!$1:$1,0)+1,FALSE)</f>
        <v>赤パネル破壊攻撃＆1ターン回復力ダウン</v>
      </c>
      <c r="F31" s="271">
        <v>30021023</v>
      </c>
      <c r="G31" s="327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327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31" s="327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31" s="327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327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327" t="str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" s="327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327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327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31" s="29" t="s">
        <v>298</v>
      </c>
      <c r="Q31" s="31">
        <v>42355</v>
      </c>
      <c r="R31" s="272" t="s">
        <v>296</v>
      </c>
    </row>
    <row r="32" spans="1:18" s="328" customFormat="1" ht="21" customHeight="1" x14ac:dyDescent="0.15">
      <c r="A32" s="306" t="str">
        <f t="shared" si="1"/>
        <v>30021013_30021033</v>
      </c>
      <c r="B32" s="26">
        <v>30021013</v>
      </c>
      <c r="C32" s="26">
        <v>30021033</v>
      </c>
      <c r="D32" s="311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フルオート！</v>
      </c>
      <c r="E32" s="311" t="str">
        <f ca="1">VLOOKUP($C32,OFFSET(enemy_skills!$A$1,0,0,COUNTA(enemy_skills!$A:$A),MATCH(E$1,enemy_skills!$1:$1,0)-MATCH("enemy_skill_id",enemy_skills!$1:$1,0)+1),MATCH(E$1,enemy_skills!$1:$1,0)-MATCH("enemy_skill_id",enemy_skills!$1:$1,0)+1,FALSE)</f>
        <v>5連続攻撃</v>
      </c>
      <c r="F32" s="271">
        <v>30021024</v>
      </c>
      <c r="G32" s="327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327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32" s="327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2" s="327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327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327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327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327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327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2" s="29" t="s">
        <v>298</v>
      </c>
      <c r="Q32" s="31">
        <v>42355</v>
      </c>
      <c r="R32" s="272" t="s">
        <v>297</v>
      </c>
    </row>
    <row r="33" spans="1:18" s="328" customFormat="1" ht="21" customHeight="1" x14ac:dyDescent="0.15">
      <c r="A33" s="306" t="str">
        <f t="shared" ref="A33:A39" si="7">B33&amp;"_"&amp;C33</f>
        <v>30021013_30021034</v>
      </c>
      <c r="B33" s="26">
        <v>30021013</v>
      </c>
      <c r="C33" s="26">
        <v>30021034</v>
      </c>
      <c r="D33" s="311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グリーン・フレア</v>
      </c>
      <c r="E33" s="311" t="str">
        <f ca="1">VLOOKUP($C33,OFFSET(enemy_skills!$A$1,0,0,COUNTA(enemy_skills!$A:$A),MATCH(E$1,enemy_skills!$1:$1,0)-MATCH("enemy_skill_id",enemy_skills!$1:$1,0)+1),MATCH(E$1,enemy_skills!$1:$1,0)-MATCH("enemy_skill_id",enemy_skills!$1:$1,0)+1,FALSE)</f>
        <v>緑パネル＆お邪魔パネル出現</v>
      </c>
      <c r="F33" s="271">
        <v>30021026</v>
      </c>
      <c r="G33" s="327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327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3" s="327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327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327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327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33" s="327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327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327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29" t="s">
        <v>298</v>
      </c>
      <c r="Q33" s="31">
        <v>42355</v>
      </c>
      <c r="R33" s="272" t="s">
        <v>296</v>
      </c>
    </row>
    <row r="34" spans="1:18" s="333" customFormat="1" ht="21" customHeight="1" thickBot="1" x14ac:dyDescent="0.2">
      <c r="A34" s="308" t="str">
        <f t="shared" si="7"/>
        <v>30021013_30021037</v>
      </c>
      <c r="B34" s="298">
        <v>30021013</v>
      </c>
      <c r="C34" s="298">
        <v>30021037</v>
      </c>
      <c r="D34" s="313" t="str">
        <f ca="1">VLOOKUP($C34,OFFSET(enemy_skills!$A$1,0,0,COUNTA(enemy_skills!$A:$A),MATCH(D$1,enemy_skills!$1:$1,0)-MATCH("enemy_skill_id",enemy_skills!$1:$1,0)+1),MATCH(D$1,enemy_skills!$1:$1,0)-MATCH("enemy_skill_id",enemy_skills!$1:$1,0)+1,FALSE)</f>
        <v>(あれ？アタシ、なんで…？)</v>
      </c>
      <c r="E34" s="313" t="str">
        <f ca="1">VLOOKUP($C34,OFFSET(enemy_skills!$A$1,0,0,COUNTA(enemy_skills!$A:$A),MATCH(E$1,enemy_skills!$1:$1,0)-MATCH("enemy_skill_id",enemy_skills!$1:$1,0)+1),MATCH(E$1,enemy_skills!$1:$1,0)-MATCH("enemy_skill_id",enemy_skills!$1:$1,0)+1,FALSE)</f>
        <v>テラベルの暴走状態が解けそうだ！</v>
      </c>
      <c r="F34" s="299">
        <v>30021027</v>
      </c>
      <c r="G34" s="332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332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34" s="332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332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45</v>
      </c>
      <c r="K34" s="332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332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332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332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332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301" t="s">
        <v>298</v>
      </c>
      <c r="Q34" s="302">
        <v>42355</v>
      </c>
      <c r="R34" s="303" t="s">
        <v>297</v>
      </c>
    </row>
    <row r="35" spans="1:18" s="285" customFormat="1" ht="21" customHeight="1" thickBot="1" x14ac:dyDescent="0.2">
      <c r="A35" s="305" t="str">
        <f t="shared" si="7"/>
        <v>30021014_30021015</v>
      </c>
      <c r="B35" s="281">
        <v>30021014</v>
      </c>
      <c r="C35" s="281">
        <v>30021015</v>
      </c>
      <c r="D35" s="310" t="str">
        <f ca="1">VLOOKUP($C35,OFFSET(enemy_skills!$A$1,0,0,COUNTA(enemy_skills!$A:$A),MATCH(D$1,enemy_skills!$1:$1,0)-MATCH("enemy_skill_id",enemy_skills!$1:$1,0)+1),MATCH(D$1,enemy_skills!$1:$1,0)-MATCH("enemy_skill_id",enemy_skills!$1:$1,0)+1,FALSE)</f>
        <v>(あなた…エスタブ！？)</v>
      </c>
      <c r="E35" s="310" t="str">
        <f ca="1">VLOOKUP($C35,OFFSET(enemy_skills!$A$1,0,0,COUNTA(enemy_skills!$A:$A),MATCH(E$1,enemy_skills!$1:$1,0)-MATCH("enemy_skill_id",enemy_skills!$1:$1,0)+1),MATCH(E$1,enemy_skills!$1:$1,0)-MATCH("enemy_skill_id",enemy_skills!$1:$1,0)+1,FALSE)</f>
        <v>エスタブの姿に驚いている</v>
      </c>
      <c r="F35" s="294">
        <v>30021013</v>
      </c>
      <c r="G35" s="309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" s="309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35" s="309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309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309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309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309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309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498</v>
      </c>
      <c r="O35" s="309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282" t="s">
        <v>298</v>
      </c>
      <c r="Q35" s="283">
        <v>42355</v>
      </c>
      <c r="R35" s="296" t="s">
        <v>291</v>
      </c>
    </row>
    <row r="36" spans="1:18" s="341" customFormat="1" ht="21" customHeight="1" thickBot="1" x14ac:dyDescent="0.2">
      <c r="A36" s="335" t="str">
        <f t="shared" ref="A36:A37" si="8">B36&amp;"_"&amp;C36</f>
        <v>30021014_30021042</v>
      </c>
      <c r="B36" s="336">
        <v>30021014</v>
      </c>
      <c r="C36" s="315">
        <v>30021042</v>
      </c>
      <c r="D36" s="337" t="str">
        <f ca="1">VLOOKUP($C36,OFFSET(enemy_skills!$A$1,0,0,COUNTA(enemy_skills!$A:$A),MATCH(D$1,enemy_skills!$1:$1,0)-MATCH("enemy_skill_id",enemy_skills!$1:$1,0)+1),MATCH(D$1,enemy_skills!$1:$1,0)-MATCH("enemy_skill_id",enemy_skills!$1:$1,0)+1,FALSE)</f>
        <v>(あなた…また来たのね…)</v>
      </c>
      <c r="E36" s="337" t="str">
        <f ca="1">VLOOKUP($C36,OFFSET(enemy_skills!$A$1,0,0,COUNTA(enemy_skills!$A:$A),MATCH(E$1,enemy_skills!$1:$1,0)-MATCH("enemy_skill_id",enemy_skills!$1:$1,0)+1),MATCH(E$1,enemy_skills!$1:$1,0)-MATCH("enemy_skill_id",enemy_skills!$1:$1,0)+1,FALSE)</f>
        <v>テラベルは呆れている</v>
      </c>
      <c r="F36" s="338">
        <v>30021033</v>
      </c>
      <c r="G36" s="336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" s="336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36" s="336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336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336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336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336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336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496</v>
      </c>
      <c r="O36" s="336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337" t="s">
        <v>298</v>
      </c>
      <c r="Q36" s="339">
        <v>42355</v>
      </c>
      <c r="R36" s="340" t="s">
        <v>291</v>
      </c>
    </row>
    <row r="37" spans="1:18" s="341" customFormat="1" ht="21" customHeight="1" thickBot="1" x14ac:dyDescent="0.2">
      <c r="A37" s="335" t="str">
        <f t="shared" si="8"/>
        <v>30021014_30021043</v>
      </c>
      <c r="B37" s="336">
        <v>30021014</v>
      </c>
      <c r="C37" s="315">
        <v>30021043</v>
      </c>
      <c r="D37" s="337" t="str">
        <f ca="1">VLOOKUP($C37,OFFSET(enemy_skills!$A$1,0,0,COUNTA(enemy_skills!$A:$A),MATCH(D$1,enemy_skills!$1:$1,0)-MATCH("enemy_skill_id",enemy_skills!$1:$1,0)+1),MATCH(D$1,enemy_skills!$1:$1,0)-MATCH("enemy_skill_id",enemy_skills!$1:$1,0)+1,FALSE)</f>
        <v>(あなた…また来たのね…)</v>
      </c>
      <c r="E37" s="337" t="str">
        <f ca="1">VLOOKUP($C37,OFFSET(enemy_skills!$A$1,0,0,COUNTA(enemy_skills!$A:$A),MATCH(E$1,enemy_skills!$1:$1,0)-MATCH("enemy_skill_id",enemy_skills!$1:$1,0)+1),MATCH(E$1,enemy_skills!$1:$1,0)-MATCH("enemy_skill_id",enemy_skills!$1:$1,0)+1,FALSE)</f>
        <v>テラベルは呆れている</v>
      </c>
      <c r="F37" s="338">
        <v>30021034</v>
      </c>
      <c r="G37" s="336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7" s="336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37" s="336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336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336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336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336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336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497</v>
      </c>
      <c r="O37" s="336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337" t="s">
        <v>298</v>
      </c>
      <c r="Q37" s="339">
        <v>42355</v>
      </c>
      <c r="R37" s="340" t="s">
        <v>291</v>
      </c>
    </row>
    <row r="38" spans="1:18" s="287" customFormat="1" ht="21" customHeight="1" thickBot="1" x14ac:dyDescent="0.2">
      <c r="A38" s="306" t="str">
        <f t="shared" si="7"/>
        <v>30021014_30021019</v>
      </c>
      <c r="B38" s="26">
        <v>30021014</v>
      </c>
      <c r="C38" s="26">
        <v>30021019</v>
      </c>
      <c r="D38" s="311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ダブルデリンジャー</v>
      </c>
      <c r="E38" s="311" t="str">
        <f ca="1">VLOOKUP($C38,OFFSET(enemy_skills!$A$1,0,0,COUNTA(enemy_skills!$A:$A),MATCH(E$1,enemy_skills!$1:$1,0)-MATCH("enemy_skill_id",enemy_skills!$1:$1,0)+1),MATCH(E$1,enemy_skills!$1:$1,0)-MATCH("enemy_skill_id",enemy_skills!$1:$1,0)+1,FALSE)</f>
        <v>2連続攻撃</v>
      </c>
      <c r="F38" s="271">
        <v>30021015</v>
      </c>
      <c r="G38" s="309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309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8" s="309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309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309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309" t="str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" s="309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8" s="309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309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29" t="s">
        <v>298</v>
      </c>
      <c r="Q38" s="31">
        <v>42355</v>
      </c>
      <c r="R38" s="272" t="s">
        <v>291</v>
      </c>
    </row>
    <row r="39" spans="1:18" s="293" customFormat="1" ht="21" customHeight="1" thickBot="1" x14ac:dyDescent="0.2">
      <c r="A39" s="307" t="str">
        <f t="shared" si="7"/>
        <v>30021014_30021020</v>
      </c>
      <c r="B39" s="289">
        <v>30021014</v>
      </c>
      <c r="C39" s="289">
        <v>30021020</v>
      </c>
      <c r="D39" s="312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ミニ焼夷弾</v>
      </c>
      <c r="E39" s="312" t="str">
        <f ca="1">VLOOKUP($C39,OFFSET(enemy_skills!$A$1,0,0,COUNTA(enemy_skills!$A:$A),MATCH(E$1,enemy_skills!$1:$1,0)-MATCH("enemy_skill_id",enemy_skills!$1:$1,0)+1),MATCH(E$1,enemy_skills!$1:$1,0)-MATCH("enemy_skill_id",enemy_skills!$1:$1,0)+1,FALSE)</f>
        <v>赤パネル破壊攻撃</v>
      </c>
      <c r="F39" s="295">
        <v>30021016</v>
      </c>
      <c r="G39" s="334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334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39" s="334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334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334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334" t="str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9" s="334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9" s="334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334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290" t="s">
        <v>298</v>
      </c>
      <c r="Q39" s="291">
        <v>42355</v>
      </c>
      <c r="R39" s="297" t="s">
        <v>291</v>
      </c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33"/>
  <sheetViews>
    <sheetView showGridLines="0" workbookViewId="0">
      <pane ySplit="1" topLeftCell="A2" activePane="bottomLeft" state="frozenSplit"/>
      <selection pane="bottomLeft" activeCell="B14" sqref="B14"/>
    </sheetView>
  </sheetViews>
  <sheetFormatPr baseColWidth="12" defaultColWidth="12.83203125" defaultRowHeight="21" customHeight="1" outlineLevelCol="1" x14ac:dyDescent="0.15"/>
  <cols>
    <col min="1" max="1" width="12.83203125" style="28"/>
    <col min="2" max="2" width="67.1640625" style="28" customWidth="1"/>
    <col min="3" max="4" width="12.83203125" style="28"/>
    <col min="5" max="5" width="23.6640625" style="28" bestFit="1" customWidth="1"/>
    <col min="6" max="6" width="44.1640625" style="28" bestFit="1" customWidth="1"/>
    <col min="7" max="7" width="52" style="28" hidden="1" customWidth="1" outlineLevel="1"/>
    <col min="8" max="8" width="18.33203125" style="28" hidden="1" customWidth="1" outlineLevel="1"/>
    <col min="9" max="11" width="18.6640625" style="28" hidden="1" customWidth="1" outlineLevel="1"/>
    <col min="12" max="12" width="23.6640625" style="28" customWidth="1" collapsed="1"/>
    <col min="13" max="18" width="23.6640625" style="28" hidden="1" customWidth="1" outlineLevel="1"/>
    <col min="19" max="19" width="23.6640625" style="28" customWidth="1" collapsed="1"/>
    <col min="20" max="24" width="23.6640625" style="28" hidden="1" customWidth="1" outlineLevel="1"/>
    <col min="25" max="25" width="23.6640625" style="28" customWidth="1" collapsed="1"/>
    <col min="26" max="27" width="12.83203125" style="28"/>
    <col min="28" max="28" width="44.5" style="28" customWidth="1"/>
    <col min="29" max="16384" width="12.83203125" style="28"/>
  </cols>
  <sheetData>
    <row r="1" spans="1:28" ht="21" customHeight="1" x14ac:dyDescent="0.15">
      <c r="A1" s="21" t="s">
        <v>79</v>
      </c>
      <c r="B1" s="21" t="s">
        <v>80</v>
      </c>
      <c r="C1" s="21" t="s">
        <v>81</v>
      </c>
      <c r="D1" s="21" t="s">
        <v>127</v>
      </c>
      <c r="E1" s="21" t="s">
        <v>82</v>
      </c>
      <c r="F1" s="21" t="s">
        <v>83</v>
      </c>
      <c r="G1" s="22" t="s">
        <v>133</v>
      </c>
      <c r="H1" s="22" t="s">
        <v>139</v>
      </c>
      <c r="I1" s="22" t="s">
        <v>141</v>
      </c>
      <c r="J1" s="22" t="s">
        <v>140</v>
      </c>
      <c r="K1" s="22" t="s">
        <v>142</v>
      </c>
      <c r="L1" s="22" t="s">
        <v>134</v>
      </c>
      <c r="M1" s="22" t="s">
        <v>132</v>
      </c>
      <c r="N1" s="22" t="s">
        <v>135</v>
      </c>
      <c r="O1" s="22" t="s">
        <v>143</v>
      </c>
      <c r="P1" s="22" t="s">
        <v>144</v>
      </c>
      <c r="Q1" s="22" t="s">
        <v>145</v>
      </c>
      <c r="R1" s="22" t="s">
        <v>146</v>
      </c>
      <c r="S1" s="22" t="s">
        <v>136</v>
      </c>
      <c r="T1" s="22" t="s">
        <v>137</v>
      </c>
      <c r="U1" s="22" t="s">
        <v>147</v>
      </c>
      <c r="V1" s="22" t="s">
        <v>148</v>
      </c>
      <c r="W1" s="22" t="s">
        <v>149</v>
      </c>
      <c r="X1" s="22" t="s">
        <v>150</v>
      </c>
      <c r="Y1" s="22" t="s">
        <v>138</v>
      </c>
      <c r="Z1" s="22" t="s">
        <v>76</v>
      </c>
      <c r="AA1" s="22" t="s">
        <v>77</v>
      </c>
      <c r="AB1" s="22" t="s">
        <v>78</v>
      </c>
    </row>
    <row r="2" spans="1:28" ht="21" customHeight="1" x14ac:dyDescent="0.15">
      <c r="A2" s="26">
        <v>30021001</v>
      </c>
      <c r="B2" s="26" t="s">
        <v>349</v>
      </c>
      <c r="C2" s="29">
        <v>3</v>
      </c>
      <c r="D2" s="29" t="s">
        <v>128</v>
      </c>
      <c r="E2" s="30" t="s">
        <v>324</v>
      </c>
      <c r="F2" s="30" t="s">
        <v>270</v>
      </c>
      <c r="G2" s="42" t="str">
        <f t="shared" ref="G2:G28" si="0">IFERROR(LEFT(B2,FIND("],",B2)),B2)</f>
        <v>[effect:rush, count:3, val:0.6]</v>
      </c>
      <c r="H2" s="42">
        <f t="shared" ref="H2:H28" si="1">FIND("effect:",G2)+7</f>
        <v>9</v>
      </c>
      <c r="I2" s="42">
        <f t="shared" ref="I2:I28" si="2">IFERROR(FIND(",",G2),LEN(G2))</f>
        <v>13</v>
      </c>
      <c r="J2" s="42" t="e">
        <f t="shared" ref="J2:J28" si="3">FIND("target:",G2)+7</f>
        <v>#VALUE!</v>
      </c>
      <c r="K2" s="42">
        <f t="shared" ref="K2:K28" si="4">FIND(",",G2,I2+1)</f>
        <v>22</v>
      </c>
      <c r="L2" s="42" t="str">
        <f>IFERROR(VLOOKUP(MID(G2,J2,K2-J2),[5]skilldef!$C:$D,2,FALSE),"-") &amp; " / " &amp; IFERROR(VLOOKUP(MID(G2,H2,I2-H2),[5]skilldef!$A:$B,2,FALSE),"-")</f>
        <v>- / 連続攻撃</v>
      </c>
      <c r="M2" s="42" t="str">
        <f t="shared" ref="M2:M28" si="5">IFERROR(RIGHT(B2,LEN(B2)-FIND("],",B2)-1),"none")</f>
        <v>none</v>
      </c>
      <c r="N2" s="27" t="str">
        <f>IFERROR(LEFT(M2,FIND("],",M2)+S20),M2)</f>
        <v>none</v>
      </c>
      <c r="O2" s="42" t="e">
        <f t="shared" ref="O2:O28" si="6">FIND("effect:",N2)+7</f>
        <v>#VALUE!</v>
      </c>
      <c r="P2" s="42">
        <f t="shared" ref="P2:P28" si="7">IFERROR(FIND(",",N2),LEN(N2))</f>
        <v>4</v>
      </c>
      <c r="Q2" s="42" t="e">
        <f t="shared" ref="Q2:Q28" si="8">FIND("target:",N2)+7</f>
        <v>#VALUE!</v>
      </c>
      <c r="R2" s="42" t="e">
        <f t="shared" ref="R2:R28" si="9">FIND(",",N2,P2+1)</f>
        <v>#VALUE!</v>
      </c>
      <c r="S2" s="42" t="str">
        <f>IFERROR(VLOOKUP(MID(N2,Q2,R2-Q2),[5]skilldef!$C:$D,2,FALSE),"-") &amp; " / " &amp; IFERROR(VLOOKUP(MID(N2,O2,P2-O2),[5]skilldef!$A:$B,2,FALSE),"-")</f>
        <v>- / -</v>
      </c>
      <c r="T2" s="27" t="str">
        <f t="shared" ref="T2:T28" si="10">IFERROR(RIGHT(M2,LEN(M2)-FIND("],",M2)-1),"none")</f>
        <v>none</v>
      </c>
      <c r="U2" s="42" t="e">
        <f t="shared" ref="U2:U28" si="11">FIND("effect:",T2)+7</f>
        <v>#VALUE!</v>
      </c>
      <c r="V2" s="42">
        <f t="shared" ref="V2:V28" si="12">IFERROR(FIND(",",T2),LEN(T2))</f>
        <v>4</v>
      </c>
      <c r="W2" s="42" t="e">
        <f t="shared" ref="W2:W28" si="13">FIND("target:",T2)+7</f>
        <v>#VALUE!</v>
      </c>
      <c r="X2" s="42" t="e">
        <f t="shared" ref="X2:X28" si="14">FIND(",",T2,V2+1)</f>
        <v>#VALUE!</v>
      </c>
      <c r="Y2" s="42" t="str">
        <f>IFERROR(VLOOKUP(MID(T2,W2,X2-W2),[5]skilldef!$C:$D,2,FALSE),"-") &amp; " / " &amp; IFERROR(VLOOKUP(MID(T2,U2,V2-U2),[5]skilldef!$A:$B,2,FALSE),"-")</f>
        <v>- / -</v>
      </c>
      <c r="Z2" s="29" t="s">
        <v>298</v>
      </c>
      <c r="AA2" s="31">
        <v>42355</v>
      </c>
      <c r="AB2" s="30" t="s">
        <v>271</v>
      </c>
    </row>
    <row r="3" spans="1:28" ht="21" customHeight="1" x14ac:dyDescent="0.15">
      <c r="A3" s="26">
        <v>30021002</v>
      </c>
      <c r="B3" s="26" t="s">
        <v>350</v>
      </c>
      <c r="C3" s="29">
        <v>3</v>
      </c>
      <c r="D3" s="29" t="s">
        <v>128</v>
      </c>
      <c r="E3" s="30" t="s">
        <v>323</v>
      </c>
      <c r="F3" s="30" t="s">
        <v>272</v>
      </c>
      <c r="G3" s="42" t="str">
        <f t="shared" si="0"/>
        <v>[effect:rush, count:4, val:0.6]</v>
      </c>
      <c r="H3" s="42">
        <f t="shared" si="1"/>
        <v>9</v>
      </c>
      <c r="I3" s="42">
        <f t="shared" si="2"/>
        <v>13</v>
      </c>
      <c r="J3" s="42" t="e">
        <f t="shared" si="3"/>
        <v>#VALUE!</v>
      </c>
      <c r="K3" s="42">
        <f t="shared" si="4"/>
        <v>22</v>
      </c>
      <c r="L3" s="42" t="str">
        <f>IFERROR(VLOOKUP(MID(G3,J3,K3-J3),[5]skilldef!$C:$D,2,FALSE),"-") &amp; " / " &amp; IFERROR(VLOOKUP(MID(G3,H3,I3-H3),[5]skilldef!$A:$B,2,FALSE),"-")</f>
        <v>- / 連続攻撃</v>
      </c>
      <c r="M3" s="42" t="str">
        <f t="shared" si="5"/>
        <v>none</v>
      </c>
      <c r="N3" s="27" t="str">
        <f>IFERROR(LEFT(M3,FIND("],",M3)+#REF!),M3)</f>
        <v>none</v>
      </c>
      <c r="O3" s="42" t="e">
        <f t="shared" si="6"/>
        <v>#VALUE!</v>
      </c>
      <c r="P3" s="42">
        <f t="shared" si="7"/>
        <v>4</v>
      </c>
      <c r="Q3" s="42" t="e">
        <f t="shared" si="8"/>
        <v>#VALUE!</v>
      </c>
      <c r="R3" s="42" t="e">
        <f t="shared" si="9"/>
        <v>#VALUE!</v>
      </c>
      <c r="S3" s="42" t="str">
        <f>IFERROR(VLOOKUP(MID(N3,Q3,R3-Q3),[5]skilldef!$C:$D,2,FALSE),"-") &amp; " / " &amp; IFERROR(VLOOKUP(MID(N3,O3,P3-O3),[5]skilldef!$A:$B,2,FALSE),"-")</f>
        <v>- / -</v>
      </c>
      <c r="T3" s="27" t="str">
        <f t="shared" si="10"/>
        <v>none</v>
      </c>
      <c r="U3" s="42" t="e">
        <f t="shared" si="11"/>
        <v>#VALUE!</v>
      </c>
      <c r="V3" s="42">
        <f t="shared" si="12"/>
        <v>4</v>
      </c>
      <c r="W3" s="42" t="e">
        <f t="shared" si="13"/>
        <v>#VALUE!</v>
      </c>
      <c r="X3" s="42" t="e">
        <f t="shared" si="14"/>
        <v>#VALUE!</v>
      </c>
      <c r="Y3" s="42" t="str">
        <f>IFERROR(VLOOKUP(MID(T3,W3,X3-W3),[5]skilldef!$C:$D,2,FALSE),"-") &amp; " / " &amp; IFERROR(VLOOKUP(MID(T3,U3,V3-U3),[5]skilldef!$A:$B,2,FALSE),"-")</f>
        <v>- / -</v>
      </c>
      <c r="Z3" s="29" t="s">
        <v>298</v>
      </c>
      <c r="AA3" s="31">
        <v>42355</v>
      </c>
      <c r="AB3" s="30" t="s">
        <v>288</v>
      </c>
    </row>
    <row r="4" spans="1:28" ht="21" customHeight="1" x14ac:dyDescent="0.15">
      <c r="A4" s="26">
        <v>30021003</v>
      </c>
      <c r="B4" s="26" t="s">
        <v>340</v>
      </c>
      <c r="C4" s="29">
        <v>3</v>
      </c>
      <c r="D4" s="29" t="s">
        <v>128</v>
      </c>
      <c r="E4" s="30" t="s">
        <v>322</v>
      </c>
      <c r="F4" s="30" t="s">
        <v>274</v>
      </c>
      <c r="G4" s="42" t="str">
        <f t="shared" si="0"/>
        <v xml:space="preserve">[effect:critical, val:1.5] </v>
      </c>
      <c r="H4" s="42">
        <f t="shared" si="1"/>
        <v>9</v>
      </c>
      <c r="I4" s="42">
        <f t="shared" si="2"/>
        <v>17</v>
      </c>
      <c r="J4" s="42" t="e">
        <f t="shared" si="3"/>
        <v>#VALUE!</v>
      </c>
      <c r="K4" s="42" t="e">
        <f t="shared" si="4"/>
        <v>#VALUE!</v>
      </c>
      <c r="L4" s="42" t="str">
        <f>IFERROR(VLOOKUP(MID(G4,J4,K4-J4),[5]skilldef!$C:$D,2,FALSE),"-") &amp; " / " &amp; IFERROR(VLOOKUP(MID(G4,H4,I4-H4),[5]skilldef!$A:$B,2,FALSE),"-")</f>
        <v>- / 大攻撃</v>
      </c>
      <c r="M4" s="42" t="str">
        <f t="shared" si="5"/>
        <v>none</v>
      </c>
      <c r="N4" s="27" t="str">
        <f>IFERROR(LEFT(M4,FIND("],",M4)+#REF!),M4)</f>
        <v>none</v>
      </c>
      <c r="O4" s="42" t="e">
        <f t="shared" si="6"/>
        <v>#VALUE!</v>
      </c>
      <c r="P4" s="42">
        <f t="shared" si="7"/>
        <v>4</v>
      </c>
      <c r="Q4" s="42" t="e">
        <f t="shared" si="8"/>
        <v>#VALUE!</v>
      </c>
      <c r="R4" s="42" t="e">
        <f t="shared" si="9"/>
        <v>#VALUE!</v>
      </c>
      <c r="S4" s="42" t="str">
        <f>IFERROR(VLOOKUP(MID(N4,Q4,R4-Q4),[5]skilldef!$C:$D,2,FALSE),"-") &amp; " / " &amp; IFERROR(VLOOKUP(MID(N4,O4,P4-O4),[5]skilldef!$A:$B,2,FALSE),"-")</f>
        <v>- / -</v>
      </c>
      <c r="T4" s="27" t="str">
        <f t="shared" si="10"/>
        <v>none</v>
      </c>
      <c r="U4" s="42" t="e">
        <f t="shared" si="11"/>
        <v>#VALUE!</v>
      </c>
      <c r="V4" s="42">
        <f t="shared" si="12"/>
        <v>4</v>
      </c>
      <c r="W4" s="42" t="e">
        <f t="shared" si="13"/>
        <v>#VALUE!</v>
      </c>
      <c r="X4" s="42" t="e">
        <f t="shared" si="14"/>
        <v>#VALUE!</v>
      </c>
      <c r="Y4" s="42" t="str">
        <f>IFERROR(VLOOKUP(MID(T4,W4,X4-W4),[5]skilldef!$C:$D,2,FALSE),"-") &amp; " / " &amp; IFERROR(VLOOKUP(MID(T4,U4,V4-U4),[5]skilldef!$A:$B,2,FALSE),"-")</f>
        <v>- / -</v>
      </c>
      <c r="Z4" s="29" t="s">
        <v>298</v>
      </c>
      <c r="AA4" s="31">
        <v>42355</v>
      </c>
      <c r="AB4" s="30" t="s">
        <v>273</v>
      </c>
    </row>
    <row r="5" spans="1:28" ht="21" customHeight="1" x14ac:dyDescent="0.15">
      <c r="A5" s="26">
        <v>30021004</v>
      </c>
      <c r="B5" s="26" t="s">
        <v>361</v>
      </c>
      <c r="C5" s="29">
        <v>3</v>
      </c>
      <c r="D5" s="29" t="s">
        <v>128</v>
      </c>
      <c r="E5" s="30" t="s">
        <v>322</v>
      </c>
      <c r="F5" s="30" t="s">
        <v>275</v>
      </c>
      <c r="G5" s="42" t="str">
        <f t="shared" si="0"/>
        <v>[effect:critical, val:1.8]</v>
      </c>
      <c r="H5" s="42">
        <f t="shared" si="1"/>
        <v>9</v>
      </c>
      <c r="I5" s="42">
        <f t="shared" si="2"/>
        <v>17</v>
      </c>
      <c r="J5" s="42" t="e">
        <f t="shared" si="3"/>
        <v>#VALUE!</v>
      </c>
      <c r="K5" s="42" t="e">
        <f t="shared" si="4"/>
        <v>#VALUE!</v>
      </c>
      <c r="L5" s="42" t="str">
        <f>IFERROR(VLOOKUP(MID(G5,J5,K5-J5),[5]skilldef!$C:$D,2,FALSE),"-") &amp; " / " &amp; IFERROR(VLOOKUP(MID(G5,H5,I5-H5),[5]skilldef!$A:$B,2,FALSE),"-")</f>
        <v>- / 大攻撃</v>
      </c>
      <c r="M5" s="42" t="str">
        <f t="shared" si="5"/>
        <v>none</v>
      </c>
      <c r="N5" s="27" t="str">
        <f>IFERROR(LEFT(M5,FIND("],",M5)+#REF!),M5)</f>
        <v>none</v>
      </c>
      <c r="O5" s="42" t="e">
        <f t="shared" si="6"/>
        <v>#VALUE!</v>
      </c>
      <c r="P5" s="42">
        <f t="shared" si="7"/>
        <v>4</v>
      </c>
      <c r="Q5" s="42" t="e">
        <f t="shared" si="8"/>
        <v>#VALUE!</v>
      </c>
      <c r="R5" s="42" t="e">
        <f t="shared" si="9"/>
        <v>#VALUE!</v>
      </c>
      <c r="S5" s="42" t="str">
        <f>IFERROR(VLOOKUP(MID(N5,Q5,R5-Q5),[5]skilldef!$C:$D,2,FALSE),"-") &amp; " / " &amp; IFERROR(VLOOKUP(MID(N5,O5,P5-O5),[5]skilldef!$A:$B,2,FALSE),"-")</f>
        <v>- / -</v>
      </c>
      <c r="T5" s="27" t="str">
        <f t="shared" si="10"/>
        <v>none</v>
      </c>
      <c r="U5" s="42" t="e">
        <f t="shared" si="11"/>
        <v>#VALUE!</v>
      </c>
      <c r="V5" s="42">
        <f t="shared" si="12"/>
        <v>4</v>
      </c>
      <c r="W5" s="42" t="e">
        <f t="shared" si="13"/>
        <v>#VALUE!</v>
      </c>
      <c r="X5" s="42" t="e">
        <f t="shared" si="14"/>
        <v>#VALUE!</v>
      </c>
      <c r="Y5" s="42" t="str">
        <f>IFERROR(VLOOKUP(MID(T5,W5,X5-W5),[5]skilldef!$C:$D,2,FALSE),"-") &amp; " / " &amp; IFERROR(VLOOKUP(MID(T5,U5,V5-U5),[5]skilldef!$A:$B,2,FALSE),"-")</f>
        <v>- / -</v>
      </c>
      <c r="Z5" s="29" t="s">
        <v>298</v>
      </c>
      <c r="AA5" s="31">
        <v>42355</v>
      </c>
      <c r="AB5" s="30" t="s">
        <v>289</v>
      </c>
    </row>
    <row r="6" spans="1:28" ht="21" customHeight="1" x14ac:dyDescent="0.15">
      <c r="A6" s="26">
        <v>30021005</v>
      </c>
      <c r="B6" s="26" t="s">
        <v>299</v>
      </c>
      <c r="C6" s="29">
        <v>3</v>
      </c>
      <c r="D6" s="29" t="s">
        <v>128</v>
      </c>
      <c r="E6" s="30" t="s">
        <v>355</v>
      </c>
      <c r="F6" s="30" t="s">
        <v>356</v>
      </c>
      <c r="G6" s="42" t="str">
        <f t="shared" si="0"/>
        <v xml:space="preserve">[effect:nothing]    </v>
      </c>
      <c r="H6" s="42">
        <f t="shared" si="1"/>
        <v>9</v>
      </c>
      <c r="I6" s="42">
        <f t="shared" si="2"/>
        <v>20</v>
      </c>
      <c r="J6" s="42" t="e">
        <f t="shared" si="3"/>
        <v>#VALUE!</v>
      </c>
      <c r="K6" s="42" t="e">
        <f t="shared" si="4"/>
        <v>#VALUE!</v>
      </c>
      <c r="L6" s="42" t="str">
        <f>IFERROR(VLOOKUP(MID(G6,J6,K6-J6),[5]skilldef!$C:$D,2,FALSE),"-") &amp; " / " &amp; IFERROR(VLOOKUP(MID(G6,H6,I6-H6),[5]skilldef!$A:$B,2,FALSE),"-")</f>
        <v>- / -</v>
      </c>
      <c r="M6" s="42" t="str">
        <f t="shared" si="5"/>
        <v>none</v>
      </c>
      <c r="N6" s="27" t="str">
        <f>IFERROR(LEFT(M6,FIND("],",M6)+S21),M6)</f>
        <v>none</v>
      </c>
      <c r="O6" s="42" t="e">
        <f t="shared" si="6"/>
        <v>#VALUE!</v>
      </c>
      <c r="P6" s="42">
        <f t="shared" si="7"/>
        <v>4</v>
      </c>
      <c r="Q6" s="42" t="e">
        <f t="shared" si="8"/>
        <v>#VALUE!</v>
      </c>
      <c r="R6" s="42" t="e">
        <f t="shared" si="9"/>
        <v>#VALUE!</v>
      </c>
      <c r="S6" s="42" t="str">
        <f>IFERROR(VLOOKUP(MID(N6,Q6,R6-Q6),[5]skilldef!$C:$D,2,FALSE),"-") &amp; " / " &amp; IFERROR(VLOOKUP(MID(N6,O6,P6-O6),[5]skilldef!$A:$B,2,FALSE),"-")</f>
        <v>- / -</v>
      </c>
      <c r="T6" s="27" t="str">
        <f t="shared" si="10"/>
        <v>none</v>
      </c>
      <c r="U6" s="42" t="e">
        <f t="shared" si="11"/>
        <v>#VALUE!</v>
      </c>
      <c r="V6" s="42">
        <f t="shared" si="12"/>
        <v>4</v>
      </c>
      <c r="W6" s="42" t="e">
        <f t="shared" si="13"/>
        <v>#VALUE!</v>
      </c>
      <c r="X6" s="42" t="e">
        <f t="shared" si="14"/>
        <v>#VALUE!</v>
      </c>
      <c r="Y6" s="42" t="str">
        <f>IFERROR(VLOOKUP(MID(T6,W6,X6-W6),[5]skilldef!$C:$D,2,FALSE),"-") &amp; " / " &amp; IFERROR(VLOOKUP(MID(T6,U6,V6-U6),[5]skilldef!$A:$B,2,FALSE),"-")</f>
        <v>- / -</v>
      </c>
      <c r="Z6" s="29" t="s">
        <v>298</v>
      </c>
      <c r="AA6" s="31">
        <v>42355</v>
      </c>
      <c r="AB6" s="30" t="s">
        <v>276</v>
      </c>
    </row>
    <row r="7" spans="1:28" ht="21" customHeight="1" x14ac:dyDescent="0.15">
      <c r="A7" s="26">
        <v>30021006</v>
      </c>
      <c r="B7" s="26" t="s">
        <v>304</v>
      </c>
      <c r="C7" s="29">
        <v>3</v>
      </c>
      <c r="D7" s="29" t="s">
        <v>128</v>
      </c>
      <c r="E7" s="30" t="s">
        <v>316</v>
      </c>
      <c r="F7" s="30" t="s">
        <v>270</v>
      </c>
      <c r="G7" s="42" t="str">
        <f t="shared" si="0"/>
        <v>[effect:rush, count:3, val:0.5]</v>
      </c>
      <c r="H7" s="42">
        <f t="shared" si="1"/>
        <v>9</v>
      </c>
      <c r="I7" s="42">
        <f t="shared" si="2"/>
        <v>13</v>
      </c>
      <c r="J7" s="42" t="e">
        <f t="shared" si="3"/>
        <v>#VALUE!</v>
      </c>
      <c r="K7" s="42">
        <f t="shared" si="4"/>
        <v>22</v>
      </c>
      <c r="L7" s="42" t="str">
        <f>IFERROR(VLOOKUP(MID(G7,J7,K7-J7),[5]skilldef!$C:$D,2,FALSE),"-") &amp; " / " &amp; IFERROR(VLOOKUP(MID(G7,H7,I7-H7),[5]skilldef!$A:$B,2,FALSE),"-")</f>
        <v>- / 連続攻撃</v>
      </c>
      <c r="M7" s="42" t="str">
        <f t="shared" si="5"/>
        <v>none</v>
      </c>
      <c r="N7" s="27" t="str">
        <f>IFERROR(LEFT(M7,FIND("],",M7)+S22),M7)</f>
        <v>none</v>
      </c>
      <c r="O7" s="42" t="e">
        <f t="shared" si="6"/>
        <v>#VALUE!</v>
      </c>
      <c r="P7" s="42">
        <f t="shared" si="7"/>
        <v>4</v>
      </c>
      <c r="Q7" s="42" t="e">
        <f t="shared" si="8"/>
        <v>#VALUE!</v>
      </c>
      <c r="R7" s="42" t="e">
        <f t="shared" si="9"/>
        <v>#VALUE!</v>
      </c>
      <c r="S7" s="42" t="str">
        <f>IFERROR(VLOOKUP(MID(N7,Q7,R7-Q7),[5]skilldef!$C:$D,2,FALSE),"-") &amp; " / " &amp; IFERROR(VLOOKUP(MID(N7,O7,P7-O7),[5]skilldef!$A:$B,2,FALSE),"-")</f>
        <v>- / -</v>
      </c>
      <c r="T7" s="27" t="str">
        <f t="shared" si="10"/>
        <v>none</v>
      </c>
      <c r="U7" s="42" t="e">
        <f t="shared" si="11"/>
        <v>#VALUE!</v>
      </c>
      <c r="V7" s="42">
        <f t="shared" si="12"/>
        <v>4</v>
      </c>
      <c r="W7" s="42" t="e">
        <f t="shared" si="13"/>
        <v>#VALUE!</v>
      </c>
      <c r="X7" s="42" t="e">
        <f t="shared" si="14"/>
        <v>#VALUE!</v>
      </c>
      <c r="Y7" s="42" t="str">
        <f>IFERROR(VLOOKUP(MID(T7,W7,X7-W7),[5]skilldef!$C:$D,2,FALSE),"-") &amp; " / " &amp; IFERROR(VLOOKUP(MID(T7,U7,V7-U7),[5]skilldef!$A:$B,2,FALSE),"-")</f>
        <v>- / -</v>
      </c>
      <c r="Z7" s="29" t="s">
        <v>298</v>
      </c>
      <c r="AA7" s="31">
        <v>42355</v>
      </c>
      <c r="AB7" s="30" t="s">
        <v>277</v>
      </c>
    </row>
    <row r="8" spans="1:28" ht="21" customHeight="1" x14ac:dyDescent="0.15">
      <c r="A8" s="26">
        <v>30021007</v>
      </c>
      <c r="B8" s="26" t="s">
        <v>344</v>
      </c>
      <c r="C8" s="29">
        <v>3</v>
      </c>
      <c r="D8" s="29" t="s">
        <v>128</v>
      </c>
      <c r="E8" s="30" t="s">
        <v>347</v>
      </c>
      <c r="F8" s="30" t="s">
        <v>314</v>
      </c>
      <c r="G8" s="42" t="str">
        <f t="shared" si="0"/>
        <v xml:space="preserve">[effect:enhance_enemy, target:myself, turn:3, status:attack, val:0.4, animation:enemy_enhance_attack]    </v>
      </c>
      <c r="H8" s="42">
        <f t="shared" si="1"/>
        <v>9</v>
      </c>
      <c r="I8" s="42">
        <f t="shared" si="2"/>
        <v>22</v>
      </c>
      <c r="J8" s="42">
        <f t="shared" si="3"/>
        <v>31</v>
      </c>
      <c r="K8" s="42">
        <f t="shared" si="4"/>
        <v>37</v>
      </c>
      <c r="L8" s="42" t="str">
        <f>IFERROR(VLOOKUP(MID(G8,J8,K8-J8),[5]skilldef!$C:$D,2,FALSE),"-") &amp; " / " &amp; IFERROR(VLOOKUP(MID(G8,H8,I8-H8),[5]skilldef!$A:$B,2,FALSE),"-")</f>
        <v>自分自身に / ステータス強化</v>
      </c>
      <c r="M8" s="42" t="str">
        <f t="shared" si="5"/>
        <v>none</v>
      </c>
      <c r="N8" s="27" t="str">
        <f>IFERROR(LEFT(M8,FIND("],",M8)+S23),M8)</f>
        <v>none</v>
      </c>
      <c r="O8" s="42" t="e">
        <f t="shared" si="6"/>
        <v>#VALUE!</v>
      </c>
      <c r="P8" s="42">
        <f t="shared" si="7"/>
        <v>4</v>
      </c>
      <c r="Q8" s="42" t="e">
        <f t="shared" si="8"/>
        <v>#VALUE!</v>
      </c>
      <c r="R8" s="42" t="e">
        <f t="shared" si="9"/>
        <v>#VALUE!</v>
      </c>
      <c r="S8" s="42" t="str">
        <f>IFERROR(VLOOKUP(MID(N8,Q8,R8-Q8),[5]skilldef!$C:$D,2,FALSE),"-") &amp; " / " &amp; IFERROR(VLOOKUP(MID(N8,O8,P8-O8),[5]skilldef!$A:$B,2,FALSE),"-")</f>
        <v>- / -</v>
      </c>
      <c r="T8" s="27" t="str">
        <f t="shared" si="10"/>
        <v>none</v>
      </c>
      <c r="U8" s="42" t="e">
        <f t="shared" si="11"/>
        <v>#VALUE!</v>
      </c>
      <c r="V8" s="42">
        <f t="shared" si="12"/>
        <v>4</v>
      </c>
      <c r="W8" s="42" t="e">
        <f t="shared" si="13"/>
        <v>#VALUE!</v>
      </c>
      <c r="X8" s="42" t="e">
        <f t="shared" si="14"/>
        <v>#VALUE!</v>
      </c>
      <c r="Y8" s="42" t="str">
        <f>IFERROR(VLOOKUP(MID(T8,W8,X8-W8),[5]skilldef!$C:$D,2,FALSE),"-") &amp; " / " &amp; IFERROR(VLOOKUP(MID(T8,U8,V8-U8),[5]skilldef!$A:$B,2,FALSE),"-")</f>
        <v>- / -</v>
      </c>
      <c r="Z8" s="29" t="s">
        <v>298</v>
      </c>
      <c r="AA8" s="31">
        <v>42355</v>
      </c>
      <c r="AB8" s="30" t="s">
        <v>278</v>
      </c>
    </row>
    <row r="9" spans="1:28" ht="21" customHeight="1" x14ac:dyDescent="0.15">
      <c r="A9" s="315">
        <v>30021039</v>
      </c>
      <c r="B9" s="26" t="s">
        <v>354</v>
      </c>
      <c r="C9" s="29">
        <v>3</v>
      </c>
      <c r="D9" s="29" t="s">
        <v>128</v>
      </c>
      <c r="E9" s="30" t="s">
        <v>342</v>
      </c>
      <c r="F9" s="30" t="s">
        <v>343</v>
      </c>
      <c r="G9" s="42" t="str">
        <f t="shared" ref="G9" si="15">IFERROR(LEFT(B9,FIND("],",B9)),B9)</f>
        <v>[effect:rush, count:2, val:1.4]</v>
      </c>
      <c r="H9" s="42">
        <f t="shared" ref="H9" si="16">FIND("effect:",G9)+7</f>
        <v>9</v>
      </c>
      <c r="I9" s="42">
        <f t="shared" ref="I9" si="17">IFERROR(FIND(",",G9),LEN(G9))</f>
        <v>13</v>
      </c>
      <c r="J9" s="42" t="e">
        <f t="shared" ref="J9" si="18">FIND("target:",G9)+7</f>
        <v>#VALUE!</v>
      </c>
      <c r="K9" s="42">
        <f t="shared" ref="K9" si="19">FIND(",",G9,I9+1)</f>
        <v>22</v>
      </c>
      <c r="L9" s="42" t="str">
        <f>IFERROR(VLOOKUP(MID(G9,J9,K9-J9),[5]skilldef!$C:$D,2,FALSE),"-") &amp; " / " &amp; IFERROR(VLOOKUP(MID(G9,H9,I9-H9),[5]skilldef!$A:$B,2,FALSE),"-")</f>
        <v>- / 連続攻撃</v>
      </c>
      <c r="M9" s="42" t="str">
        <f t="shared" ref="M9" si="20">IFERROR(RIGHT(B9,LEN(B9)-FIND("],",B9)-1),"none")</f>
        <v>none</v>
      </c>
      <c r="N9" s="27" t="str">
        <f>IFERROR(LEFT(M9,FIND("],",M9)+#REF!),M9)</f>
        <v>none</v>
      </c>
      <c r="O9" s="42" t="e">
        <f t="shared" ref="O9" si="21">FIND("effect:",N9)+7</f>
        <v>#VALUE!</v>
      </c>
      <c r="P9" s="42">
        <f t="shared" ref="P9" si="22">IFERROR(FIND(",",N9),LEN(N9))</f>
        <v>4</v>
      </c>
      <c r="Q9" s="42" t="e">
        <f t="shared" ref="Q9" si="23">FIND("target:",N9)+7</f>
        <v>#VALUE!</v>
      </c>
      <c r="R9" s="42" t="e">
        <f t="shared" ref="R9" si="24">FIND(",",N9,P9+1)</f>
        <v>#VALUE!</v>
      </c>
      <c r="S9" s="42" t="str">
        <f>IFERROR(VLOOKUP(MID(N9,Q9,R9-Q9),[5]skilldef!$C:$D,2,FALSE),"-") &amp; " / " &amp; IFERROR(VLOOKUP(MID(N9,O9,P9-O9),[5]skilldef!$A:$B,2,FALSE),"-")</f>
        <v>- / -</v>
      </c>
      <c r="T9" s="27" t="str">
        <f t="shared" ref="T9" si="25">IFERROR(RIGHT(M9,LEN(M9)-FIND("],",M9)-1),"none")</f>
        <v>none</v>
      </c>
      <c r="U9" s="42" t="e">
        <f t="shared" ref="U9" si="26">FIND("effect:",T9)+7</f>
        <v>#VALUE!</v>
      </c>
      <c r="V9" s="42">
        <f t="shared" ref="V9" si="27">IFERROR(FIND(",",T9),LEN(T9))</f>
        <v>4</v>
      </c>
      <c r="W9" s="42" t="e">
        <f t="shared" ref="W9" si="28">FIND("target:",T9)+7</f>
        <v>#VALUE!</v>
      </c>
      <c r="X9" s="42" t="e">
        <f t="shared" ref="X9" si="29">FIND(",",T9,V9+1)</f>
        <v>#VALUE!</v>
      </c>
      <c r="Y9" s="42" t="str">
        <f>IFERROR(VLOOKUP(MID(T9,W9,X9-W9),[5]skilldef!$C:$D,2,FALSE),"-") &amp; " / " &amp; IFERROR(VLOOKUP(MID(T9,U9,V9-U9),[5]skilldef!$A:$B,2,FALSE),"-")</f>
        <v>- / -</v>
      </c>
      <c r="Z9" s="29" t="s">
        <v>298</v>
      </c>
      <c r="AA9" s="31">
        <v>42355</v>
      </c>
      <c r="AB9" s="30" t="s">
        <v>273</v>
      </c>
    </row>
    <row r="10" spans="1:28" ht="21" customHeight="1" x14ac:dyDescent="0.15">
      <c r="A10" s="26">
        <v>30021008</v>
      </c>
      <c r="B10" s="26" t="s">
        <v>320</v>
      </c>
      <c r="C10" s="29">
        <v>3</v>
      </c>
      <c r="D10" s="29" t="s">
        <v>128</v>
      </c>
      <c r="E10" s="30" t="s">
        <v>319</v>
      </c>
      <c r="F10" s="30" t="s">
        <v>318</v>
      </c>
      <c r="G10" s="42" t="str">
        <f t="shared" si="0"/>
        <v>[effect:spread, val:0.4]</v>
      </c>
      <c r="H10" s="42">
        <f t="shared" si="1"/>
        <v>9</v>
      </c>
      <c r="I10" s="42">
        <f t="shared" si="2"/>
        <v>15</v>
      </c>
      <c r="J10" s="42" t="e">
        <f t="shared" si="3"/>
        <v>#VALUE!</v>
      </c>
      <c r="K10" s="42" t="e">
        <f t="shared" si="4"/>
        <v>#VALUE!</v>
      </c>
      <c r="L10" s="42" t="str">
        <f>IFERROR(VLOOKUP(MID(G10,J10,K10-J10),[5]skilldef!$C:$D,2,FALSE),"-") &amp; " / " &amp; IFERROR(VLOOKUP(MID(G10,H10,I10-H10),[5]skilldef!$A:$B,2,FALSE),"-")</f>
        <v>- / 全体攻撃</v>
      </c>
      <c r="M10" s="42" t="str">
        <f t="shared" si="5"/>
        <v>none</v>
      </c>
      <c r="N10" s="27" t="str">
        <f>IFERROR(LEFT(M10,FIND("],",M10)+#REF!),M10)</f>
        <v>none</v>
      </c>
      <c r="O10" s="42" t="e">
        <f t="shared" si="6"/>
        <v>#VALUE!</v>
      </c>
      <c r="P10" s="42">
        <f t="shared" si="7"/>
        <v>4</v>
      </c>
      <c r="Q10" s="42" t="e">
        <f t="shared" si="8"/>
        <v>#VALUE!</v>
      </c>
      <c r="R10" s="42" t="e">
        <f t="shared" si="9"/>
        <v>#VALUE!</v>
      </c>
      <c r="S10" s="42" t="str">
        <f>IFERROR(VLOOKUP(MID(N10,Q10,R10-Q10),[5]skilldef!$C:$D,2,FALSE),"-") &amp; " / " &amp; IFERROR(VLOOKUP(MID(N10,O10,P10-O10),[5]skilldef!$A:$B,2,FALSE),"-")</f>
        <v>- / -</v>
      </c>
      <c r="T10" s="27" t="str">
        <f t="shared" si="10"/>
        <v>none</v>
      </c>
      <c r="U10" s="42" t="e">
        <f t="shared" si="11"/>
        <v>#VALUE!</v>
      </c>
      <c r="V10" s="42">
        <f t="shared" si="12"/>
        <v>4</v>
      </c>
      <c r="W10" s="42" t="e">
        <f t="shared" si="13"/>
        <v>#VALUE!</v>
      </c>
      <c r="X10" s="42" t="e">
        <f t="shared" si="14"/>
        <v>#VALUE!</v>
      </c>
      <c r="Y10" s="42" t="str">
        <f>IFERROR(VLOOKUP(MID(T10,W10,X10-W10),[5]skilldef!$C:$D,2,FALSE),"-") &amp; " / " &amp; IFERROR(VLOOKUP(MID(T10,U10,V10-U10),[5]skilldef!$A:$B,2,FALSE),"-")</f>
        <v>- / -</v>
      </c>
      <c r="Z10" s="29" t="s">
        <v>298</v>
      </c>
      <c r="AA10" s="31">
        <v>42355</v>
      </c>
      <c r="AB10" s="30" t="s">
        <v>279</v>
      </c>
    </row>
    <row r="11" spans="1:28" ht="21" customHeight="1" x14ac:dyDescent="0.15">
      <c r="A11" s="26">
        <v>30021009</v>
      </c>
      <c r="B11" s="26" t="s">
        <v>377</v>
      </c>
      <c r="C11" s="29">
        <v>3</v>
      </c>
      <c r="D11" s="29" t="s">
        <v>128</v>
      </c>
      <c r="E11" s="30" t="s">
        <v>346</v>
      </c>
      <c r="F11" s="30" t="s">
        <v>317</v>
      </c>
      <c r="G11" s="42" t="str">
        <f t="shared" si="0"/>
        <v>[effect:rush, count:4, val:0.5]</v>
      </c>
      <c r="H11" s="42">
        <f t="shared" si="1"/>
        <v>9</v>
      </c>
      <c r="I11" s="42">
        <f t="shared" si="2"/>
        <v>13</v>
      </c>
      <c r="J11" s="42" t="e">
        <f t="shared" si="3"/>
        <v>#VALUE!</v>
      </c>
      <c r="K11" s="42">
        <f t="shared" si="4"/>
        <v>22</v>
      </c>
      <c r="L11" s="42" t="str">
        <f>IFERROR(VLOOKUP(MID(G11,J11,K11-J11),[5]skilldef!$C:$D,2,FALSE),"-") &amp; " / " &amp; IFERROR(VLOOKUP(MID(G11,H11,I11-H11),[5]skilldef!$A:$B,2,FALSE),"-")</f>
        <v>- / 連続攻撃</v>
      </c>
      <c r="M11" s="42" t="str">
        <f t="shared" si="5"/>
        <v>[effect:enhance_enemy, target:myself, turn:-1, status:attack, val:0.4, animation:enemy_enhance_attack]</v>
      </c>
      <c r="N11" s="27" t="str">
        <f>IFERROR(LEFT(M11,FIND("],",M11)+#REF!),M11)</f>
        <v>[effect:enhance_enemy, target:myself, turn:-1, status:attack, val:0.4, animation:enemy_enhance_attack]</v>
      </c>
      <c r="O11" s="42">
        <f t="shared" si="6"/>
        <v>9</v>
      </c>
      <c r="P11" s="42">
        <f t="shared" si="7"/>
        <v>22</v>
      </c>
      <c r="Q11" s="42">
        <f t="shared" si="8"/>
        <v>31</v>
      </c>
      <c r="R11" s="42">
        <f t="shared" si="9"/>
        <v>37</v>
      </c>
      <c r="S11" s="42" t="str">
        <f>IFERROR(VLOOKUP(MID(N11,Q11,R11-Q11),[5]skilldef!$C:$D,2,FALSE),"-") &amp; " / " &amp; IFERROR(VLOOKUP(MID(N11,O11,P11-O11),[5]skilldef!$A:$B,2,FALSE),"-")</f>
        <v>自分自身に / ステータス強化</v>
      </c>
      <c r="T11" s="27" t="str">
        <f t="shared" si="10"/>
        <v>none</v>
      </c>
      <c r="U11" s="42" t="e">
        <f t="shared" si="11"/>
        <v>#VALUE!</v>
      </c>
      <c r="V11" s="42">
        <f t="shared" si="12"/>
        <v>4</v>
      </c>
      <c r="W11" s="42" t="e">
        <f t="shared" si="13"/>
        <v>#VALUE!</v>
      </c>
      <c r="X11" s="42" t="e">
        <f t="shared" si="14"/>
        <v>#VALUE!</v>
      </c>
      <c r="Y11" s="42" t="str">
        <f>IFERROR(VLOOKUP(MID(T11,W11,X11-W11),[5]skilldef!$C:$D,2,FALSE),"-") &amp; " / " &amp; IFERROR(VLOOKUP(MID(T11,U11,V11-U11),[5]skilldef!$A:$B,2,FALSE),"-")</f>
        <v>- / -</v>
      </c>
      <c r="Z11" s="29" t="s">
        <v>298</v>
      </c>
      <c r="AA11" s="31">
        <v>42355</v>
      </c>
      <c r="AB11" s="30" t="s">
        <v>280</v>
      </c>
    </row>
    <row r="12" spans="1:28" ht="21" customHeight="1" x14ac:dyDescent="0.15">
      <c r="A12" s="26">
        <v>30021010</v>
      </c>
      <c r="B12" s="26" t="s">
        <v>305</v>
      </c>
      <c r="C12" s="29">
        <v>3</v>
      </c>
      <c r="D12" s="29" t="s">
        <v>128</v>
      </c>
      <c r="E12" s="30" t="s">
        <v>348</v>
      </c>
      <c r="F12" s="30" t="s">
        <v>282</v>
      </c>
      <c r="G12" s="42" t="str">
        <f t="shared" si="0"/>
        <v>[effect:kamikaze, val:3]</v>
      </c>
      <c r="H12" s="42">
        <f t="shared" si="1"/>
        <v>9</v>
      </c>
      <c r="I12" s="42">
        <f t="shared" si="2"/>
        <v>17</v>
      </c>
      <c r="J12" s="42" t="e">
        <f t="shared" si="3"/>
        <v>#VALUE!</v>
      </c>
      <c r="K12" s="42" t="e">
        <f t="shared" si="4"/>
        <v>#VALUE!</v>
      </c>
      <c r="L12" s="42" t="str">
        <f>IFERROR(VLOOKUP(MID(G12,J12,K12-J12),[5]skilldef!$C:$D,2,FALSE),"-") &amp; " / " &amp; IFERROR(VLOOKUP(MID(G12,H12,I12-H12),[5]skilldef!$A:$B,2,FALSE),"-")</f>
        <v>- / 自爆</v>
      </c>
      <c r="M12" s="42" t="str">
        <f t="shared" si="5"/>
        <v>none</v>
      </c>
      <c r="N12" s="27" t="str">
        <f>IFERROR(LEFT(M12,FIND("],",M12)+#REF!),M12)</f>
        <v>none</v>
      </c>
      <c r="O12" s="42" t="e">
        <f t="shared" si="6"/>
        <v>#VALUE!</v>
      </c>
      <c r="P12" s="42">
        <f t="shared" si="7"/>
        <v>4</v>
      </c>
      <c r="Q12" s="42" t="e">
        <f t="shared" si="8"/>
        <v>#VALUE!</v>
      </c>
      <c r="R12" s="42" t="e">
        <f t="shared" si="9"/>
        <v>#VALUE!</v>
      </c>
      <c r="S12" s="42" t="str">
        <f>IFERROR(VLOOKUP(MID(N12,Q12,R12-Q12),[5]skilldef!$C:$D,2,FALSE),"-") &amp; " / " &amp; IFERROR(VLOOKUP(MID(N12,O12,P12-O12),[5]skilldef!$A:$B,2,FALSE),"-")</f>
        <v>- / -</v>
      </c>
      <c r="T12" s="27" t="str">
        <f t="shared" si="10"/>
        <v>none</v>
      </c>
      <c r="U12" s="42" t="e">
        <f t="shared" si="11"/>
        <v>#VALUE!</v>
      </c>
      <c r="V12" s="42">
        <f t="shared" si="12"/>
        <v>4</v>
      </c>
      <c r="W12" s="42" t="e">
        <f t="shared" si="13"/>
        <v>#VALUE!</v>
      </c>
      <c r="X12" s="42" t="e">
        <f t="shared" si="14"/>
        <v>#VALUE!</v>
      </c>
      <c r="Y12" s="42" t="str">
        <f>IFERROR(VLOOKUP(MID(T12,W12,X12-W12),[5]skilldef!$C:$D,2,FALSE),"-") &amp; " / " &amp; IFERROR(VLOOKUP(MID(T12,U12,V12-U12),[5]skilldef!$A:$B,2,FALSE),"-")</f>
        <v>- / -</v>
      </c>
      <c r="Z12" s="29" t="s">
        <v>298</v>
      </c>
      <c r="AA12" s="31">
        <v>42355</v>
      </c>
      <c r="AB12" s="30" t="s">
        <v>313</v>
      </c>
    </row>
    <row r="13" spans="1:28" ht="21" customHeight="1" x14ac:dyDescent="0.15">
      <c r="A13" s="26">
        <v>30021011</v>
      </c>
      <c r="B13" s="343" t="s">
        <v>408</v>
      </c>
      <c r="C13" s="29">
        <v>3</v>
      </c>
      <c r="D13" s="29" t="s">
        <v>128</v>
      </c>
      <c r="E13" s="30" t="s">
        <v>321</v>
      </c>
      <c r="F13" s="30" t="s">
        <v>353</v>
      </c>
      <c r="G13" s="42" t="str">
        <f t="shared" si="0"/>
        <v>[effect:enhance_enemy, target:myself, turn:3, status:defense, val:1500, calc:add, animation:enemy_enhance_defense]</v>
      </c>
      <c r="H13" s="42">
        <f t="shared" si="1"/>
        <v>9</v>
      </c>
      <c r="I13" s="42">
        <f t="shared" si="2"/>
        <v>22</v>
      </c>
      <c r="J13" s="42">
        <f t="shared" si="3"/>
        <v>31</v>
      </c>
      <c r="K13" s="42">
        <f t="shared" si="4"/>
        <v>37</v>
      </c>
      <c r="L13" s="42" t="str">
        <f>IFERROR(VLOOKUP(MID(G13,J13,K13-J13),[5]skilldef!$C:$D,2,FALSE),"-") &amp; " / " &amp; IFERROR(VLOOKUP(MID(G13,H13,I13-H13),[5]skilldef!$A:$B,2,FALSE),"-")</f>
        <v>自分自身に / ステータス強化</v>
      </c>
      <c r="M13" s="42" t="str">
        <f t="shared" si="5"/>
        <v>none</v>
      </c>
      <c r="N13" s="27" t="str">
        <f>IFERROR(LEFT(M13,FIND("],",M13)+S24),M13)</f>
        <v>none</v>
      </c>
      <c r="O13" s="42" t="e">
        <f t="shared" si="6"/>
        <v>#VALUE!</v>
      </c>
      <c r="P13" s="42">
        <f t="shared" si="7"/>
        <v>4</v>
      </c>
      <c r="Q13" s="42" t="e">
        <f t="shared" si="8"/>
        <v>#VALUE!</v>
      </c>
      <c r="R13" s="42" t="e">
        <f t="shared" si="9"/>
        <v>#VALUE!</v>
      </c>
      <c r="S13" s="42" t="str">
        <f>IFERROR(VLOOKUP(MID(N13,Q13,R13-Q13),[5]skilldef!$C:$D,2,FALSE),"-") &amp; " / " &amp; IFERROR(VLOOKUP(MID(N13,O13,P13-O13),[5]skilldef!$A:$B,2,FALSE),"-")</f>
        <v>- / -</v>
      </c>
      <c r="T13" s="27" t="str">
        <f t="shared" si="10"/>
        <v>none</v>
      </c>
      <c r="U13" s="42" t="e">
        <f t="shared" si="11"/>
        <v>#VALUE!</v>
      </c>
      <c r="V13" s="42">
        <f t="shared" si="12"/>
        <v>4</v>
      </c>
      <c r="W13" s="42" t="e">
        <f t="shared" si="13"/>
        <v>#VALUE!</v>
      </c>
      <c r="X13" s="42" t="e">
        <f t="shared" si="14"/>
        <v>#VALUE!</v>
      </c>
      <c r="Y13" s="42" t="str">
        <f>IFERROR(VLOOKUP(MID(T13,W13,X13-W13),[5]skilldef!$C:$D,2,FALSE),"-") &amp; " / " &amp; IFERROR(VLOOKUP(MID(T13,U13,V13-U13),[5]skilldef!$A:$B,2,FALSE),"-")</f>
        <v>- / -</v>
      </c>
      <c r="Z13" s="29" t="s">
        <v>298</v>
      </c>
      <c r="AA13" s="31">
        <v>42355</v>
      </c>
      <c r="AB13" s="30" t="s">
        <v>283</v>
      </c>
    </row>
    <row r="14" spans="1:28" ht="21" customHeight="1" x14ac:dyDescent="0.15">
      <c r="A14" s="26">
        <v>30021012</v>
      </c>
      <c r="B14" s="343" t="s">
        <v>409</v>
      </c>
      <c r="C14" s="29">
        <v>3</v>
      </c>
      <c r="D14" s="29" t="s">
        <v>128</v>
      </c>
      <c r="E14" s="30" t="s">
        <v>327</v>
      </c>
      <c r="F14" s="30" t="s">
        <v>373</v>
      </c>
      <c r="G14" s="42" t="str">
        <f t="shared" si="0"/>
        <v>[effect:enemy_counter, target:myself, invoke_condition:unit_all, counter_target:attacker, turn:1, val:0.7, animation:enemy_counter]</v>
      </c>
      <c r="H14" s="42">
        <f t="shared" si="1"/>
        <v>9</v>
      </c>
      <c r="I14" s="42">
        <f t="shared" si="2"/>
        <v>22</v>
      </c>
      <c r="J14" s="42">
        <f t="shared" si="3"/>
        <v>31</v>
      </c>
      <c r="K14" s="42">
        <f t="shared" si="4"/>
        <v>37</v>
      </c>
      <c r="L14" s="42" t="str">
        <f>IFERROR(VLOOKUP(MID(G14,J14,K14-J14),[5]skilldef!$C:$D,2,FALSE),"-") &amp; " / " &amp; IFERROR(VLOOKUP(MID(G14,H14,I14-H14),[5]skilldef!$A:$B,2,FALSE),"-")</f>
        <v>自分自身に / カウンター</v>
      </c>
      <c r="M14" s="42" t="str">
        <f t="shared" si="5"/>
        <v>[effect:enhance_enemy, target:myself, turn:3, status:defense, val:1500, calc:add, animation:enemy_enhance_defense]</v>
      </c>
      <c r="N14" s="27" t="str">
        <f>IFERROR(LEFT(M14,FIND("],",M14)+S25),M14)</f>
        <v>[effect:enhance_enemy, target:myself, turn:3, status:defense, val:1500, calc:add, animation:enemy_enhance_defense]</v>
      </c>
      <c r="O14" s="42">
        <f t="shared" si="6"/>
        <v>9</v>
      </c>
      <c r="P14" s="42">
        <f t="shared" si="7"/>
        <v>22</v>
      </c>
      <c r="Q14" s="42">
        <f t="shared" si="8"/>
        <v>31</v>
      </c>
      <c r="R14" s="42">
        <f t="shared" si="9"/>
        <v>37</v>
      </c>
      <c r="S14" s="42" t="str">
        <f>IFERROR(VLOOKUP(MID(N14,Q14,R14-Q14),[5]skilldef!$C:$D,2,FALSE),"-") &amp; " / " &amp; IFERROR(VLOOKUP(MID(N14,O14,P14-O14),[5]skilldef!$A:$B,2,FALSE),"-")</f>
        <v>自分自身に / ステータス強化</v>
      </c>
      <c r="T14" s="27" t="str">
        <f t="shared" si="10"/>
        <v>none</v>
      </c>
      <c r="U14" s="42" t="e">
        <f t="shared" si="11"/>
        <v>#VALUE!</v>
      </c>
      <c r="V14" s="42">
        <f t="shared" si="12"/>
        <v>4</v>
      </c>
      <c r="W14" s="42" t="e">
        <f t="shared" si="13"/>
        <v>#VALUE!</v>
      </c>
      <c r="X14" s="42" t="e">
        <f t="shared" si="14"/>
        <v>#VALUE!</v>
      </c>
      <c r="Y14" s="42" t="str">
        <f>IFERROR(VLOOKUP(MID(T14,W14,X14-W14),[5]skilldef!$C:$D,2,FALSE),"-") &amp; " / " &amp; IFERROR(VLOOKUP(MID(T14,U14,V14-U14),[5]skilldef!$A:$B,2,FALSE),"-")</f>
        <v>- / -</v>
      </c>
      <c r="Z14" s="29" t="s">
        <v>298</v>
      </c>
      <c r="AA14" s="31">
        <v>42355</v>
      </c>
      <c r="AB14" s="30" t="s">
        <v>290</v>
      </c>
    </row>
    <row r="15" spans="1:28" ht="21" customHeight="1" x14ac:dyDescent="0.15">
      <c r="A15" s="26">
        <v>30021013</v>
      </c>
      <c r="B15" s="26" t="s">
        <v>341</v>
      </c>
      <c r="C15" s="29">
        <v>3</v>
      </c>
      <c r="D15" s="29" t="s">
        <v>128</v>
      </c>
      <c r="E15" s="30" t="s">
        <v>345</v>
      </c>
      <c r="F15" s="30" t="s">
        <v>285</v>
      </c>
      <c r="G15" s="42" t="str">
        <f t="shared" si="0"/>
        <v>[effect:critical, val:1.8]</v>
      </c>
      <c r="H15" s="42">
        <f t="shared" si="1"/>
        <v>9</v>
      </c>
      <c r="I15" s="42">
        <f t="shared" si="2"/>
        <v>17</v>
      </c>
      <c r="J15" s="42" t="e">
        <f t="shared" si="3"/>
        <v>#VALUE!</v>
      </c>
      <c r="K15" s="42" t="e">
        <f t="shared" si="4"/>
        <v>#VALUE!</v>
      </c>
      <c r="L15" s="42" t="str">
        <f>IFERROR(VLOOKUP(MID(G15,J15,K15-J15),[5]skilldef!$C:$D,2,FALSE),"-") &amp; " / " &amp; IFERROR(VLOOKUP(MID(G15,H15,I15-H15),[5]skilldef!$A:$B,2,FALSE),"-")</f>
        <v>- / 大攻撃</v>
      </c>
      <c r="M15" s="42" t="str">
        <f t="shared" si="5"/>
        <v>none</v>
      </c>
      <c r="N15" s="27" t="str">
        <f>IFERROR(LEFT(M15,FIND("],",M15)+S26),M15)</f>
        <v>none</v>
      </c>
      <c r="O15" s="42" t="e">
        <f t="shared" si="6"/>
        <v>#VALUE!</v>
      </c>
      <c r="P15" s="42">
        <f t="shared" si="7"/>
        <v>4</v>
      </c>
      <c r="Q15" s="42" t="e">
        <f t="shared" si="8"/>
        <v>#VALUE!</v>
      </c>
      <c r="R15" s="42" t="e">
        <f t="shared" si="9"/>
        <v>#VALUE!</v>
      </c>
      <c r="S15" s="42" t="str">
        <f>IFERROR(VLOOKUP(MID(N15,Q15,R15-Q15),[5]skilldef!$C:$D,2,FALSE),"-") &amp; " / " &amp; IFERROR(VLOOKUP(MID(N15,O15,P15-O15),[5]skilldef!$A:$B,2,FALSE),"-")</f>
        <v>- / -</v>
      </c>
      <c r="T15" s="27" t="str">
        <f t="shared" si="10"/>
        <v>none</v>
      </c>
      <c r="U15" s="42" t="e">
        <f t="shared" si="11"/>
        <v>#VALUE!</v>
      </c>
      <c r="V15" s="42">
        <f t="shared" si="12"/>
        <v>4</v>
      </c>
      <c r="W15" s="42" t="e">
        <f t="shared" si="13"/>
        <v>#VALUE!</v>
      </c>
      <c r="X15" s="42" t="e">
        <f t="shared" si="14"/>
        <v>#VALUE!</v>
      </c>
      <c r="Y15" s="42" t="str">
        <f>IFERROR(VLOOKUP(MID(T15,W15,X15-W15),[5]skilldef!$C:$D,2,FALSE),"-") &amp; " / " &amp; IFERROR(VLOOKUP(MID(T15,U15,V15-U15),[5]skilldef!$A:$B,2,FALSE),"-")</f>
        <v>- / -</v>
      </c>
      <c r="Z15" s="29" t="s">
        <v>298</v>
      </c>
      <c r="AA15" s="31">
        <v>42355</v>
      </c>
      <c r="AB15" s="30" t="s">
        <v>284</v>
      </c>
    </row>
    <row r="16" spans="1:28" ht="21" customHeight="1" x14ac:dyDescent="0.15">
      <c r="A16" s="26">
        <v>30021014</v>
      </c>
      <c r="B16" s="26" t="s">
        <v>360</v>
      </c>
      <c r="C16" s="29">
        <v>3</v>
      </c>
      <c r="D16" s="29" t="s">
        <v>128</v>
      </c>
      <c r="E16" s="30" t="s">
        <v>315</v>
      </c>
      <c r="F16" s="30" t="s">
        <v>287</v>
      </c>
      <c r="G16" s="42" t="str">
        <f t="shared" si="0"/>
        <v>[effect:critical, val:1.9]</v>
      </c>
      <c r="H16" s="42">
        <f t="shared" si="1"/>
        <v>9</v>
      </c>
      <c r="I16" s="42">
        <f t="shared" si="2"/>
        <v>17</v>
      </c>
      <c r="J16" s="42" t="e">
        <f t="shared" si="3"/>
        <v>#VALUE!</v>
      </c>
      <c r="K16" s="42" t="e">
        <f t="shared" si="4"/>
        <v>#VALUE!</v>
      </c>
      <c r="L16" s="42" t="str">
        <f>IFERROR(VLOOKUP(MID(G16,J16,K16-J16),[5]skilldef!$C:$D,2,FALSE),"-") &amp; " / " &amp; IFERROR(VLOOKUP(MID(G16,H16,I16-H16),[5]skilldef!$A:$B,2,FALSE),"-")</f>
        <v>- / 大攻撃</v>
      </c>
      <c r="M16" s="42" t="str">
        <f t="shared" si="5"/>
        <v>none</v>
      </c>
      <c r="N16" s="27" t="str">
        <f>IFERROR(LEFT(M16,FIND("],",M16)+S27),M16)</f>
        <v>none</v>
      </c>
      <c r="O16" s="42" t="e">
        <f t="shared" si="6"/>
        <v>#VALUE!</v>
      </c>
      <c r="P16" s="42">
        <f t="shared" si="7"/>
        <v>4</v>
      </c>
      <c r="Q16" s="42" t="e">
        <f t="shared" si="8"/>
        <v>#VALUE!</v>
      </c>
      <c r="R16" s="42" t="e">
        <f t="shared" si="9"/>
        <v>#VALUE!</v>
      </c>
      <c r="S16" s="42" t="str">
        <f>IFERROR(VLOOKUP(MID(N16,Q16,R16-Q16),[5]skilldef!$C:$D,2,FALSE),"-") &amp; " / " &amp; IFERROR(VLOOKUP(MID(N16,O16,P16-O16),[5]skilldef!$A:$B,2,FALSE),"-")</f>
        <v>- / -</v>
      </c>
      <c r="T16" s="27" t="str">
        <f t="shared" si="10"/>
        <v>none</v>
      </c>
      <c r="U16" s="42" t="e">
        <f t="shared" si="11"/>
        <v>#VALUE!</v>
      </c>
      <c r="V16" s="42">
        <f t="shared" si="12"/>
        <v>4</v>
      </c>
      <c r="W16" s="42" t="e">
        <f t="shared" si="13"/>
        <v>#VALUE!</v>
      </c>
      <c r="X16" s="42" t="e">
        <f t="shared" si="14"/>
        <v>#VALUE!</v>
      </c>
      <c r="Y16" s="42" t="str">
        <f>IFERROR(VLOOKUP(MID(T16,W16,X16-W16),[5]skilldef!$C:$D,2,FALSE),"-") &amp; " / " &amp; IFERROR(VLOOKUP(MID(T16,U16,V16-U16),[5]skilldef!$A:$B,2,FALSE),"-")</f>
        <v>- / -</v>
      </c>
      <c r="Z16" s="29" t="s">
        <v>298</v>
      </c>
      <c r="AA16" s="31">
        <v>42355</v>
      </c>
      <c r="AB16" s="30" t="s">
        <v>286</v>
      </c>
    </row>
    <row r="17" spans="1:28" ht="21" customHeight="1" x14ac:dyDescent="0.15">
      <c r="A17" s="26">
        <v>30021015</v>
      </c>
      <c r="B17" s="26" t="s">
        <v>306</v>
      </c>
      <c r="C17" s="29">
        <v>3</v>
      </c>
      <c r="D17" s="29" t="s">
        <v>128</v>
      </c>
      <c r="E17" s="30" t="s">
        <v>403</v>
      </c>
      <c r="F17" s="30" t="s">
        <v>328</v>
      </c>
      <c r="G17" s="42" t="str">
        <f t="shared" si="0"/>
        <v>[effect:nothing]</v>
      </c>
      <c r="H17" s="42">
        <f t="shared" si="1"/>
        <v>9</v>
      </c>
      <c r="I17" s="42">
        <f t="shared" si="2"/>
        <v>16</v>
      </c>
      <c r="J17" s="42" t="e">
        <f t="shared" si="3"/>
        <v>#VALUE!</v>
      </c>
      <c r="K17" s="42" t="e">
        <f t="shared" si="4"/>
        <v>#VALUE!</v>
      </c>
      <c r="L17" s="42" t="str">
        <f>IFERROR(VLOOKUP(MID(G17,J17,K17-J17),[5]skilldef!$C:$D,2,FALSE),"-") &amp; " / " &amp; IFERROR(VLOOKUP(MID(G17,H17,I17-H17),[5]skilldef!$A:$B,2,FALSE),"-")</f>
        <v>- / 何もしない</v>
      </c>
      <c r="M17" s="42" t="str">
        <f t="shared" si="5"/>
        <v>none</v>
      </c>
      <c r="N17" s="27" t="str">
        <f>IFERROR(LEFT(M17,FIND("],",M17)+S28),M17)</f>
        <v>none</v>
      </c>
      <c r="O17" s="42" t="e">
        <f t="shared" si="6"/>
        <v>#VALUE!</v>
      </c>
      <c r="P17" s="42">
        <f t="shared" si="7"/>
        <v>4</v>
      </c>
      <c r="Q17" s="42" t="e">
        <f t="shared" si="8"/>
        <v>#VALUE!</v>
      </c>
      <c r="R17" s="42" t="e">
        <f t="shared" si="9"/>
        <v>#VALUE!</v>
      </c>
      <c r="S17" s="42" t="str">
        <f>IFERROR(VLOOKUP(MID(N17,Q17,R17-Q17),[5]skilldef!$C:$D,2,FALSE),"-") &amp; " / " &amp; IFERROR(VLOOKUP(MID(N17,O17,P17-O17),[5]skilldef!$A:$B,2,FALSE),"-")</f>
        <v>- / -</v>
      </c>
      <c r="T17" s="27" t="str">
        <f t="shared" si="10"/>
        <v>none</v>
      </c>
      <c r="U17" s="42" t="e">
        <f t="shared" si="11"/>
        <v>#VALUE!</v>
      </c>
      <c r="V17" s="42">
        <f t="shared" si="12"/>
        <v>4</v>
      </c>
      <c r="W17" s="42" t="e">
        <f t="shared" si="13"/>
        <v>#VALUE!</v>
      </c>
      <c r="X17" s="42" t="e">
        <f t="shared" si="14"/>
        <v>#VALUE!</v>
      </c>
      <c r="Y17" s="42" t="str">
        <f>IFERROR(VLOOKUP(MID(T17,W17,X17-W17),[5]skilldef!$C:$D,2,FALSE),"-") &amp; " / " &amp; IFERROR(VLOOKUP(MID(T17,U17,V17-U17),[5]skilldef!$A:$B,2,FALSE),"-")</f>
        <v>- / -</v>
      </c>
      <c r="Z17" s="29" t="s">
        <v>298</v>
      </c>
      <c r="AA17" s="31">
        <v>42355</v>
      </c>
      <c r="AB17" s="272" t="s">
        <v>291</v>
      </c>
    </row>
    <row r="18" spans="1:28" ht="21" customHeight="1" x14ac:dyDescent="0.15">
      <c r="A18" s="26">
        <v>30021016</v>
      </c>
      <c r="B18" s="26" t="s">
        <v>399</v>
      </c>
      <c r="C18" s="29">
        <v>3</v>
      </c>
      <c r="D18" s="29" t="s">
        <v>128</v>
      </c>
      <c r="E18" s="30" t="s">
        <v>326</v>
      </c>
      <c r="F18" s="30" t="s">
        <v>400</v>
      </c>
      <c r="G18" s="42" t="str">
        <f t="shared" si="0"/>
        <v>[effect:tolerance,target:myself,turn:-1,tolerance_effect:all,count:-1,animation:enemy_tolerance]</v>
      </c>
      <c r="H18" s="42">
        <f t="shared" si="1"/>
        <v>9</v>
      </c>
      <c r="I18" s="42">
        <f t="shared" si="2"/>
        <v>18</v>
      </c>
      <c r="J18" s="42">
        <f t="shared" si="3"/>
        <v>26</v>
      </c>
      <c r="K18" s="42">
        <f t="shared" si="4"/>
        <v>32</v>
      </c>
      <c r="L18" s="42" t="str">
        <f>IFERROR(VLOOKUP(MID(G18,J18,K18-J18),[5]skilldef!$C:$D,2,FALSE),"-") &amp; " / " &amp; IFERROR(VLOOKUP(MID(G18,H18,I18-H18),[5]skilldef!$A:$B,2,FALSE),"-")</f>
        <v>自分自身に / 状態異常耐性</v>
      </c>
      <c r="M18" s="42" t="str">
        <f t="shared" si="5"/>
        <v>[effect:dis_heart, turn:2, animation:enemy_dis_heart],[effect:rush, count:1, val:1.0]</v>
      </c>
      <c r="N18" s="27" t="str">
        <f>IFERROR(LEFT(M18,FIND("],",M18)+#REF!),M18)</f>
        <v>[effect:dis_heart, turn:2, animation:enemy_dis_heart],[effect:rush, count:1, val:1.0]</v>
      </c>
      <c r="O18" s="42">
        <f t="shared" si="6"/>
        <v>9</v>
      </c>
      <c r="P18" s="42">
        <f t="shared" si="7"/>
        <v>18</v>
      </c>
      <c r="Q18" s="42" t="e">
        <f t="shared" si="8"/>
        <v>#VALUE!</v>
      </c>
      <c r="R18" s="42">
        <f t="shared" si="9"/>
        <v>26</v>
      </c>
      <c r="S18" s="42" t="str">
        <f>IFERROR(VLOOKUP(MID(N18,Q18,R18-Q18),[5]skilldef!$C:$D,2,FALSE),"-") &amp; " / " &amp; IFERROR(VLOOKUP(MID(N18,O18,P18-O18),[5]skilldef!$A:$B,2,FALSE),"-")</f>
        <v>- / ディスハート</v>
      </c>
      <c r="T18" s="27" t="str">
        <f t="shared" si="10"/>
        <v>[effect:rush, count:1, val:1.0]</v>
      </c>
      <c r="U18" s="42">
        <f t="shared" si="11"/>
        <v>9</v>
      </c>
      <c r="V18" s="42">
        <f t="shared" si="12"/>
        <v>13</v>
      </c>
      <c r="W18" s="42" t="e">
        <f t="shared" si="13"/>
        <v>#VALUE!</v>
      </c>
      <c r="X18" s="42">
        <f t="shared" si="14"/>
        <v>22</v>
      </c>
      <c r="Y18" s="42" t="str">
        <f>IFERROR(VLOOKUP(MID(T18,W18,X18-W18),[5]skilldef!$C:$D,2,FALSE),"-") &amp; " / " &amp; IFERROR(VLOOKUP(MID(T18,U18,V18-U18),[5]skilldef!$A:$B,2,FALSE),"-")</f>
        <v>- / 連続攻撃</v>
      </c>
      <c r="Z18" s="29" t="s">
        <v>298</v>
      </c>
      <c r="AA18" s="31">
        <v>42355</v>
      </c>
      <c r="AB18" s="272" t="s">
        <v>292</v>
      </c>
    </row>
    <row r="19" spans="1:28" ht="21" customHeight="1" x14ac:dyDescent="0.15">
      <c r="A19" s="26">
        <v>30021019</v>
      </c>
      <c r="B19" s="26" t="s">
        <v>351</v>
      </c>
      <c r="C19" s="29">
        <v>3</v>
      </c>
      <c r="D19" s="29" t="s">
        <v>128</v>
      </c>
      <c r="E19" s="30" t="s">
        <v>312</v>
      </c>
      <c r="F19" s="30" t="s">
        <v>308</v>
      </c>
      <c r="G19" s="42" t="str">
        <f t="shared" si="0"/>
        <v>[effect:rush, count:2, val:0.6]</v>
      </c>
      <c r="H19" s="42">
        <f t="shared" si="1"/>
        <v>9</v>
      </c>
      <c r="I19" s="42">
        <f t="shared" si="2"/>
        <v>13</v>
      </c>
      <c r="J19" s="42" t="e">
        <f t="shared" si="3"/>
        <v>#VALUE!</v>
      </c>
      <c r="K19" s="42">
        <f t="shared" si="4"/>
        <v>22</v>
      </c>
      <c r="L19" s="42" t="str">
        <f>IFERROR(VLOOKUP(MID(G19,J19,K19-J19),[5]skilldef!$C:$D,2,FALSE),"-") &amp; " / " &amp; IFERROR(VLOOKUP(MID(G19,H19,I19-H19),[5]skilldef!$A:$B,2,FALSE),"-")</f>
        <v>- / 連続攻撃</v>
      </c>
      <c r="M19" s="42" t="str">
        <f t="shared" si="5"/>
        <v>none</v>
      </c>
      <c r="N19" s="27" t="str">
        <f>IFERROR(LEFT(M19,FIND("],",M19)+#REF!),M19)</f>
        <v>none</v>
      </c>
      <c r="O19" s="42" t="e">
        <f t="shared" si="6"/>
        <v>#VALUE!</v>
      </c>
      <c r="P19" s="42">
        <f t="shared" si="7"/>
        <v>4</v>
      </c>
      <c r="Q19" s="42" t="e">
        <f t="shared" si="8"/>
        <v>#VALUE!</v>
      </c>
      <c r="R19" s="42" t="e">
        <f t="shared" si="9"/>
        <v>#VALUE!</v>
      </c>
      <c r="S19" s="42" t="str">
        <f>IFERROR(VLOOKUP(MID(N19,Q19,R19-Q19),[5]skilldef!$C:$D,2,FALSE),"-") &amp; " / " &amp; IFERROR(VLOOKUP(MID(N19,O19,P19-O19),[5]skilldef!$A:$B,2,FALSE),"-")</f>
        <v>- / -</v>
      </c>
      <c r="T19" s="27" t="str">
        <f t="shared" si="10"/>
        <v>none</v>
      </c>
      <c r="U19" s="42" t="e">
        <f t="shared" si="11"/>
        <v>#VALUE!</v>
      </c>
      <c r="V19" s="42">
        <f t="shared" si="12"/>
        <v>4</v>
      </c>
      <c r="W19" s="42" t="e">
        <f t="shared" si="13"/>
        <v>#VALUE!</v>
      </c>
      <c r="X19" s="42" t="e">
        <f t="shared" si="14"/>
        <v>#VALUE!</v>
      </c>
      <c r="Y19" s="42" t="str">
        <f>IFERROR(VLOOKUP(MID(T19,W19,X19-W19),[5]skilldef!$C:$D,2,FALSE),"-") &amp; " / " &amp; IFERROR(VLOOKUP(MID(T19,U19,V19-U19),[5]skilldef!$A:$B,2,FALSE),"-")</f>
        <v>- / -</v>
      </c>
      <c r="Z19" s="29" t="s">
        <v>298</v>
      </c>
      <c r="AA19" s="31">
        <v>42355</v>
      </c>
      <c r="AB19" s="272" t="s">
        <v>293</v>
      </c>
    </row>
    <row r="20" spans="1:28" ht="21" customHeight="1" x14ac:dyDescent="0.15">
      <c r="A20" s="26">
        <v>30021020</v>
      </c>
      <c r="B20" s="26" t="s">
        <v>352</v>
      </c>
      <c r="C20" s="29">
        <v>3</v>
      </c>
      <c r="D20" s="29" t="s">
        <v>128</v>
      </c>
      <c r="E20" s="30" t="s">
        <v>329</v>
      </c>
      <c r="F20" s="30" t="s">
        <v>294</v>
      </c>
      <c r="G20" s="42" t="str">
        <f t="shared" si="0"/>
        <v xml:space="preserve">[effect:break_attack, val:0.1, lowest_val:1500, count:10, block:block_red, target:unit_one]    </v>
      </c>
      <c r="H20" s="42">
        <f t="shared" si="1"/>
        <v>9</v>
      </c>
      <c r="I20" s="42">
        <f t="shared" si="2"/>
        <v>21</v>
      </c>
      <c r="J20" s="42">
        <f t="shared" si="3"/>
        <v>83</v>
      </c>
      <c r="K20" s="42">
        <f t="shared" si="4"/>
        <v>30</v>
      </c>
      <c r="L20" s="42" t="str">
        <f>IFERROR(VLOOKUP(MID(G20,J20,K20-J20),[5]skilldef!$C:$D,2,FALSE),"-") &amp; " / " &amp; IFERROR(VLOOKUP(MID(G20,H20,I20-H20),[5]skilldef!$A:$B,2,FALSE),"-")</f>
        <v>- / -</v>
      </c>
      <c r="M20" s="42" t="str">
        <f t="shared" si="5"/>
        <v>none</v>
      </c>
      <c r="N20" s="27" t="str">
        <f>IFERROR(LEFT(M20,FIND("],",M20)+#REF!),M20)</f>
        <v>none</v>
      </c>
      <c r="O20" s="42" t="e">
        <f t="shared" si="6"/>
        <v>#VALUE!</v>
      </c>
      <c r="P20" s="42">
        <f t="shared" si="7"/>
        <v>4</v>
      </c>
      <c r="Q20" s="42" t="e">
        <f t="shared" si="8"/>
        <v>#VALUE!</v>
      </c>
      <c r="R20" s="42" t="e">
        <f t="shared" si="9"/>
        <v>#VALUE!</v>
      </c>
      <c r="S20" s="42" t="str">
        <f>IFERROR(VLOOKUP(MID(N20,Q20,R20-Q20),[5]skilldef!$C:$D,2,FALSE),"-") &amp; " / " &amp; IFERROR(VLOOKUP(MID(N20,O20,P20-O20),[5]skilldef!$A:$B,2,FALSE),"-")</f>
        <v>- / -</v>
      </c>
      <c r="T20" s="27" t="str">
        <f t="shared" si="10"/>
        <v>none</v>
      </c>
      <c r="U20" s="42" t="e">
        <f t="shared" si="11"/>
        <v>#VALUE!</v>
      </c>
      <c r="V20" s="42">
        <f t="shared" si="12"/>
        <v>4</v>
      </c>
      <c r="W20" s="42" t="e">
        <f t="shared" si="13"/>
        <v>#VALUE!</v>
      </c>
      <c r="X20" s="42" t="e">
        <f t="shared" si="14"/>
        <v>#VALUE!</v>
      </c>
      <c r="Y20" s="42" t="str">
        <f>IFERROR(VLOOKUP(MID(T20,W20,X20-W20),[5]skilldef!$C:$D,2,FALSE),"-") &amp; " / " &amp; IFERROR(VLOOKUP(MID(T20,U20,V20-U20),[5]skilldef!$A:$B,2,FALSE),"-")</f>
        <v>- / -</v>
      </c>
      <c r="Z20" s="29" t="s">
        <v>298</v>
      </c>
      <c r="AA20" s="31">
        <v>42355</v>
      </c>
      <c r="AB20" s="272" t="s">
        <v>293</v>
      </c>
    </row>
    <row r="21" spans="1:28" ht="21" customHeight="1" x14ac:dyDescent="0.15">
      <c r="A21" s="26">
        <v>30021024</v>
      </c>
      <c r="B21" s="26" t="s">
        <v>369</v>
      </c>
      <c r="C21" s="29">
        <v>3</v>
      </c>
      <c r="D21" s="29" t="s">
        <v>128</v>
      </c>
      <c r="E21" s="30" t="s">
        <v>358</v>
      </c>
      <c r="F21" s="30" t="s">
        <v>325</v>
      </c>
      <c r="G21" s="42" t="str">
        <f t="shared" si="0"/>
        <v xml:space="preserve">[effect:change_block, new_block:block_heart, target:block_red, count:3, val:0, animation:change_block]    </v>
      </c>
      <c r="H21" s="42">
        <f t="shared" si="1"/>
        <v>9</v>
      </c>
      <c r="I21" s="42">
        <f t="shared" si="2"/>
        <v>21</v>
      </c>
      <c r="J21" s="42">
        <f t="shared" si="3"/>
        <v>53</v>
      </c>
      <c r="K21" s="42">
        <f t="shared" si="4"/>
        <v>44</v>
      </c>
      <c r="L21" s="42" t="str">
        <f>IFERROR(VLOOKUP(MID(G21,J21,K21-J21),[5]skilldef!$C:$D,2,FALSE),"-") &amp; " / " &amp; IFERROR(VLOOKUP(MID(G21,H21,I21-H21),[5]skilldef!$A:$B,2,FALSE),"-")</f>
        <v>- / ブロック変換</v>
      </c>
      <c r="M21" s="42" t="str">
        <f t="shared" si="5"/>
        <v>none</v>
      </c>
      <c r="N21" s="27" t="str">
        <f>IFERROR(LEFT(M21,FIND("],",M21)+S32),M21)</f>
        <v>none</v>
      </c>
      <c r="O21" s="42" t="e">
        <f t="shared" si="6"/>
        <v>#VALUE!</v>
      </c>
      <c r="P21" s="42">
        <f t="shared" si="7"/>
        <v>4</v>
      </c>
      <c r="Q21" s="42" t="e">
        <f t="shared" si="8"/>
        <v>#VALUE!</v>
      </c>
      <c r="R21" s="42" t="e">
        <f t="shared" si="9"/>
        <v>#VALUE!</v>
      </c>
      <c r="S21" s="42" t="str">
        <f>IFERROR(VLOOKUP(MID(N21,Q21,R21-Q21),[5]skilldef!$C:$D,2,FALSE),"-") &amp; " / " &amp; IFERROR(VLOOKUP(MID(N21,O21,P21-O21),[5]skilldef!$A:$B,2,FALSE),"-")</f>
        <v>- / -</v>
      </c>
      <c r="T21" s="27" t="str">
        <f t="shared" si="10"/>
        <v>none</v>
      </c>
      <c r="U21" s="42" t="e">
        <f t="shared" si="11"/>
        <v>#VALUE!</v>
      </c>
      <c r="V21" s="42">
        <f t="shared" si="12"/>
        <v>4</v>
      </c>
      <c r="W21" s="42" t="e">
        <f t="shared" si="13"/>
        <v>#VALUE!</v>
      </c>
      <c r="X21" s="42" t="e">
        <f t="shared" si="14"/>
        <v>#VALUE!</v>
      </c>
      <c r="Y21" s="42" t="str">
        <f>IFERROR(VLOOKUP(MID(T21,W21,X21-W21),[5]skilldef!$C:$D,2,FALSE),"-") &amp; " / " &amp; IFERROR(VLOOKUP(MID(T21,U21,V21-U21),[5]skilldef!$A:$B,2,FALSE),"-")</f>
        <v>- / -</v>
      </c>
      <c r="Z21" s="29" t="s">
        <v>298</v>
      </c>
      <c r="AA21" s="31">
        <v>42355</v>
      </c>
      <c r="AB21" s="272" t="s">
        <v>295</v>
      </c>
    </row>
    <row r="22" spans="1:28" ht="21" customHeight="1" x14ac:dyDescent="0.15">
      <c r="A22" s="26">
        <v>30021025</v>
      </c>
      <c r="B22" s="26" t="s">
        <v>370</v>
      </c>
      <c r="C22" s="29">
        <v>3</v>
      </c>
      <c r="D22" s="29" t="s">
        <v>128</v>
      </c>
      <c r="E22" s="30" t="s">
        <v>310</v>
      </c>
      <c r="F22" s="30" t="s">
        <v>270</v>
      </c>
      <c r="G22" s="42" t="str">
        <f t="shared" si="0"/>
        <v>[effect:rush, count:3, val:0.4]</v>
      </c>
      <c r="H22" s="42">
        <f t="shared" si="1"/>
        <v>9</v>
      </c>
      <c r="I22" s="42">
        <f t="shared" si="2"/>
        <v>13</v>
      </c>
      <c r="J22" s="42" t="e">
        <f t="shared" si="3"/>
        <v>#VALUE!</v>
      </c>
      <c r="K22" s="42">
        <f t="shared" si="4"/>
        <v>22</v>
      </c>
      <c r="L22" s="42" t="str">
        <f>IFERROR(VLOOKUP(MID(G22,J22,K22-J22),[5]skilldef!$C:$D,2,FALSE),"-") &amp; " / " &amp; IFERROR(VLOOKUP(MID(G22,H22,I22-H22),[5]skilldef!$A:$B,2,FALSE),"-")</f>
        <v>- / 連続攻撃</v>
      </c>
      <c r="M22" s="42" t="str">
        <f t="shared" si="5"/>
        <v>none</v>
      </c>
      <c r="N22" s="27" t="str">
        <f>IFERROR(LEFT(M22,FIND("],",M22)+S33),M22)</f>
        <v>none</v>
      </c>
      <c r="O22" s="42" t="e">
        <f t="shared" si="6"/>
        <v>#VALUE!</v>
      </c>
      <c r="P22" s="42">
        <f t="shared" si="7"/>
        <v>4</v>
      </c>
      <c r="Q22" s="42" t="e">
        <f t="shared" si="8"/>
        <v>#VALUE!</v>
      </c>
      <c r="R22" s="42" t="e">
        <f t="shared" si="9"/>
        <v>#VALUE!</v>
      </c>
      <c r="S22" s="42" t="str">
        <f>IFERROR(VLOOKUP(MID(N22,Q22,R22-Q22),[5]skilldef!$C:$D,2,FALSE),"-") &amp; " / " &amp; IFERROR(VLOOKUP(MID(N22,O22,P22-O22),[5]skilldef!$A:$B,2,FALSE),"-")</f>
        <v>- / -</v>
      </c>
      <c r="T22" s="27" t="str">
        <f t="shared" si="10"/>
        <v>none</v>
      </c>
      <c r="U22" s="42" t="e">
        <f t="shared" si="11"/>
        <v>#VALUE!</v>
      </c>
      <c r="V22" s="42">
        <f t="shared" si="12"/>
        <v>4</v>
      </c>
      <c r="W22" s="42" t="e">
        <f t="shared" si="13"/>
        <v>#VALUE!</v>
      </c>
      <c r="X22" s="42" t="e">
        <f t="shared" si="14"/>
        <v>#VALUE!</v>
      </c>
      <c r="Y22" s="42" t="str">
        <f>IFERROR(VLOOKUP(MID(T22,W22,X22-W22),[5]skilldef!$C:$D,2,FALSE),"-") &amp; " / " &amp; IFERROR(VLOOKUP(MID(T22,U22,V22-U22),[5]skilldef!$A:$B,2,FALSE),"-")</f>
        <v>- / -</v>
      </c>
      <c r="Z22" s="29" t="s">
        <v>298</v>
      </c>
      <c r="AA22" s="31">
        <v>42355</v>
      </c>
      <c r="AB22" s="272" t="s">
        <v>295</v>
      </c>
    </row>
    <row r="23" spans="1:28" ht="21" customHeight="1" x14ac:dyDescent="0.15">
      <c r="A23" s="26">
        <v>30021026</v>
      </c>
      <c r="B23" s="26" t="s">
        <v>401</v>
      </c>
      <c r="C23" s="29">
        <v>3</v>
      </c>
      <c r="D23" s="29" t="s">
        <v>128</v>
      </c>
      <c r="E23" s="30" t="s">
        <v>330</v>
      </c>
      <c r="F23" s="30" t="s">
        <v>382</v>
      </c>
      <c r="G23" s="42" t="str">
        <f t="shared" si="0"/>
        <v>[effect:break_attack, val:0.1, lowest_val:1750, count:10, block:block_red, target:unit_one]</v>
      </c>
      <c r="H23" s="42">
        <f t="shared" si="1"/>
        <v>9</v>
      </c>
      <c r="I23" s="42">
        <f t="shared" si="2"/>
        <v>21</v>
      </c>
      <c r="J23" s="42">
        <f t="shared" si="3"/>
        <v>83</v>
      </c>
      <c r="K23" s="42">
        <f t="shared" si="4"/>
        <v>30</v>
      </c>
      <c r="L23" s="42" t="str">
        <f>IFERROR(VLOOKUP(MID(G23,J23,K23-J23),[5]skilldef!$C:$D,2,FALSE),"-") &amp; " / " &amp; IFERROR(VLOOKUP(MID(G23,H23,I23-H23),[5]skilldef!$A:$B,2,FALSE),"-")</f>
        <v>- / -</v>
      </c>
      <c r="M23" s="42" t="str">
        <f t="shared" si="5"/>
        <v>[effect:degrade_unit, target:unit_all, turn:1, status:heal, val:0.5, animation:degrade_unit_all_heal]</v>
      </c>
      <c r="N23" s="27" t="str">
        <f>IFERROR(LEFT(M23,FIND("],",M23)+S34),M23)</f>
        <v>[effect:degrade_unit, target:unit_all, turn:1, status:heal, val:0.5, animation:degrade_unit_all_heal]</v>
      </c>
      <c r="O23" s="42">
        <f t="shared" si="6"/>
        <v>9</v>
      </c>
      <c r="P23" s="42">
        <f t="shared" si="7"/>
        <v>21</v>
      </c>
      <c r="Q23" s="42">
        <f t="shared" si="8"/>
        <v>30</v>
      </c>
      <c r="R23" s="42">
        <f t="shared" si="9"/>
        <v>38</v>
      </c>
      <c r="S23" s="42" t="str">
        <f>IFERROR(VLOOKUP(MID(N23,Q23,R23-Q23),[5]skilldef!$C:$D,2,FALSE),"-") &amp; " / " &amp; IFERROR(VLOOKUP(MID(N23,O23,P23-O23),[5]skilldef!$A:$B,2,FALSE),"-")</f>
        <v>味方全体に / ステータスDOWN</v>
      </c>
      <c r="T23" s="27" t="str">
        <f t="shared" si="10"/>
        <v>none</v>
      </c>
      <c r="U23" s="42" t="e">
        <f t="shared" si="11"/>
        <v>#VALUE!</v>
      </c>
      <c r="V23" s="42">
        <f t="shared" si="12"/>
        <v>4</v>
      </c>
      <c r="W23" s="42" t="e">
        <f t="shared" si="13"/>
        <v>#VALUE!</v>
      </c>
      <c r="X23" s="42" t="e">
        <f t="shared" si="14"/>
        <v>#VALUE!</v>
      </c>
      <c r="Y23" s="42" t="str">
        <f>IFERROR(VLOOKUP(MID(T23,W23,X23-W23),[5]skilldef!$C:$D,2,FALSE),"-") &amp; " / " &amp; IFERROR(VLOOKUP(MID(T23,U23,V23-U23),[5]skilldef!$A:$B,2,FALSE),"-")</f>
        <v>- / -</v>
      </c>
      <c r="Z23" s="29" t="s">
        <v>298</v>
      </c>
      <c r="AA23" s="31">
        <v>42355</v>
      </c>
      <c r="AB23" s="272" t="s">
        <v>295</v>
      </c>
    </row>
    <row r="24" spans="1:28" ht="21" customHeight="1" x14ac:dyDescent="0.15">
      <c r="A24" s="26">
        <v>30021030</v>
      </c>
      <c r="B24" s="271" t="s">
        <v>381</v>
      </c>
      <c r="C24" s="29">
        <v>3</v>
      </c>
      <c r="D24" s="29" t="s">
        <v>128</v>
      </c>
      <c r="E24" s="30" t="s">
        <v>357</v>
      </c>
      <c r="F24" s="30" t="s">
        <v>359</v>
      </c>
      <c r="G24" s="42" t="str">
        <f t="shared" si="0"/>
        <v>[effect:change_block, new_block:crack_bomb, target:block_red, color:block_blue, count:6, val:0, animation:change_block]</v>
      </c>
      <c r="H24" s="42">
        <f t="shared" si="1"/>
        <v>9</v>
      </c>
      <c r="I24" s="42">
        <f t="shared" si="2"/>
        <v>21</v>
      </c>
      <c r="J24" s="42">
        <f t="shared" si="3"/>
        <v>52</v>
      </c>
      <c r="K24" s="42">
        <f t="shared" si="4"/>
        <v>43</v>
      </c>
      <c r="L24" s="42" t="str">
        <f>IFERROR(VLOOKUP(MID(G24,J24,K24-J24),[5]skilldef!$C:$D,2,FALSE),"-") &amp; " / " &amp; IFERROR(VLOOKUP(MID(G24,H24,I24-H24),[5]skilldef!$A:$B,2,FALSE),"-")</f>
        <v>- / ブロック変換</v>
      </c>
      <c r="M24" s="42" t="str">
        <f t="shared" si="5"/>
        <v>none</v>
      </c>
      <c r="N24" s="27" t="str">
        <f>IFERROR(LEFT(M24,FIND("],",M24)+S38),M24)</f>
        <v>none</v>
      </c>
      <c r="O24" s="42" t="e">
        <f t="shared" si="6"/>
        <v>#VALUE!</v>
      </c>
      <c r="P24" s="42">
        <f t="shared" si="7"/>
        <v>4</v>
      </c>
      <c r="Q24" s="42" t="e">
        <f t="shared" si="8"/>
        <v>#VALUE!</v>
      </c>
      <c r="R24" s="42" t="e">
        <f t="shared" si="9"/>
        <v>#VALUE!</v>
      </c>
      <c r="S24" s="42" t="str">
        <f>IFERROR(VLOOKUP(MID(N24,Q24,R24-Q24),[5]skilldef!$C:$D,2,FALSE),"-") &amp; " / " &amp; IFERROR(VLOOKUP(MID(N24,O24,P24-O24),[5]skilldef!$A:$B,2,FALSE),"-")</f>
        <v>- / -</v>
      </c>
      <c r="T24" s="27" t="str">
        <f t="shared" si="10"/>
        <v>none</v>
      </c>
      <c r="U24" s="42" t="e">
        <f t="shared" si="11"/>
        <v>#VALUE!</v>
      </c>
      <c r="V24" s="42">
        <f t="shared" si="12"/>
        <v>4</v>
      </c>
      <c r="W24" s="42" t="e">
        <f t="shared" si="13"/>
        <v>#VALUE!</v>
      </c>
      <c r="X24" s="42" t="e">
        <f t="shared" si="14"/>
        <v>#VALUE!</v>
      </c>
      <c r="Y24" s="42" t="str">
        <f>IFERROR(VLOOKUP(MID(T24,W24,X24-W24),[5]skilldef!$C:$D,2,FALSE),"-") &amp; " / " &amp; IFERROR(VLOOKUP(MID(T24,U24,V24-U24),[5]skilldef!$A:$B,2,FALSE),"-")</f>
        <v>- / -</v>
      </c>
      <c r="Z24" s="29" t="s">
        <v>298</v>
      </c>
      <c r="AA24" s="31">
        <v>42355</v>
      </c>
      <c r="AB24" s="272" t="s">
        <v>296</v>
      </c>
    </row>
    <row r="25" spans="1:28" ht="21" customHeight="1" x14ac:dyDescent="0.15">
      <c r="A25" s="26">
        <v>30021031</v>
      </c>
      <c r="B25" s="26" t="s">
        <v>402</v>
      </c>
      <c r="C25" s="29">
        <v>3</v>
      </c>
      <c r="D25" s="29" t="s">
        <v>128</v>
      </c>
      <c r="E25" s="30" t="s">
        <v>311</v>
      </c>
      <c r="F25" s="30" t="s">
        <v>376</v>
      </c>
      <c r="G25" s="42" t="str">
        <f t="shared" si="0"/>
        <v>[effect:tolerance,target:myself,turn:-1,tolerance_effect:all,count:-1,animation:enemy_tolerance]</v>
      </c>
      <c r="H25" s="42">
        <f t="shared" si="1"/>
        <v>9</v>
      </c>
      <c r="I25" s="42">
        <f t="shared" si="2"/>
        <v>18</v>
      </c>
      <c r="J25" s="42">
        <f t="shared" si="3"/>
        <v>26</v>
      </c>
      <c r="K25" s="42">
        <f t="shared" si="4"/>
        <v>32</v>
      </c>
      <c r="L25" s="42" t="str">
        <f>IFERROR(VLOOKUP(MID(G25,J25,K25-J25),[5]skilldef!$C:$D,2,FALSE),"-") &amp; " / " &amp; IFERROR(VLOOKUP(MID(G25,H25,I25-H25),[5]skilldef!$A:$B,2,FALSE),"-")</f>
        <v>自分自身に / 状態異常耐性</v>
      </c>
      <c r="M25" s="42" t="str">
        <f t="shared" si="5"/>
        <v>[effect:freq_turn, target:myself, turn:2, val:1, animation:enemy_freq_turn]</v>
      </c>
      <c r="N25" s="27" t="str">
        <f>IFERROR(LEFT(M25,FIND("],",M25)+S39),M25)</f>
        <v>[effect:freq_turn, target:myself, turn:2, val:1, animation:enemy_freq_turn]</v>
      </c>
      <c r="O25" s="42">
        <f t="shared" si="6"/>
        <v>9</v>
      </c>
      <c r="P25" s="42">
        <f t="shared" si="7"/>
        <v>18</v>
      </c>
      <c r="Q25" s="42">
        <f t="shared" si="8"/>
        <v>27</v>
      </c>
      <c r="R25" s="42">
        <f t="shared" si="9"/>
        <v>33</v>
      </c>
      <c r="S25" s="42" t="str">
        <f>IFERROR(VLOOKUP(MID(N25,Q25,R25-Q25),[5]skilldef!$C:$D,2,FALSE),"-") &amp; " / " &amp; IFERROR(VLOOKUP(MID(N25,O25,P25-O25),[5]skilldef!$A:$B,2,FALSE),"-")</f>
        <v>自分自身に / 攻撃頻度がUP</v>
      </c>
      <c r="T25" s="27" t="str">
        <f t="shared" si="10"/>
        <v>none</v>
      </c>
      <c r="U25" s="42" t="e">
        <f t="shared" si="11"/>
        <v>#VALUE!</v>
      </c>
      <c r="V25" s="42">
        <f t="shared" si="12"/>
        <v>4</v>
      </c>
      <c r="W25" s="42" t="e">
        <f t="shared" si="13"/>
        <v>#VALUE!</v>
      </c>
      <c r="X25" s="42" t="e">
        <f t="shared" si="14"/>
        <v>#VALUE!</v>
      </c>
      <c r="Y25" s="42" t="str">
        <f>IFERROR(VLOOKUP(MID(T25,W25,X25-W25),[5]skilldef!$C:$D,2,FALSE),"-") &amp; " / " &amp; IFERROR(VLOOKUP(MID(T25,U25,V25-U25),[5]skilldef!$A:$B,2,FALSE),"-")</f>
        <v>- / -</v>
      </c>
      <c r="Z25" s="29" t="s">
        <v>298</v>
      </c>
      <c r="AA25" s="31">
        <v>42355</v>
      </c>
      <c r="AB25" s="272" t="s">
        <v>296</v>
      </c>
    </row>
    <row r="26" spans="1:28" ht="21" customHeight="1" x14ac:dyDescent="0.15">
      <c r="A26" s="26">
        <v>30021032</v>
      </c>
      <c r="B26" s="26" t="s">
        <v>398</v>
      </c>
      <c r="C26" s="29">
        <v>3</v>
      </c>
      <c r="D26" s="29" t="s">
        <v>128</v>
      </c>
      <c r="E26" s="30" t="s">
        <v>331</v>
      </c>
      <c r="F26" s="30" t="s">
        <v>382</v>
      </c>
      <c r="G26" s="42" t="str">
        <f t="shared" si="0"/>
        <v>[effect:break_attack, val:0.1, lowest_val:2000, count:13, block:block_red, target:unit_one]</v>
      </c>
      <c r="H26" s="42">
        <f t="shared" si="1"/>
        <v>9</v>
      </c>
      <c r="I26" s="42">
        <f t="shared" si="2"/>
        <v>21</v>
      </c>
      <c r="J26" s="42">
        <f t="shared" si="3"/>
        <v>83</v>
      </c>
      <c r="K26" s="42">
        <f t="shared" si="4"/>
        <v>30</v>
      </c>
      <c r="L26" s="42" t="str">
        <f>IFERROR(VLOOKUP(MID(G26,J26,K26-J26),[5]skilldef!$C:$D,2,FALSE),"-") &amp; " / " &amp; IFERROR(VLOOKUP(MID(G26,H26,I26-H26),[5]skilldef!$A:$B,2,FALSE),"-")</f>
        <v>- / -</v>
      </c>
      <c r="M26" s="42" t="str">
        <f t="shared" si="5"/>
        <v>[effect:degrade_unit, target:unit_all, turn:1, status:heal, val:0.7, animation:degrade_unit_all_heal]</v>
      </c>
      <c r="N26" s="27" t="str">
        <f>IFERROR(LEFT(M26,FIND("],",M26)+S40),M26)</f>
        <v>[effect:degrade_unit, target:unit_all, turn:1, status:heal, val:0.7, animation:degrade_unit_all_heal]</v>
      </c>
      <c r="O26" s="42">
        <f t="shared" si="6"/>
        <v>9</v>
      </c>
      <c r="P26" s="42">
        <f t="shared" si="7"/>
        <v>21</v>
      </c>
      <c r="Q26" s="42">
        <f t="shared" si="8"/>
        <v>30</v>
      </c>
      <c r="R26" s="42">
        <f t="shared" si="9"/>
        <v>38</v>
      </c>
      <c r="S26" s="42" t="str">
        <f>IFERROR(VLOOKUP(MID(N26,Q26,R26-Q26),[5]skilldef!$C:$D,2,FALSE),"-") &amp; " / " &amp; IFERROR(VLOOKUP(MID(N26,O26,P26-O26),[5]skilldef!$A:$B,2,FALSE),"-")</f>
        <v>味方全体に / ステータスDOWN</v>
      </c>
      <c r="T26" s="27" t="str">
        <f t="shared" si="10"/>
        <v>none</v>
      </c>
      <c r="U26" s="42" t="e">
        <f t="shared" si="11"/>
        <v>#VALUE!</v>
      </c>
      <c r="V26" s="42">
        <f t="shared" si="12"/>
        <v>4</v>
      </c>
      <c r="W26" s="42" t="e">
        <f t="shared" si="13"/>
        <v>#VALUE!</v>
      </c>
      <c r="X26" s="42" t="e">
        <f t="shared" si="14"/>
        <v>#VALUE!</v>
      </c>
      <c r="Y26" s="42" t="str">
        <f>IFERROR(VLOOKUP(MID(T26,W26,X26-W26),[5]skilldef!$C:$D,2,FALSE),"-") &amp; " / " &amp; IFERROR(VLOOKUP(MID(T26,U26,V26-U26),[5]skilldef!$A:$B,2,FALSE),"-")</f>
        <v>- / -</v>
      </c>
      <c r="Z26" s="29" t="s">
        <v>298</v>
      </c>
      <c r="AA26" s="31">
        <v>42355</v>
      </c>
      <c r="AB26" s="272" t="s">
        <v>296</v>
      </c>
    </row>
    <row r="27" spans="1:28" ht="21" customHeight="1" x14ac:dyDescent="0.15">
      <c r="A27" s="26">
        <v>30021033</v>
      </c>
      <c r="B27" s="26" t="s">
        <v>371</v>
      </c>
      <c r="C27" s="29">
        <v>3</v>
      </c>
      <c r="D27" s="29" t="s">
        <v>128</v>
      </c>
      <c r="E27" s="30" t="s">
        <v>309</v>
      </c>
      <c r="F27" s="30" t="s">
        <v>378</v>
      </c>
      <c r="G27" s="42" t="str">
        <f t="shared" si="0"/>
        <v>[effect:rush, count:5, val:0.3]</v>
      </c>
      <c r="H27" s="42">
        <f t="shared" si="1"/>
        <v>9</v>
      </c>
      <c r="I27" s="42">
        <f t="shared" si="2"/>
        <v>13</v>
      </c>
      <c r="J27" s="42" t="e">
        <f t="shared" si="3"/>
        <v>#VALUE!</v>
      </c>
      <c r="K27" s="42">
        <f t="shared" si="4"/>
        <v>22</v>
      </c>
      <c r="L27" s="42" t="str">
        <f>IFERROR(VLOOKUP(MID(G27,J27,K27-J27),[5]skilldef!$C:$D,2,FALSE),"-") &amp; " / " &amp; IFERROR(VLOOKUP(MID(G27,H27,I27-H27),[5]skilldef!$A:$B,2,FALSE),"-")</f>
        <v>- / 連続攻撃</v>
      </c>
      <c r="M27" s="42" t="str">
        <f t="shared" si="5"/>
        <v>none</v>
      </c>
      <c r="N27" s="27" t="str">
        <f>IFERROR(LEFT(M27,FIND("],",M27)+S41),M27)</f>
        <v>none</v>
      </c>
      <c r="O27" s="42" t="e">
        <f t="shared" si="6"/>
        <v>#VALUE!</v>
      </c>
      <c r="P27" s="42">
        <f t="shared" si="7"/>
        <v>4</v>
      </c>
      <c r="Q27" s="42" t="e">
        <f t="shared" si="8"/>
        <v>#VALUE!</v>
      </c>
      <c r="R27" s="42" t="e">
        <f t="shared" si="9"/>
        <v>#VALUE!</v>
      </c>
      <c r="S27" s="42" t="str">
        <f>IFERROR(VLOOKUP(MID(N27,Q27,R27-Q27),[5]skilldef!$C:$D,2,FALSE),"-") &amp; " / " &amp; IFERROR(VLOOKUP(MID(N27,O27,P27-O27),[5]skilldef!$A:$B,2,FALSE),"-")</f>
        <v>- / -</v>
      </c>
      <c r="T27" s="27" t="str">
        <f t="shared" si="10"/>
        <v>none</v>
      </c>
      <c r="U27" s="42" t="e">
        <f t="shared" si="11"/>
        <v>#VALUE!</v>
      </c>
      <c r="V27" s="42">
        <f t="shared" si="12"/>
        <v>4</v>
      </c>
      <c r="W27" s="42" t="e">
        <f t="shared" si="13"/>
        <v>#VALUE!</v>
      </c>
      <c r="X27" s="42" t="e">
        <f t="shared" si="14"/>
        <v>#VALUE!</v>
      </c>
      <c r="Y27" s="42" t="str">
        <f>IFERROR(VLOOKUP(MID(T27,W27,X27-W27),[5]skilldef!$C:$D,2,FALSE),"-") &amp; " / " &amp; IFERROR(VLOOKUP(MID(T27,U27,V27-U27),[5]skilldef!$A:$B,2,FALSE),"-")</f>
        <v>- / -</v>
      </c>
      <c r="Z27" s="29" t="s">
        <v>298</v>
      </c>
      <c r="AA27" s="31">
        <v>42355</v>
      </c>
      <c r="AB27" s="272" t="s">
        <v>297</v>
      </c>
    </row>
    <row r="28" spans="1:28" ht="21" customHeight="1" x14ac:dyDescent="0.15">
      <c r="A28" s="26">
        <v>30021034</v>
      </c>
      <c r="B28" s="26" t="s">
        <v>380</v>
      </c>
      <c r="C28" s="29">
        <v>3</v>
      </c>
      <c r="D28" s="29" t="s">
        <v>128</v>
      </c>
      <c r="E28" s="30" t="s">
        <v>332</v>
      </c>
      <c r="F28" s="30" t="s">
        <v>379</v>
      </c>
      <c r="G28" s="42" t="str">
        <f t="shared" si="0"/>
        <v>[effect:change_block, new_block:block_green, target:block_red, count:6, val:0, animation:change_block]</v>
      </c>
      <c r="H28" s="42">
        <f t="shared" si="1"/>
        <v>9</v>
      </c>
      <c r="I28" s="42">
        <f t="shared" si="2"/>
        <v>21</v>
      </c>
      <c r="J28" s="42">
        <f t="shared" si="3"/>
        <v>53</v>
      </c>
      <c r="K28" s="42">
        <f t="shared" si="4"/>
        <v>44</v>
      </c>
      <c r="L28" s="42" t="str">
        <f>IFERROR(VLOOKUP(MID(G28,J28,K28-J28),[5]skilldef!$C:$D,2,FALSE),"-") &amp; " / " &amp; IFERROR(VLOOKUP(MID(G28,H28,I28-H28),[5]skilldef!$A:$B,2,FALSE),"-")</f>
        <v>- / ブロック変換</v>
      </c>
      <c r="M28" s="42" t="str">
        <f t="shared" si="5"/>
        <v>[effect:change_block, new_block:jammer, target:block_heart, count:4, val:0, animation:change_block],[effect:critical, val:1.3]</v>
      </c>
      <c r="N28" s="27" t="str">
        <f>IFERROR(LEFT(M28,FIND("],",M28)+S42),M28)</f>
        <v>[effect:change_block, new_block:jammer, target:block_heart, count:4, val:0, animation:change_block]</v>
      </c>
      <c r="O28" s="42">
        <f t="shared" si="6"/>
        <v>9</v>
      </c>
      <c r="P28" s="42">
        <f t="shared" si="7"/>
        <v>21</v>
      </c>
      <c r="Q28" s="42">
        <f t="shared" si="8"/>
        <v>48</v>
      </c>
      <c r="R28" s="42">
        <f t="shared" si="9"/>
        <v>39</v>
      </c>
      <c r="S28" s="42" t="str">
        <f>IFERROR(VLOOKUP(MID(N28,Q28,R28-Q28),[5]skilldef!$C:$D,2,FALSE),"-") &amp; " / " &amp; IFERROR(VLOOKUP(MID(N28,O28,P28-O28),[5]skilldef!$A:$B,2,FALSE),"-")</f>
        <v>- / ブロック変換</v>
      </c>
      <c r="T28" s="27" t="str">
        <f t="shared" si="10"/>
        <v>[effect:critical, val:1.3]</v>
      </c>
      <c r="U28" s="42">
        <f t="shared" si="11"/>
        <v>9</v>
      </c>
      <c r="V28" s="42">
        <f t="shared" si="12"/>
        <v>17</v>
      </c>
      <c r="W28" s="42" t="e">
        <f t="shared" si="13"/>
        <v>#VALUE!</v>
      </c>
      <c r="X28" s="42" t="e">
        <f t="shared" si="14"/>
        <v>#VALUE!</v>
      </c>
      <c r="Y28" s="42" t="str">
        <f>IFERROR(VLOOKUP(MID(T28,W28,X28-W28),[5]skilldef!$C:$D,2,FALSE),"-") &amp; " / " &amp; IFERROR(VLOOKUP(MID(T28,U28,V28-U28),[5]skilldef!$A:$B,2,FALSE),"-")</f>
        <v>- / 大攻撃</v>
      </c>
      <c r="Z28" s="29" t="s">
        <v>298</v>
      </c>
      <c r="AA28" s="31">
        <v>42355</v>
      </c>
      <c r="AB28" s="272" t="s">
        <v>296</v>
      </c>
    </row>
    <row r="29" spans="1:28" ht="21" customHeight="1" x14ac:dyDescent="0.15">
      <c r="A29" s="315">
        <v>30021037</v>
      </c>
      <c r="B29" s="26" t="s">
        <v>368</v>
      </c>
      <c r="C29" s="29">
        <v>3</v>
      </c>
      <c r="D29" s="29" t="s">
        <v>128</v>
      </c>
      <c r="E29" s="30" t="s">
        <v>367</v>
      </c>
      <c r="F29" s="30" t="s">
        <v>307</v>
      </c>
      <c r="G29" s="42" t="str">
        <f>IFERROR(LEFT(B29,FIND("],",B29)),B29)</f>
        <v>[effect:rush, count:1, val:1.1]</v>
      </c>
      <c r="H29" s="42">
        <f>FIND("effect:",G29)+7</f>
        <v>9</v>
      </c>
      <c r="I29" s="42">
        <f>IFERROR(FIND(",",G29),LEN(G29))</f>
        <v>13</v>
      </c>
      <c r="J29" s="42" t="e">
        <f>FIND("target:",G29)+7</f>
        <v>#VALUE!</v>
      </c>
      <c r="K29" s="42">
        <f>FIND(",",G29,I29+1)</f>
        <v>22</v>
      </c>
      <c r="L29" s="42" t="str">
        <f>IFERROR(VLOOKUP(MID(G29,J29,K29-J29),[5]skilldef!$C:$D,2,FALSE),"-") &amp; " / " &amp; IFERROR(VLOOKUP(MID(G29,H29,I29-H29),[5]skilldef!$A:$B,2,FALSE),"-")</f>
        <v>- / 連続攻撃</v>
      </c>
      <c r="M29" s="42" t="str">
        <f>IFERROR(RIGHT(B29,LEN(B29)-FIND("],",B29)-1),"none")</f>
        <v>[effect:change_block, new_block:block_blue, target:block_all, count:6, val:0, animation:change_block]</v>
      </c>
      <c r="N29" s="27" t="str">
        <f>IFERROR(LEFT(M29,FIND("],",M29)+S45),M29)</f>
        <v>[effect:change_block, new_block:block_blue, target:block_all, count:6, val:0, animation:change_block]</v>
      </c>
      <c r="O29" s="42">
        <f>FIND("effect:",N29)+7</f>
        <v>9</v>
      </c>
      <c r="P29" s="42">
        <f>IFERROR(FIND(",",N29),LEN(N29))</f>
        <v>21</v>
      </c>
      <c r="Q29" s="42">
        <f>FIND("target:",N29)+7</f>
        <v>52</v>
      </c>
      <c r="R29" s="42">
        <f>FIND(",",N29,P29+1)</f>
        <v>43</v>
      </c>
      <c r="S29" s="42" t="str">
        <f>IFERROR(VLOOKUP(MID(N29,Q29,R29-Q29),[5]skilldef!$C:$D,2,FALSE),"-") &amp; " / " &amp; IFERROR(VLOOKUP(MID(N29,O29,P29-O29),[5]skilldef!$A:$B,2,FALSE),"-")</f>
        <v>- / ブロック変換</v>
      </c>
      <c r="T29" s="27" t="str">
        <f>IFERROR(RIGHT(M29,LEN(M29)-FIND("],",M29)-1),"none")</f>
        <v>none</v>
      </c>
      <c r="U29" s="42" t="e">
        <f>FIND("effect:",T29)+7</f>
        <v>#VALUE!</v>
      </c>
      <c r="V29" s="42">
        <f>IFERROR(FIND(",",T29),LEN(T29))</f>
        <v>4</v>
      </c>
      <c r="W29" s="42" t="e">
        <f>FIND("target:",T29)+7</f>
        <v>#VALUE!</v>
      </c>
      <c r="X29" s="42" t="e">
        <f>FIND(",",T29,V29+1)</f>
        <v>#VALUE!</v>
      </c>
      <c r="Y29" s="42" t="str">
        <f>IFERROR(VLOOKUP(MID(T29,W29,X29-W29),[5]skilldef!$C:$D,2,FALSE),"-") &amp; " / " &amp; IFERROR(VLOOKUP(MID(T29,U29,V29-U29),[5]skilldef!$A:$B,2,FALSE),"-")</f>
        <v>- / -</v>
      </c>
      <c r="Z29" s="29" t="s">
        <v>298</v>
      </c>
      <c r="AA29" s="31">
        <v>42355</v>
      </c>
      <c r="AB29" s="272" t="s">
        <v>297</v>
      </c>
    </row>
    <row r="30" spans="1:28" ht="21" customHeight="1" x14ac:dyDescent="0.15">
      <c r="A30" s="316">
        <v>30021040</v>
      </c>
      <c r="B30" s="26" t="s">
        <v>375</v>
      </c>
      <c r="C30" s="29">
        <v>3</v>
      </c>
      <c r="D30" s="29" t="s">
        <v>128</v>
      </c>
      <c r="E30" s="30" t="s">
        <v>362</v>
      </c>
      <c r="F30" s="30" t="s">
        <v>374</v>
      </c>
      <c r="G30" s="42" t="str">
        <f t="shared" ref="G30" si="30">IFERROR(LEFT(B30,FIND("],",B30)),B30)</f>
        <v>[effect:tolerance,target:myself,turn:-1,tolerance_effect:all,count:-1,animation:enemy_tolerance]</v>
      </c>
      <c r="H30" s="42">
        <f t="shared" ref="H30" si="31">FIND("effect:",G30)+7</f>
        <v>9</v>
      </c>
      <c r="I30" s="42">
        <f t="shared" ref="I30" si="32">IFERROR(FIND(",",G30),LEN(G30))</f>
        <v>18</v>
      </c>
      <c r="J30" s="42">
        <f t="shared" ref="J30" si="33">FIND("target:",G30)+7</f>
        <v>26</v>
      </c>
      <c r="K30" s="42">
        <f t="shared" ref="K30" si="34">FIND(",",G30,I30+1)</f>
        <v>32</v>
      </c>
      <c r="L30" s="42" t="str">
        <f>IFERROR(VLOOKUP(MID(G30,J30,K30-J30),[5]skilldef!$C:$D,2,FALSE),"-") &amp; " / " &amp; IFERROR(VLOOKUP(MID(G30,H30,I30-H30),[5]skilldef!$A:$B,2,FALSE),"-")</f>
        <v>自分自身に / 状態異常耐性</v>
      </c>
      <c r="M30" s="42" t="str">
        <f t="shared" ref="M30" si="35">IFERROR(RIGHT(B30,LEN(B30)-FIND("],",B30)-1),"none")</f>
        <v>[effect:freq_turn, target:myself, turn:2, val:1, animation:enemy_freq_turn]</v>
      </c>
      <c r="N30" s="27" t="str">
        <f>IFERROR(LEFT(M30,FIND("],",M30)+S45),M30)</f>
        <v>[effect:freq_turn, target:myself, turn:2, val:1, animation:enemy_freq_turn]</v>
      </c>
      <c r="O30" s="42">
        <f t="shared" ref="O30" si="36">FIND("effect:",N30)+7</f>
        <v>9</v>
      </c>
      <c r="P30" s="42">
        <f t="shared" ref="P30" si="37">IFERROR(FIND(",",N30),LEN(N30))</f>
        <v>18</v>
      </c>
      <c r="Q30" s="42">
        <f t="shared" ref="Q30" si="38">FIND("target:",N30)+7</f>
        <v>27</v>
      </c>
      <c r="R30" s="42">
        <f t="shared" ref="R30" si="39">FIND(",",N30,P30+1)</f>
        <v>33</v>
      </c>
      <c r="S30" s="42" t="str">
        <f>IFERROR(VLOOKUP(MID(N30,Q30,R30-Q30),[5]skilldef!$C:$D,2,FALSE),"-") &amp; " / " &amp; IFERROR(VLOOKUP(MID(N30,O30,P30-O30),[5]skilldef!$A:$B,2,FALSE),"-")</f>
        <v>自分自身に / 攻撃頻度がUP</v>
      </c>
      <c r="T30" s="27" t="str">
        <f t="shared" ref="T30" si="40">IFERROR(RIGHT(M30,LEN(M30)-FIND("],",M30)-1),"none")</f>
        <v>none</v>
      </c>
      <c r="U30" s="42" t="e">
        <f t="shared" ref="U30" si="41">FIND("effect:",T30)+7</f>
        <v>#VALUE!</v>
      </c>
      <c r="V30" s="42">
        <f t="shared" ref="V30" si="42">IFERROR(FIND(",",T30),LEN(T30))</f>
        <v>4</v>
      </c>
      <c r="W30" s="42" t="e">
        <f t="shared" ref="W30" si="43">FIND("target:",T30)+7</f>
        <v>#VALUE!</v>
      </c>
      <c r="X30" s="42" t="e">
        <f t="shared" ref="X30" si="44">FIND(",",T30,V30+1)</f>
        <v>#VALUE!</v>
      </c>
      <c r="Y30" s="42" t="str">
        <f>IFERROR(VLOOKUP(MID(T30,W30,X30-W30),[5]skilldef!$C:$D,2,FALSE),"-") &amp; " / " &amp; IFERROR(VLOOKUP(MID(T30,U30,V30-U30),[5]skilldef!$A:$B,2,FALSE),"-")</f>
        <v>- / -</v>
      </c>
      <c r="Z30" s="29" t="s">
        <v>298</v>
      </c>
      <c r="AA30" s="31">
        <v>42355</v>
      </c>
      <c r="AB30" s="272" t="s">
        <v>297</v>
      </c>
    </row>
    <row r="31" spans="1:28" ht="21" customHeight="1" x14ac:dyDescent="0.15">
      <c r="A31" s="316">
        <v>30021041</v>
      </c>
      <c r="B31" s="26" t="s">
        <v>363</v>
      </c>
      <c r="C31" s="29">
        <v>3</v>
      </c>
      <c r="D31" s="29" t="s">
        <v>372</v>
      </c>
      <c r="E31" s="30" t="s">
        <v>365</v>
      </c>
      <c r="F31" s="30" t="s">
        <v>364</v>
      </c>
      <c r="G31" s="42" t="str">
        <f t="shared" ref="G31" si="45">IFERROR(LEFT(B31,FIND("],",B31)),B31)</f>
        <v>[effect:tolerance,target:myself,turn:-1,tolerance_effect:all,count:-1,animation:enemy_tolerance]</v>
      </c>
      <c r="H31" s="42">
        <f t="shared" ref="H31" si="46">FIND("effect:",G31)+7</f>
        <v>9</v>
      </c>
      <c r="I31" s="42">
        <f t="shared" ref="I31" si="47">IFERROR(FIND(",",G31),LEN(G31))</f>
        <v>18</v>
      </c>
      <c r="J31" s="42">
        <f t="shared" ref="J31" si="48">FIND("target:",G31)+7</f>
        <v>26</v>
      </c>
      <c r="K31" s="42">
        <f t="shared" ref="K31" si="49">FIND(",",G31,I31+1)</f>
        <v>32</v>
      </c>
      <c r="L31" s="42" t="str">
        <f>IFERROR(VLOOKUP(MID(G31,J31,K31-J31),[5]skilldef!$C:$D,2,FALSE),"-") &amp; " / " &amp; IFERROR(VLOOKUP(MID(G31,H31,I31-H31),[5]skilldef!$A:$B,2,FALSE),"-")</f>
        <v>自分自身に / 状態異常耐性</v>
      </c>
      <c r="M31" s="42" t="str">
        <f t="shared" ref="M31" si="50">IFERROR(RIGHT(B31,LEN(B31)-FIND("],",B31)-1),"none")</f>
        <v>none</v>
      </c>
      <c r="N31" s="27" t="str">
        <f>IFERROR(LEFT(M31,FIND("],",M31)+S46),M31)</f>
        <v>none</v>
      </c>
      <c r="O31" s="42" t="e">
        <f t="shared" ref="O31" si="51">FIND("effect:",N31)+7</f>
        <v>#VALUE!</v>
      </c>
      <c r="P31" s="42">
        <f t="shared" ref="P31" si="52">IFERROR(FIND(",",N31),LEN(N31))</f>
        <v>4</v>
      </c>
      <c r="Q31" s="42" t="e">
        <f t="shared" ref="Q31" si="53">FIND("target:",N31)+7</f>
        <v>#VALUE!</v>
      </c>
      <c r="R31" s="42" t="e">
        <f t="shared" ref="R31" si="54">FIND(",",N31,P31+1)</f>
        <v>#VALUE!</v>
      </c>
      <c r="S31" s="42" t="str">
        <f>IFERROR(VLOOKUP(MID(N31,Q31,R31-Q31),[5]skilldef!$C:$D,2,FALSE),"-") &amp; " / " &amp; IFERROR(VLOOKUP(MID(N31,O31,P31-O31),[5]skilldef!$A:$B,2,FALSE),"-")</f>
        <v>- / -</v>
      </c>
      <c r="T31" s="27" t="str">
        <f t="shared" ref="T31" si="55">IFERROR(RIGHT(M31,LEN(M31)-FIND("],",M31)-1),"none")</f>
        <v>none</v>
      </c>
      <c r="U31" s="42" t="e">
        <f t="shared" ref="U31" si="56">FIND("effect:",T31)+7</f>
        <v>#VALUE!</v>
      </c>
      <c r="V31" s="42">
        <f t="shared" ref="V31" si="57">IFERROR(FIND(",",T31),LEN(T31))</f>
        <v>4</v>
      </c>
      <c r="W31" s="42" t="e">
        <f t="shared" ref="W31" si="58">FIND("target:",T31)+7</f>
        <v>#VALUE!</v>
      </c>
      <c r="X31" s="42" t="e">
        <f t="shared" ref="X31" si="59">FIND(",",T31,V31+1)</f>
        <v>#VALUE!</v>
      </c>
      <c r="Y31" s="42" t="str">
        <f>IFERROR(VLOOKUP(MID(T31,W31,X31-W31),[5]skilldef!$C:$D,2,FALSE),"-") &amp; " / " &amp; IFERROR(VLOOKUP(MID(T31,U31,V31-U31),[5]skilldef!$A:$B,2,FALSE),"-")</f>
        <v>- / -</v>
      </c>
      <c r="Z31" s="29" t="s">
        <v>298</v>
      </c>
      <c r="AA31" s="31">
        <v>42355</v>
      </c>
      <c r="AB31" s="272" t="s">
        <v>297</v>
      </c>
    </row>
    <row r="32" spans="1:28" ht="21" customHeight="1" x14ac:dyDescent="0.15">
      <c r="A32" s="316">
        <v>30021042</v>
      </c>
      <c r="B32" s="26" t="s">
        <v>306</v>
      </c>
      <c r="C32" s="29">
        <v>3</v>
      </c>
      <c r="D32" s="29" t="s">
        <v>372</v>
      </c>
      <c r="E32" s="30" t="s">
        <v>404</v>
      </c>
      <c r="F32" s="30" t="s">
        <v>405</v>
      </c>
      <c r="G32" s="42" t="str">
        <f t="shared" ref="G32:G33" si="60">IFERROR(LEFT(B32,FIND("],",B32)),B32)</f>
        <v>[effect:nothing]</v>
      </c>
      <c r="H32" s="42">
        <f t="shared" ref="H32:H33" si="61">FIND("effect:",G32)+7</f>
        <v>9</v>
      </c>
      <c r="I32" s="42">
        <f t="shared" ref="I32:I33" si="62">IFERROR(FIND(",",G32),LEN(G32))</f>
        <v>16</v>
      </c>
      <c r="J32" s="42" t="e">
        <f t="shared" ref="J32:J33" si="63">FIND("target:",G32)+7</f>
        <v>#VALUE!</v>
      </c>
      <c r="K32" s="42" t="e">
        <f t="shared" ref="K32:K33" si="64">FIND(",",G32,I32+1)</f>
        <v>#VALUE!</v>
      </c>
      <c r="L32" s="42" t="str">
        <f>IFERROR(VLOOKUP(MID(G32,J32,K32-J32),[5]skilldef!$C:$D,2,FALSE),"-") &amp; " / " &amp; IFERROR(VLOOKUP(MID(G32,H32,I32-H32),[5]skilldef!$A:$B,2,FALSE),"-")</f>
        <v>- / 何もしない</v>
      </c>
      <c r="M32" s="42" t="str">
        <f t="shared" ref="M32:M33" si="65">IFERROR(RIGHT(B32,LEN(B32)-FIND("],",B32)-1),"none")</f>
        <v>none</v>
      </c>
      <c r="N32" s="27" t="str">
        <f>IFERROR(LEFT(M32,FIND("],",M32)+S47),M32)</f>
        <v>none</v>
      </c>
      <c r="O32" s="42" t="e">
        <f t="shared" ref="O32:O33" si="66">FIND("effect:",N32)+7</f>
        <v>#VALUE!</v>
      </c>
      <c r="P32" s="42">
        <f t="shared" ref="P32:P33" si="67">IFERROR(FIND(",",N32),LEN(N32))</f>
        <v>4</v>
      </c>
      <c r="Q32" s="42" t="e">
        <f t="shared" ref="Q32:Q33" si="68">FIND("target:",N32)+7</f>
        <v>#VALUE!</v>
      </c>
      <c r="R32" s="42" t="e">
        <f t="shared" ref="R32:R33" si="69">FIND(",",N32,P32+1)</f>
        <v>#VALUE!</v>
      </c>
      <c r="S32" s="42" t="str">
        <f>IFERROR(VLOOKUP(MID(N32,Q32,R32-Q32),[5]skilldef!$C:$D,2,FALSE),"-") &amp; " / " &amp; IFERROR(VLOOKUP(MID(N32,O32,P32-O32),[5]skilldef!$A:$B,2,FALSE),"-")</f>
        <v>- / -</v>
      </c>
      <c r="T32" s="27" t="str">
        <f t="shared" ref="T32:T33" si="70">IFERROR(RIGHT(M32,LEN(M32)-FIND("],",M32)-1),"none")</f>
        <v>none</v>
      </c>
      <c r="U32" s="42" t="e">
        <f t="shared" ref="U32:U33" si="71">FIND("effect:",T32)+7</f>
        <v>#VALUE!</v>
      </c>
      <c r="V32" s="42">
        <f t="shared" ref="V32:V33" si="72">IFERROR(FIND(",",T32),LEN(T32))</f>
        <v>4</v>
      </c>
      <c r="W32" s="42" t="e">
        <f t="shared" ref="W32:W33" si="73">FIND("target:",T32)+7</f>
        <v>#VALUE!</v>
      </c>
      <c r="X32" s="42" t="e">
        <f t="shared" ref="X32:X33" si="74">FIND(",",T32,V32+1)</f>
        <v>#VALUE!</v>
      </c>
      <c r="Y32" s="42" t="str">
        <f>IFERROR(VLOOKUP(MID(T32,W32,X32-W32),[5]skilldef!$C:$D,2,FALSE),"-") &amp; " / " &amp; IFERROR(VLOOKUP(MID(T32,U32,V32-U32),[5]skilldef!$A:$B,2,FALSE),"-")</f>
        <v>- / -</v>
      </c>
      <c r="Z32" s="29" t="s">
        <v>298</v>
      </c>
      <c r="AA32" s="31">
        <v>42355</v>
      </c>
      <c r="AB32" s="272" t="s">
        <v>297</v>
      </c>
    </row>
    <row r="33" spans="1:28" ht="21" customHeight="1" x14ac:dyDescent="0.15">
      <c r="A33" s="316">
        <v>30021043</v>
      </c>
      <c r="B33" s="26" t="s">
        <v>306</v>
      </c>
      <c r="C33" s="29">
        <v>3</v>
      </c>
      <c r="D33" s="29" t="s">
        <v>372</v>
      </c>
      <c r="E33" s="30" t="s">
        <v>404</v>
      </c>
      <c r="F33" s="30" t="s">
        <v>405</v>
      </c>
      <c r="G33" s="42" t="str">
        <f t="shared" si="60"/>
        <v>[effect:nothing]</v>
      </c>
      <c r="H33" s="42">
        <f t="shared" si="61"/>
        <v>9</v>
      </c>
      <c r="I33" s="42">
        <f t="shared" si="62"/>
        <v>16</v>
      </c>
      <c r="J33" s="42" t="e">
        <f t="shared" si="63"/>
        <v>#VALUE!</v>
      </c>
      <c r="K33" s="42" t="e">
        <f t="shared" si="64"/>
        <v>#VALUE!</v>
      </c>
      <c r="L33" s="42" t="str">
        <f>IFERROR(VLOOKUP(MID(G33,J33,K33-J33),[5]skilldef!$C:$D,2,FALSE),"-") &amp; " / " &amp; IFERROR(VLOOKUP(MID(G33,H33,I33-H33),[5]skilldef!$A:$B,2,FALSE),"-")</f>
        <v>- / 何もしない</v>
      </c>
      <c r="M33" s="42" t="str">
        <f t="shared" si="65"/>
        <v>none</v>
      </c>
      <c r="N33" s="27" t="str">
        <f>IFERROR(LEFT(M33,FIND("],",M33)+S48),M33)</f>
        <v>none</v>
      </c>
      <c r="O33" s="42" t="e">
        <f t="shared" si="66"/>
        <v>#VALUE!</v>
      </c>
      <c r="P33" s="42">
        <f t="shared" si="67"/>
        <v>4</v>
      </c>
      <c r="Q33" s="42" t="e">
        <f t="shared" si="68"/>
        <v>#VALUE!</v>
      </c>
      <c r="R33" s="42" t="e">
        <f t="shared" si="69"/>
        <v>#VALUE!</v>
      </c>
      <c r="S33" s="42" t="str">
        <f>IFERROR(VLOOKUP(MID(N33,Q33,R33-Q33),[5]skilldef!$C:$D,2,FALSE),"-") &amp; " / " &amp; IFERROR(VLOOKUP(MID(N33,O33,P33-O33),[5]skilldef!$A:$B,2,FALSE),"-")</f>
        <v>- / -</v>
      </c>
      <c r="T33" s="27" t="str">
        <f t="shared" si="70"/>
        <v>none</v>
      </c>
      <c r="U33" s="42" t="e">
        <f t="shared" si="71"/>
        <v>#VALUE!</v>
      </c>
      <c r="V33" s="42">
        <f t="shared" si="72"/>
        <v>4</v>
      </c>
      <c r="W33" s="42" t="e">
        <f t="shared" si="73"/>
        <v>#VALUE!</v>
      </c>
      <c r="X33" s="42" t="e">
        <f t="shared" si="74"/>
        <v>#VALUE!</v>
      </c>
      <c r="Y33" s="42" t="str">
        <f>IFERROR(VLOOKUP(MID(T33,W33,X33-W33),[5]skilldef!$C:$D,2,FALSE),"-") &amp; " / " &amp; IFERROR(VLOOKUP(MID(T33,U33,V33-U33),[5]skilldef!$A:$B,2,FALSE),"-")</f>
        <v>- / -</v>
      </c>
      <c r="Z33" s="29" t="s">
        <v>298</v>
      </c>
      <c r="AA33" s="31">
        <v>42355</v>
      </c>
      <c r="AB33" s="272" t="s">
        <v>297</v>
      </c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33"/>
  <sheetViews>
    <sheetView showGridLines="0" workbookViewId="0">
      <pane ySplit="1" topLeftCell="A12" activePane="bottomLeft" state="frozenSplit"/>
      <selection pane="bottomLeft" activeCell="C16" sqref="C16"/>
    </sheetView>
  </sheetViews>
  <sheetFormatPr baseColWidth="12" defaultColWidth="12.83203125" defaultRowHeight="21" customHeight="1" x14ac:dyDescent="0.15"/>
  <cols>
    <col min="1" max="1" width="16.1640625" style="28" bestFit="1" customWidth="1"/>
    <col min="2" max="2" width="13.33203125" style="28" bestFit="1" customWidth="1"/>
    <col min="3" max="3" width="11.83203125" style="28" bestFit="1" customWidth="1"/>
    <col min="4" max="4" width="14.6640625" style="28" bestFit="1" customWidth="1"/>
    <col min="5" max="5" width="15.6640625" style="28" bestFit="1" customWidth="1"/>
    <col min="6" max="6" width="17" style="28" bestFit="1" customWidth="1"/>
    <col min="7" max="7" width="15.6640625" style="28" bestFit="1" customWidth="1"/>
    <col min="8" max="9" width="14.6640625" style="28" customWidth="1"/>
    <col min="10" max="10" width="14.6640625" style="28" bestFit="1" customWidth="1"/>
    <col min="11" max="11" width="22.83203125" style="20" bestFit="1" customWidth="1"/>
    <col min="12" max="16384" width="12.83203125" style="25"/>
  </cols>
  <sheetData>
    <row r="1" spans="1:11" ht="21" customHeight="1" x14ac:dyDescent="0.15">
      <c r="A1" s="23" t="s">
        <v>84</v>
      </c>
      <c r="B1" s="23" t="s">
        <v>85</v>
      </c>
      <c r="C1" s="23" t="s">
        <v>86</v>
      </c>
      <c r="D1" s="23" t="s">
        <v>87</v>
      </c>
      <c r="E1" s="23" t="s">
        <v>70</v>
      </c>
      <c r="F1" s="32" t="s">
        <v>71</v>
      </c>
      <c r="G1" s="32" t="s">
        <v>72</v>
      </c>
      <c r="H1" s="23" t="s">
        <v>73</v>
      </c>
      <c r="I1" s="23" t="s">
        <v>74</v>
      </c>
      <c r="J1" s="23" t="s">
        <v>75</v>
      </c>
      <c r="K1" s="33" t="s">
        <v>88</v>
      </c>
    </row>
    <row r="2" spans="1:11" ht="21" customHeight="1" x14ac:dyDescent="0.15">
      <c r="A2" s="271">
        <v>30021001</v>
      </c>
      <c r="B2" s="26">
        <v>0</v>
      </c>
      <c r="C2" s="26" t="s">
        <v>89</v>
      </c>
      <c r="D2" s="26">
        <v>100</v>
      </c>
      <c r="E2" s="26">
        <v>40</v>
      </c>
      <c r="F2" s="26" t="s">
        <v>90</v>
      </c>
      <c r="G2" s="26">
        <v>2</v>
      </c>
      <c r="H2" s="26" t="s">
        <v>90</v>
      </c>
      <c r="I2" s="26" t="s">
        <v>90</v>
      </c>
      <c r="J2" s="27">
        <f t="shared" ref="J2" si="0">D2</f>
        <v>100</v>
      </c>
    </row>
    <row r="3" spans="1:11" ht="21" customHeight="1" x14ac:dyDescent="0.15">
      <c r="A3" s="271">
        <v>30021002</v>
      </c>
      <c r="B3" s="26">
        <v>0</v>
      </c>
      <c r="C3" s="26" t="s">
        <v>53</v>
      </c>
      <c r="D3" s="26">
        <v>30</v>
      </c>
      <c r="E3" s="26" t="s">
        <v>300</v>
      </c>
      <c r="F3" s="26" t="s">
        <v>53</v>
      </c>
      <c r="G3" s="26">
        <v>1</v>
      </c>
      <c r="H3" s="26" t="s">
        <v>53</v>
      </c>
      <c r="I3" s="26" t="s">
        <v>53</v>
      </c>
      <c r="J3" s="27">
        <f t="shared" ref="J3:J16" si="1">D3</f>
        <v>30</v>
      </c>
    </row>
    <row r="4" spans="1:11" ht="21" customHeight="1" x14ac:dyDescent="0.15">
      <c r="A4" s="271">
        <v>30021003</v>
      </c>
      <c r="B4" s="273">
        <v>1</v>
      </c>
      <c r="C4" s="273" t="s">
        <v>53</v>
      </c>
      <c r="D4" s="273">
        <v>100</v>
      </c>
      <c r="E4" s="273" t="s">
        <v>53</v>
      </c>
      <c r="F4" s="273" t="s">
        <v>53</v>
      </c>
      <c r="G4" s="273">
        <v>1</v>
      </c>
      <c r="H4" s="273" t="s">
        <v>53</v>
      </c>
      <c r="I4" s="273" t="s">
        <v>53</v>
      </c>
      <c r="J4" s="27">
        <f t="shared" si="1"/>
        <v>100</v>
      </c>
    </row>
    <row r="5" spans="1:11" ht="21" customHeight="1" x14ac:dyDescent="0.15">
      <c r="A5" s="271">
        <v>30021004</v>
      </c>
      <c r="B5" s="273">
        <v>0</v>
      </c>
      <c r="C5" s="273" t="s">
        <v>53</v>
      </c>
      <c r="D5" s="273">
        <v>60</v>
      </c>
      <c r="E5" s="273" t="s">
        <v>53</v>
      </c>
      <c r="F5" s="273">
        <v>15</v>
      </c>
      <c r="G5" s="273" t="s">
        <v>53</v>
      </c>
      <c r="H5" s="273">
        <v>2</v>
      </c>
      <c r="I5" s="273" t="s">
        <v>53</v>
      </c>
      <c r="J5" s="27">
        <f t="shared" si="1"/>
        <v>60</v>
      </c>
    </row>
    <row r="6" spans="1:11" ht="21" customHeight="1" x14ac:dyDescent="0.15">
      <c r="A6" s="271">
        <v>30021005</v>
      </c>
      <c r="B6" s="273">
        <v>0</v>
      </c>
      <c r="C6" s="273" t="s">
        <v>53</v>
      </c>
      <c r="D6" s="273">
        <v>100</v>
      </c>
      <c r="E6" s="273" t="s">
        <v>53</v>
      </c>
      <c r="F6" s="273">
        <v>15</v>
      </c>
      <c r="G6" s="273">
        <v>1</v>
      </c>
      <c r="H6" s="273">
        <v>3</v>
      </c>
      <c r="I6" s="273" t="s">
        <v>53</v>
      </c>
      <c r="J6" s="27">
        <f t="shared" si="1"/>
        <v>100</v>
      </c>
    </row>
    <row r="7" spans="1:11" ht="21" customHeight="1" x14ac:dyDescent="0.15">
      <c r="A7" s="271">
        <v>30021006</v>
      </c>
      <c r="B7" s="273">
        <v>0</v>
      </c>
      <c r="C7" s="273">
        <v>1</v>
      </c>
      <c r="D7" s="273">
        <v>100</v>
      </c>
      <c r="E7" s="273" t="s">
        <v>53</v>
      </c>
      <c r="F7" s="273">
        <v>15</v>
      </c>
      <c r="G7" s="273" t="s">
        <v>53</v>
      </c>
      <c r="H7" s="273">
        <v>2</v>
      </c>
      <c r="I7" s="273" t="s">
        <v>53</v>
      </c>
      <c r="J7" s="27">
        <f t="shared" si="1"/>
        <v>100</v>
      </c>
    </row>
    <row r="8" spans="1:11" ht="21" customHeight="1" x14ac:dyDescent="0.15">
      <c r="A8" s="271">
        <v>30021007</v>
      </c>
      <c r="B8" s="273">
        <v>0</v>
      </c>
      <c r="C8" s="273">
        <v>2</v>
      </c>
      <c r="D8" s="273">
        <v>100</v>
      </c>
      <c r="E8" s="273" t="s">
        <v>53</v>
      </c>
      <c r="F8" s="273">
        <v>15</v>
      </c>
      <c r="G8" s="273">
        <v>1</v>
      </c>
      <c r="H8" s="273">
        <v>3</v>
      </c>
      <c r="I8" s="273" t="s">
        <v>53</v>
      </c>
      <c r="J8" s="27">
        <f t="shared" si="1"/>
        <v>100</v>
      </c>
    </row>
    <row r="9" spans="1:11" ht="21" customHeight="1" x14ac:dyDescent="0.15">
      <c r="A9" s="271">
        <v>30021008</v>
      </c>
      <c r="B9" s="273">
        <v>0</v>
      </c>
      <c r="C9" s="273">
        <v>3</v>
      </c>
      <c r="D9" s="273">
        <v>100</v>
      </c>
      <c r="E9" s="273">
        <v>15</v>
      </c>
      <c r="F9" s="273" t="s">
        <v>53</v>
      </c>
      <c r="G9" s="273" t="s">
        <v>53</v>
      </c>
      <c r="H9" s="273" t="s">
        <v>53</v>
      </c>
      <c r="I9" s="273" t="s">
        <v>53</v>
      </c>
      <c r="J9" s="27">
        <f t="shared" si="1"/>
        <v>100</v>
      </c>
    </row>
    <row r="10" spans="1:11" ht="21" customHeight="1" x14ac:dyDescent="0.15">
      <c r="A10" s="271">
        <v>30021009</v>
      </c>
      <c r="B10" s="273">
        <v>1</v>
      </c>
      <c r="C10" s="273" t="s">
        <v>53</v>
      </c>
      <c r="D10" s="273">
        <v>100</v>
      </c>
      <c r="E10" s="273" t="s">
        <v>53</v>
      </c>
      <c r="F10" s="273" t="s">
        <v>53</v>
      </c>
      <c r="G10" s="273">
        <v>1</v>
      </c>
      <c r="H10" s="273" t="s">
        <v>53</v>
      </c>
      <c r="I10" s="273" t="s">
        <v>53</v>
      </c>
      <c r="J10" s="27">
        <f t="shared" si="1"/>
        <v>100</v>
      </c>
    </row>
    <row r="11" spans="1:11" ht="21" customHeight="1" x14ac:dyDescent="0.15">
      <c r="A11" s="271">
        <v>30021010</v>
      </c>
      <c r="B11" s="273">
        <v>1</v>
      </c>
      <c r="C11" s="273" t="s">
        <v>53</v>
      </c>
      <c r="D11" s="273">
        <v>100</v>
      </c>
      <c r="E11" s="273" t="s">
        <v>53</v>
      </c>
      <c r="F11" s="273" t="s">
        <v>53</v>
      </c>
      <c r="G11" s="273">
        <v>1</v>
      </c>
      <c r="H11" s="273" t="s">
        <v>53</v>
      </c>
      <c r="I11" s="273" t="s">
        <v>53</v>
      </c>
      <c r="J11" s="27">
        <f t="shared" si="1"/>
        <v>100</v>
      </c>
    </row>
    <row r="12" spans="1:11" ht="21" customHeight="1" x14ac:dyDescent="0.15">
      <c r="A12" s="271">
        <v>30021011</v>
      </c>
      <c r="B12" s="273">
        <v>0</v>
      </c>
      <c r="C12" s="273" t="s">
        <v>53</v>
      </c>
      <c r="D12" s="273">
        <v>35</v>
      </c>
      <c r="E12" s="273" t="s">
        <v>53</v>
      </c>
      <c r="F12" s="273" t="s">
        <v>53</v>
      </c>
      <c r="G12" s="273">
        <v>2</v>
      </c>
      <c r="H12" s="273" t="s">
        <v>53</v>
      </c>
      <c r="I12" s="273" t="s">
        <v>53</v>
      </c>
      <c r="J12" s="27">
        <f t="shared" si="1"/>
        <v>35</v>
      </c>
    </row>
    <row r="13" spans="1:11" ht="21" customHeight="1" x14ac:dyDescent="0.15">
      <c r="A13" s="271">
        <v>30021012</v>
      </c>
      <c r="B13" s="300">
        <v>0</v>
      </c>
      <c r="C13" s="300" t="s">
        <v>53</v>
      </c>
      <c r="D13" s="300">
        <v>35</v>
      </c>
      <c r="E13" s="300" t="s">
        <v>53</v>
      </c>
      <c r="F13" s="300" t="s">
        <v>53</v>
      </c>
      <c r="G13" s="300">
        <v>2</v>
      </c>
      <c r="H13" s="300" t="s">
        <v>53</v>
      </c>
      <c r="I13" s="300" t="s">
        <v>53</v>
      </c>
      <c r="J13" s="27">
        <f t="shared" si="1"/>
        <v>35</v>
      </c>
    </row>
    <row r="14" spans="1:11" ht="21" customHeight="1" x14ac:dyDescent="0.15">
      <c r="A14" s="271">
        <v>30021013</v>
      </c>
      <c r="B14" s="273">
        <v>1</v>
      </c>
      <c r="C14" s="273">
        <v>3</v>
      </c>
      <c r="D14" s="273">
        <v>100</v>
      </c>
      <c r="E14" s="273" t="s">
        <v>303</v>
      </c>
      <c r="F14" s="273" t="s">
        <v>303</v>
      </c>
      <c r="G14" s="273">
        <v>1</v>
      </c>
      <c r="H14" s="273" t="s">
        <v>303</v>
      </c>
      <c r="I14" s="273">
        <v>498</v>
      </c>
      <c r="J14" s="27">
        <f t="shared" si="1"/>
        <v>100</v>
      </c>
    </row>
    <row r="15" spans="1:11" ht="21" customHeight="1" x14ac:dyDescent="0.15">
      <c r="A15" s="271">
        <v>30021014</v>
      </c>
      <c r="B15" s="273">
        <v>0</v>
      </c>
      <c r="C15" s="273">
        <v>3</v>
      </c>
      <c r="D15" s="273">
        <v>100</v>
      </c>
      <c r="E15" s="273" t="s">
        <v>383</v>
      </c>
      <c r="F15" s="273" t="s">
        <v>303</v>
      </c>
      <c r="G15" s="273">
        <v>1</v>
      </c>
      <c r="H15" s="273">
        <v>1</v>
      </c>
      <c r="I15" s="273" t="s">
        <v>303</v>
      </c>
      <c r="J15" s="27">
        <f t="shared" si="1"/>
        <v>100</v>
      </c>
    </row>
    <row r="16" spans="1:11" ht="21" customHeight="1" x14ac:dyDescent="0.15">
      <c r="A16" s="271">
        <v>30021015</v>
      </c>
      <c r="B16" s="273">
        <v>0</v>
      </c>
      <c r="C16" s="273">
        <v>1</v>
      </c>
      <c r="D16" s="273">
        <v>100</v>
      </c>
      <c r="E16" s="273" t="s">
        <v>303</v>
      </c>
      <c r="F16" s="273" t="s">
        <v>303</v>
      </c>
      <c r="G16" s="273" t="s">
        <v>339</v>
      </c>
      <c r="H16" s="273">
        <v>1</v>
      </c>
      <c r="I16" s="273" t="s">
        <v>334</v>
      </c>
      <c r="J16" s="27">
        <f t="shared" si="1"/>
        <v>100</v>
      </c>
    </row>
    <row r="17" spans="1:10" ht="21" customHeight="1" x14ac:dyDescent="0.15">
      <c r="A17" s="271">
        <v>30021016</v>
      </c>
      <c r="B17" s="273">
        <v>0</v>
      </c>
      <c r="C17" s="273">
        <v>2</v>
      </c>
      <c r="D17" s="273">
        <v>100</v>
      </c>
      <c r="E17" s="273" t="s">
        <v>303</v>
      </c>
      <c r="F17" s="273" t="s">
        <v>303</v>
      </c>
      <c r="G17" s="273" t="s">
        <v>339</v>
      </c>
      <c r="H17" s="273">
        <v>2</v>
      </c>
      <c r="I17" s="273" t="s">
        <v>335</v>
      </c>
      <c r="J17" s="27">
        <f>D17</f>
        <v>100</v>
      </c>
    </row>
    <row r="18" spans="1:10" ht="21" customHeight="1" x14ac:dyDescent="0.15">
      <c r="A18" s="271">
        <v>30021017</v>
      </c>
      <c r="B18" s="273">
        <v>1</v>
      </c>
      <c r="C18" s="273" t="s">
        <v>333</v>
      </c>
      <c r="D18" s="273">
        <v>100</v>
      </c>
      <c r="E18" s="273" t="s">
        <v>303</v>
      </c>
      <c r="F18" s="273" t="s">
        <v>303</v>
      </c>
      <c r="G18" s="273">
        <v>1</v>
      </c>
      <c r="H18" s="273" t="s">
        <v>338</v>
      </c>
      <c r="I18" s="273">
        <v>498</v>
      </c>
      <c r="J18" s="27">
        <f>D18</f>
        <v>100</v>
      </c>
    </row>
    <row r="19" spans="1:10" ht="21" customHeight="1" x14ac:dyDescent="0.15">
      <c r="A19" s="271">
        <v>30021018</v>
      </c>
      <c r="B19" s="273">
        <v>0</v>
      </c>
      <c r="C19" s="273">
        <v>1</v>
      </c>
      <c r="D19" s="273">
        <v>100</v>
      </c>
      <c r="E19" s="273" t="s">
        <v>303</v>
      </c>
      <c r="F19" s="273" t="s">
        <v>303</v>
      </c>
      <c r="G19" s="273" t="s">
        <v>339</v>
      </c>
      <c r="H19" s="273">
        <v>1</v>
      </c>
      <c r="I19" s="273" t="s">
        <v>303</v>
      </c>
      <c r="J19" s="27">
        <f>D19</f>
        <v>100</v>
      </c>
    </row>
    <row r="20" spans="1:10" ht="21" customHeight="1" x14ac:dyDescent="0.15">
      <c r="A20" s="271">
        <v>30021020</v>
      </c>
      <c r="B20" s="273">
        <v>0</v>
      </c>
      <c r="C20" s="273">
        <v>2</v>
      </c>
      <c r="D20" s="273">
        <v>100</v>
      </c>
      <c r="E20" s="273" t="s">
        <v>303</v>
      </c>
      <c r="F20" s="273" t="s">
        <v>303</v>
      </c>
      <c r="G20" s="273" t="s">
        <v>339</v>
      </c>
      <c r="H20" s="273">
        <v>2</v>
      </c>
      <c r="I20" s="273" t="s">
        <v>303</v>
      </c>
      <c r="J20" s="27">
        <f>D20</f>
        <v>100</v>
      </c>
    </row>
    <row r="21" spans="1:10" ht="21" customHeight="1" x14ac:dyDescent="0.15">
      <c r="A21" s="271">
        <v>30021021</v>
      </c>
      <c r="B21" s="273">
        <v>1</v>
      </c>
      <c r="C21" s="273" t="s">
        <v>303</v>
      </c>
      <c r="D21" s="273">
        <v>100</v>
      </c>
      <c r="E21" s="273" t="s">
        <v>303</v>
      </c>
      <c r="F21" s="273" t="s">
        <v>303</v>
      </c>
      <c r="G21" s="273">
        <v>1</v>
      </c>
      <c r="H21" s="273" t="s">
        <v>338</v>
      </c>
      <c r="I21" s="273">
        <v>498</v>
      </c>
      <c r="J21" s="27">
        <f t="shared" ref="J21:J29" si="2">D21</f>
        <v>100</v>
      </c>
    </row>
    <row r="22" spans="1:10" ht="21" customHeight="1" x14ac:dyDescent="0.15">
      <c r="A22" s="271">
        <v>30021022</v>
      </c>
      <c r="B22" s="273">
        <v>0</v>
      </c>
      <c r="C22" s="273">
        <v>5</v>
      </c>
      <c r="D22" s="273">
        <v>100</v>
      </c>
      <c r="E22" s="273" t="s">
        <v>336</v>
      </c>
      <c r="F22" s="273" t="s">
        <v>53</v>
      </c>
      <c r="G22" s="273">
        <v>1</v>
      </c>
      <c r="H22" s="273" t="s">
        <v>338</v>
      </c>
      <c r="I22" s="273" t="s">
        <v>336</v>
      </c>
      <c r="J22" s="27">
        <f t="shared" si="2"/>
        <v>100</v>
      </c>
    </row>
    <row r="23" spans="1:10" ht="21" customHeight="1" x14ac:dyDescent="0.15">
      <c r="A23" s="271">
        <v>30021023</v>
      </c>
      <c r="B23" s="273">
        <v>0</v>
      </c>
      <c r="C23" s="273">
        <v>3</v>
      </c>
      <c r="D23" s="273">
        <v>33</v>
      </c>
      <c r="E23" s="273" t="s">
        <v>303</v>
      </c>
      <c r="F23" s="273" t="s">
        <v>303</v>
      </c>
      <c r="G23" s="273" t="s">
        <v>339</v>
      </c>
      <c r="H23" s="273" t="s">
        <v>338</v>
      </c>
      <c r="I23" s="273" t="s">
        <v>303</v>
      </c>
      <c r="J23" s="27">
        <f t="shared" si="2"/>
        <v>33</v>
      </c>
    </row>
    <row r="24" spans="1:10" ht="21" customHeight="1" x14ac:dyDescent="0.15">
      <c r="A24" s="271">
        <v>30021024</v>
      </c>
      <c r="B24" s="273">
        <v>0</v>
      </c>
      <c r="C24" s="273">
        <v>2</v>
      </c>
      <c r="D24" s="273">
        <v>50</v>
      </c>
      <c r="E24" s="273" t="s">
        <v>303</v>
      </c>
      <c r="F24" s="273" t="s">
        <v>303</v>
      </c>
      <c r="G24" s="273" t="s">
        <v>339</v>
      </c>
      <c r="H24" s="273" t="s">
        <v>338</v>
      </c>
      <c r="I24" s="273" t="s">
        <v>303</v>
      </c>
      <c r="J24" s="27">
        <f t="shared" si="2"/>
        <v>50</v>
      </c>
    </row>
    <row r="25" spans="1:10" ht="21" customHeight="1" x14ac:dyDescent="0.15">
      <c r="A25" s="271">
        <v>30021026</v>
      </c>
      <c r="B25" s="273">
        <v>0</v>
      </c>
      <c r="C25" s="273">
        <v>1</v>
      </c>
      <c r="D25" s="273">
        <v>100</v>
      </c>
      <c r="E25" s="273" t="s">
        <v>303</v>
      </c>
      <c r="F25" s="273" t="s">
        <v>303</v>
      </c>
      <c r="G25" s="273">
        <v>2</v>
      </c>
      <c r="H25" s="273" t="s">
        <v>338</v>
      </c>
      <c r="I25" s="273" t="s">
        <v>303</v>
      </c>
      <c r="J25" s="27">
        <f t="shared" si="2"/>
        <v>100</v>
      </c>
    </row>
    <row r="26" spans="1:10" ht="21" customHeight="1" x14ac:dyDescent="0.15">
      <c r="A26" s="271">
        <v>30021027</v>
      </c>
      <c r="B26" s="273">
        <v>0</v>
      </c>
      <c r="C26" s="273">
        <v>4</v>
      </c>
      <c r="D26" s="273">
        <v>100</v>
      </c>
      <c r="E26" s="273">
        <v>45</v>
      </c>
      <c r="F26" s="273" t="s">
        <v>303</v>
      </c>
      <c r="G26" s="273">
        <v>1</v>
      </c>
      <c r="H26" s="273" t="s">
        <v>338</v>
      </c>
      <c r="I26" s="273" t="s">
        <v>337</v>
      </c>
      <c r="J26" s="27">
        <f t="shared" si="2"/>
        <v>100</v>
      </c>
    </row>
    <row r="27" spans="1:10" ht="21" customHeight="1" x14ac:dyDescent="0.15">
      <c r="A27" s="271">
        <v>30021028</v>
      </c>
      <c r="B27" s="273">
        <v>0</v>
      </c>
      <c r="C27" s="273">
        <v>3</v>
      </c>
      <c r="D27" s="273">
        <v>100</v>
      </c>
      <c r="E27" s="273">
        <v>45</v>
      </c>
      <c r="F27" s="273" t="s">
        <v>303</v>
      </c>
      <c r="G27" s="273">
        <v>1</v>
      </c>
      <c r="H27" s="273" t="s">
        <v>338</v>
      </c>
      <c r="I27" s="273" t="s">
        <v>335</v>
      </c>
      <c r="J27" s="27">
        <f t="shared" si="2"/>
        <v>100</v>
      </c>
    </row>
    <row r="28" spans="1:10" ht="21" customHeight="1" x14ac:dyDescent="0.15">
      <c r="A28" s="271">
        <v>30021029</v>
      </c>
      <c r="B28" s="273">
        <v>0</v>
      </c>
      <c r="C28" s="273">
        <v>2</v>
      </c>
      <c r="D28" s="273">
        <v>100</v>
      </c>
      <c r="E28" s="273">
        <v>45</v>
      </c>
      <c r="F28" s="273" t="s">
        <v>303</v>
      </c>
      <c r="G28" s="273">
        <v>1</v>
      </c>
      <c r="H28" s="273" t="s">
        <v>338</v>
      </c>
      <c r="I28" s="273" t="s">
        <v>303</v>
      </c>
      <c r="J28" s="27">
        <f t="shared" si="2"/>
        <v>100</v>
      </c>
    </row>
    <row r="29" spans="1:10" ht="21" customHeight="1" x14ac:dyDescent="0.15">
      <c r="A29" s="271">
        <v>30021030</v>
      </c>
      <c r="B29" s="273">
        <v>0</v>
      </c>
      <c r="C29" s="273">
        <v>1</v>
      </c>
      <c r="D29" s="273">
        <v>100</v>
      </c>
      <c r="E29" s="273">
        <v>45</v>
      </c>
      <c r="F29" s="273" t="s">
        <v>303</v>
      </c>
      <c r="G29" s="273">
        <v>1</v>
      </c>
      <c r="H29" s="273" t="s">
        <v>303</v>
      </c>
      <c r="I29" s="273" t="s">
        <v>303</v>
      </c>
      <c r="J29" s="27">
        <f t="shared" si="2"/>
        <v>100</v>
      </c>
    </row>
    <row r="30" spans="1:10" ht="21" customHeight="1" x14ac:dyDescent="0.15">
      <c r="A30" s="271">
        <v>30021031</v>
      </c>
      <c r="B30" s="273">
        <v>0</v>
      </c>
      <c r="C30" s="273">
        <v>4</v>
      </c>
      <c r="D30" s="273">
        <v>100</v>
      </c>
      <c r="E30" s="273">
        <v>15</v>
      </c>
      <c r="F30" s="273" t="s">
        <v>53</v>
      </c>
      <c r="G30" s="273">
        <v>1</v>
      </c>
      <c r="H30" s="273" t="s">
        <v>53</v>
      </c>
      <c r="I30" s="273" t="s">
        <v>53</v>
      </c>
      <c r="J30" s="27">
        <f t="shared" ref="J30" si="3">D30</f>
        <v>100</v>
      </c>
    </row>
    <row r="31" spans="1:10" ht="21" customHeight="1" x14ac:dyDescent="0.15">
      <c r="A31" s="271">
        <v>30021032</v>
      </c>
      <c r="B31" s="273">
        <v>0</v>
      </c>
      <c r="C31" s="273">
        <v>3</v>
      </c>
      <c r="D31" s="273">
        <v>100</v>
      </c>
      <c r="E31" s="273" t="s">
        <v>366</v>
      </c>
      <c r="F31" s="273" t="s">
        <v>53</v>
      </c>
      <c r="G31" s="273">
        <v>1</v>
      </c>
      <c r="H31" s="273">
        <v>1</v>
      </c>
      <c r="I31" s="273" t="s">
        <v>53</v>
      </c>
      <c r="J31" s="27">
        <f t="shared" ref="J31" si="4">D31</f>
        <v>100</v>
      </c>
    </row>
    <row r="32" spans="1:10" ht="21" customHeight="1" x14ac:dyDescent="0.15">
      <c r="A32" s="271">
        <v>30021033</v>
      </c>
      <c r="B32" s="273">
        <v>1</v>
      </c>
      <c r="C32" s="273">
        <v>2</v>
      </c>
      <c r="D32" s="273">
        <v>100</v>
      </c>
      <c r="E32" s="273" t="s">
        <v>53</v>
      </c>
      <c r="F32" s="273" t="s">
        <v>53</v>
      </c>
      <c r="G32" s="273">
        <v>1</v>
      </c>
      <c r="H32" s="273" t="s">
        <v>406</v>
      </c>
      <c r="I32" s="273">
        <v>496</v>
      </c>
      <c r="J32" s="27">
        <f t="shared" ref="J32:J33" si="5">D32</f>
        <v>100</v>
      </c>
    </row>
    <row r="33" spans="1:10" ht="21" customHeight="1" x14ac:dyDescent="0.15">
      <c r="A33" s="271">
        <v>30021034</v>
      </c>
      <c r="B33" s="273">
        <v>1</v>
      </c>
      <c r="C33" s="273">
        <v>2</v>
      </c>
      <c r="D33" s="273">
        <v>100</v>
      </c>
      <c r="E33" s="273" t="s">
        <v>53</v>
      </c>
      <c r="F33" s="273" t="s">
        <v>53</v>
      </c>
      <c r="G33" s="273">
        <v>1</v>
      </c>
      <c r="H33" s="273" t="s">
        <v>407</v>
      </c>
      <c r="I33" s="273">
        <v>497</v>
      </c>
      <c r="J33" s="27">
        <f t="shared" si="5"/>
        <v>100</v>
      </c>
    </row>
  </sheetData>
  <autoFilter ref="A1:G1"/>
  <phoneticPr fontId="5"/>
  <conditionalFormatting sqref="K1:K29 K34:K1048576">
    <cfRule type="duplicateValues" dxfId="4" priority="5"/>
  </conditionalFormatting>
  <conditionalFormatting sqref="K30">
    <cfRule type="duplicateValues" dxfId="3" priority="4"/>
  </conditionalFormatting>
  <conditionalFormatting sqref="K31">
    <cfRule type="duplicateValues" dxfId="2" priority="3"/>
  </conditionalFormatting>
  <conditionalFormatting sqref="K32">
    <cfRule type="duplicateValues" dxfId="1" priority="2"/>
  </conditionalFormatting>
  <conditionalFormatting sqref="K33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33"/>
  <sheetViews>
    <sheetView tabSelected="1" topLeftCell="C2" workbookViewId="0">
      <selection activeCell="P4" sqref="P4"/>
    </sheetView>
  </sheetViews>
  <sheetFormatPr baseColWidth="12" defaultRowHeight="15" x14ac:dyDescent="0.15"/>
  <cols>
    <col min="17" max="18" width="19" bestFit="1" customWidth="1"/>
  </cols>
  <sheetData>
    <row r="1" spans="1:18" ht="16" thickBot="1" x14ac:dyDescent="0.2">
      <c r="A1" s="253" t="s">
        <v>151</v>
      </c>
      <c r="B1" s="253" t="s">
        <v>152</v>
      </c>
      <c r="C1" s="44" t="s">
        <v>153</v>
      </c>
      <c r="D1" s="254" t="s">
        <v>154</v>
      </c>
      <c r="E1" s="255" t="s">
        <v>155</v>
      </c>
      <c r="F1" s="253" t="s">
        <v>156</v>
      </c>
      <c r="G1" s="253" t="s">
        <v>157</v>
      </c>
      <c r="H1" s="253" t="s">
        <v>158</v>
      </c>
      <c r="I1" s="253" t="s">
        <v>159</v>
      </c>
      <c r="J1" s="253" t="s">
        <v>160</v>
      </c>
      <c r="K1" s="253" t="s">
        <v>161</v>
      </c>
      <c r="L1" s="253" t="s">
        <v>162</v>
      </c>
      <c r="M1" s="253" t="s">
        <v>163</v>
      </c>
      <c r="N1" s="253" t="s">
        <v>164</v>
      </c>
      <c r="O1" s="253" t="s">
        <v>165</v>
      </c>
      <c r="P1" s="253" t="s">
        <v>166</v>
      </c>
      <c r="Q1" s="253" t="s">
        <v>167</v>
      </c>
      <c r="R1" s="253" t="s">
        <v>168</v>
      </c>
    </row>
    <row r="2" spans="1:18" s="263" customFormat="1" x14ac:dyDescent="0.15">
      <c r="A2" s="259">
        <v>30021</v>
      </c>
      <c r="B2" s="260">
        <v>1</v>
      </c>
      <c r="C2" s="261" t="str">
        <f t="shared" ref="C2:C11" si="0">A2&amp; "_"&amp;B2</f>
        <v>30021_1</v>
      </c>
      <c r="D2" s="261" t="str">
        <f>VLOOKUP(C2,[2]stages!$A:$AE,31,FALSE)</f>
        <v>everyone</v>
      </c>
      <c r="E2" s="260">
        <v>1</v>
      </c>
      <c r="F2" s="260" t="s">
        <v>169</v>
      </c>
      <c r="G2" s="342">
        <v>3200</v>
      </c>
      <c r="H2" s="260" t="s">
        <v>202</v>
      </c>
      <c r="I2" s="260">
        <v>1</v>
      </c>
      <c r="J2" s="260">
        <v>1</v>
      </c>
      <c r="K2" s="260">
        <v>0</v>
      </c>
      <c r="L2" s="260">
        <v>0</v>
      </c>
      <c r="M2" s="260">
        <v>0</v>
      </c>
      <c r="N2" s="260">
        <v>0</v>
      </c>
      <c r="O2" s="260">
        <v>1</v>
      </c>
      <c r="P2" s="342">
        <v>200</v>
      </c>
      <c r="Q2" s="260" t="s">
        <v>170</v>
      </c>
      <c r="R2" s="262" t="s">
        <v>203</v>
      </c>
    </row>
    <row r="3" spans="1:18" s="265" customFormat="1" x14ac:dyDescent="0.15">
      <c r="A3" s="264">
        <v>30021</v>
      </c>
      <c r="B3" s="62">
        <v>1</v>
      </c>
      <c r="C3" s="249" t="str">
        <f t="shared" si="0"/>
        <v>30021_1</v>
      </c>
      <c r="D3" s="249" t="str">
        <f>VLOOKUP(C3,[2]stages!$A:$AE,31,FALSE)</f>
        <v>everyone</v>
      </c>
      <c r="E3" s="62">
        <v>2</v>
      </c>
      <c r="F3" s="62" t="s">
        <v>204</v>
      </c>
      <c r="G3" s="342">
        <v>20</v>
      </c>
      <c r="H3" s="62" t="s">
        <v>202</v>
      </c>
      <c r="I3" s="62">
        <v>1</v>
      </c>
      <c r="J3" s="62">
        <v>1</v>
      </c>
      <c r="K3" s="62">
        <v>0</v>
      </c>
      <c r="L3" s="62">
        <v>0</v>
      </c>
      <c r="M3" s="62">
        <v>0</v>
      </c>
      <c r="N3" s="62">
        <v>0</v>
      </c>
      <c r="O3" s="62">
        <v>1</v>
      </c>
      <c r="P3" s="342">
        <v>200</v>
      </c>
      <c r="Q3" s="62" t="s">
        <v>170</v>
      </c>
      <c r="R3" s="250" t="s">
        <v>205</v>
      </c>
    </row>
    <row r="4" spans="1:18" s="265" customFormat="1" x14ac:dyDescent="0.15">
      <c r="A4" s="264">
        <v>30021</v>
      </c>
      <c r="B4" s="62">
        <v>1</v>
      </c>
      <c r="C4" s="249" t="str">
        <f t="shared" si="0"/>
        <v>30021_1</v>
      </c>
      <c r="D4" s="249" t="str">
        <f>VLOOKUP(C4,[2]stages!$A:$AE,31,FALSE)</f>
        <v>everyone</v>
      </c>
      <c r="E4" s="62">
        <v>3</v>
      </c>
      <c r="F4" s="62" t="s">
        <v>206</v>
      </c>
      <c r="G4" s="62">
        <v>332</v>
      </c>
      <c r="H4" s="62">
        <v>1</v>
      </c>
      <c r="I4" s="62">
        <v>1</v>
      </c>
      <c r="J4" s="62">
        <v>1</v>
      </c>
      <c r="K4" s="62">
        <v>0</v>
      </c>
      <c r="L4" s="62">
        <v>0</v>
      </c>
      <c r="M4" s="62">
        <v>0</v>
      </c>
      <c r="N4" s="62">
        <v>0</v>
      </c>
      <c r="O4" s="62">
        <v>1</v>
      </c>
      <c r="P4" s="342">
        <v>70</v>
      </c>
      <c r="Q4" s="62" t="s">
        <v>170</v>
      </c>
      <c r="R4" s="250" t="s">
        <v>171</v>
      </c>
    </row>
    <row r="5" spans="1:18" s="265" customFormat="1" x14ac:dyDescent="0.15">
      <c r="A5" s="264">
        <v>30021</v>
      </c>
      <c r="B5" s="62">
        <v>1</v>
      </c>
      <c r="C5" s="249" t="str">
        <f t="shared" si="0"/>
        <v>30021_1</v>
      </c>
      <c r="D5" s="249" t="str">
        <f>VLOOKUP(C5,[2]stages!$A:$AE,31,FALSE)</f>
        <v>everyone</v>
      </c>
      <c r="E5" s="62">
        <v>4</v>
      </c>
      <c r="F5" s="62" t="s">
        <v>206</v>
      </c>
      <c r="G5" s="62">
        <v>333</v>
      </c>
      <c r="H5" s="62">
        <v>1</v>
      </c>
      <c r="I5" s="62">
        <v>1</v>
      </c>
      <c r="J5" s="62">
        <v>1</v>
      </c>
      <c r="K5" s="62">
        <v>0</v>
      </c>
      <c r="L5" s="62">
        <v>0</v>
      </c>
      <c r="M5" s="62">
        <v>0</v>
      </c>
      <c r="N5" s="62">
        <v>0</v>
      </c>
      <c r="O5" s="62">
        <v>1</v>
      </c>
      <c r="P5" s="342">
        <v>70</v>
      </c>
      <c r="Q5" s="62" t="s">
        <v>170</v>
      </c>
      <c r="R5" s="250" t="s">
        <v>171</v>
      </c>
    </row>
    <row r="6" spans="1:18" s="265" customFormat="1" x14ac:dyDescent="0.15">
      <c r="A6" s="264">
        <v>30021</v>
      </c>
      <c r="B6" s="62">
        <v>1</v>
      </c>
      <c r="C6" s="249" t="str">
        <f t="shared" si="0"/>
        <v>30021_1</v>
      </c>
      <c r="D6" s="249" t="str">
        <f>VLOOKUP(C6,[2]stages!$A:$AE,31,FALSE)</f>
        <v>everyone</v>
      </c>
      <c r="E6" s="62">
        <v>6</v>
      </c>
      <c r="F6" s="62" t="s">
        <v>207</v>
      </c>
      <c r="G6" s="62">
        <v>121</v>
      </c>
      <c r="H6" s="62">
        <v>1</v>
      </c>
      <c r="I6" s="62">
        <v>1</v>
      </c>
      <c r="J6" s="62">
        <v>1</v>
      </c>
      <c r="K6" s="62">
        <v>0</v>
      </c>
      <c r="L6" s="62">
        <v>0</v>
      </c>
      <c r="M6" s="62">
        <v>0</v>
      </c>
      <c r="N6" s="62">
        <v>0</v>
      </c>
      <c r="O6" s="62">
        <v>1</v>
      </c>
      <c r="P6" s="342">
        <v>50</v>
      </c>
      <c r="Q6" s="62" t="s">
        <v>170</v>
      </c>
      <c r="R6" s="250" t="s">
        <v>171</v>
      </c>
    </row>
    <row r="7" spans="1:18" s="265" customFormat="1" x14ac:dyDescent="0.15">
      <c r="A7" s="264">
        <v>30021</v>
      </c>
      <c r="B7" s="62">
        <v>1</v>
      </c>
      <c r="C7" s="249" t="str">
        <f t="shared" si="0"/>
        <v>30021_1</v>
      </c>
      <c r="D7" s="249" t="str">
        <f>VLOOKUP(C7,[2]stages!$A:$AE,31,FALSE)</f>
        <v>everyone</v>
      </c>
      <c r="E7" s="62">
        <v>7</v>
      </c>
      <c r="F7" s="62" t="s">
        <v>206</v>
      </c>
      <c r="G7" s="62">
        <v>122</v>
      </c>
      <c r="H7" s="62">
        <v>1</v>
      </c>
      <c r="I7" s="62">
        <v>1</v>
      </c>
      <c r="J7" s="62">
        <v>1</v>
      </c>
      <c r="K7" s="62">
        <v>0</v>
      </c>
      <c r="L7" s="62">
        <v>0</v>
      </c>
      <c r="M7" s="62">
        <v>0</v>
      </c>
      <c r="N7" s="62">
        <v>0</v>
      </c>
      <c r="O7" s="62">
        <v>1</v>
      </c>
      <c r="P7" s="342">
        <v>50</v>
      </c>
      <c r="Q7" s="62" t="s">
        <v>170</v>
      </c>
      <c r="R7" s="250" t="s">
        <v>171</v>
      </c>
    </row>
    <row r="8" spans="1:18" s="265" customFormat="1" x14ac:dyDescent="0.15">
      <c r="A8" s="264">
        <v>30021</v>
      </c>
      <c r="B8" s="62">
        <v>1</v>
      </c>
      <c r="C8" s="249" t="str">
        <f t="shared" si="0"/>
        <v>30021_1</v>
      </c>
      <c r="D8" s="249" t="str">
        <f>VLOOKUP(C8,[2]stages!$A:$AE,31,FALSE)</f>
        <v>everyone</v>
      </c>
      <c r="E8" s="62">
        <v>8</v>
      </c>
      <c r="F8" s="62" t="s">
        <v>207</v>
      </c>
      <c r="G8" s="62">
        <v>123</v>
      </c>
      <c r="H8" s="62">
        <v>1</v>
      </c>
      <c r="I8" s="62">
        <v>1</v>
      </c>
      <c r="J8" s="62">
        <v>1</v>
      </c>
      <c r="K8" s="62">
        <v>0</v>
      </c>
      <c r="L8" s="62">
        <v>0</v>
      </c>
      <c r="M8" s="62">
        <v>0</v>
      </c>
      <c r="N8" s="62">
        <v>0</v>
      </c>
      <c r="O8" s="62">
        <v>1</v>
      </c>
      <c r="P8" s="342">
        <v>50</v>
      </c>
      <c r="Q8" s="62" t="s">
        <v>170</v>
      </c>
      <c r="R8" s="250" t="s">
        <v>171</v>
      </c>
    </row>
    <row r="9" spans="1:18" s="265" customFormat="1" x14ac:dyDescent="0.15">
      <c r="A9" s="264">
        <v>30021</v>
      </c>
      <c r="B9" s="62">
        <v>1</v>
      </c>
      <c r="C9" s="249" t="str">
        <f t="shared" si="0"/>
        <v>30021_1</v>
      </c>
      <c r="D9" s="249" t="str">
        <f>VLOOKUP(C9,[2]stages!$A:$AE,31,FALSE)</f>
        <v>everyone</v>
      </c>
      <c r="E9" s="62">
        <v>9</v>
      </c>
      <c r="F9" s="62" t="s">
        <v>208</v>
      </c>
      <c r="G9" s="62">
        <v>125</v>
      </c>
      <c r="H9" s="62">
        <v>1</v>
      </c>
      <c r="I9" s="62">
        <v>1</v>
      </c>
      <c r="J9" s="62">
        <v>1</v>
      </c>
      <c r="K9" s="62">
        <v>0</v>
      </c>
      <c r="L9" s="62">
        <v>0</v>
      </c>
      <c r="M9" s="62">
        <v>0</v>
      </c>
      <c r="N9" s="62">
        <v>0</v>
      </c>
      <c r="O9" s="62">
        <v>1</v>
      </c>
      <c r="P9" s="342">
        <v>10</v>
      </c>
      <c r="Q9" s="62" t="s">
        <v>170</v>
      </c>
      <c r="R9" s="250" t="s">
        <v>171</v>
      </c>
    </row>
    <row r="10" spans="1:18" s="265" customFormat="1" x14ac:dyDescent="0.15">
      <c r="A10" s="264">
        <v>30021</v>
      </c>
      <c r="B10" s="62">
        <v>1</v>
      </c>
      <c r="C10" s="249" t="str">
        <f t="shared" si="0"/>
        <v>30021_1</v>
      </c>
      <c r="D10" s="249" t="str">
        <f>VLOOKUP(C10,[2]stages!$A:$AE,31,FALSE)</f>
        <v>everyone</v>
      </c>
      <c r="E10" s="62">
        <v>10</v>
      </c>
      <c r="F10" s="62" t="s">
        <v>208</v>
      </c>
      <c r="G10" s="62">
        <v>502</v>
      </c>
      <c r="H10" s="62">
        <v>1</v>
      </c>
      <c r="I10" s="62">
        <v>1</v>
      </c>
      <c r="J10" s="62">
        <v>1</v>
      </c>
      <c r="K10" s="62">
        <v>0</v>
      </c>
      <c r="L10" s="62">
        <v>0</v>
      </c>
      <c r="M10" s="62">
        <v>0</v>
      </c>
      <c r="N10" s="62">
        <v>0</v>
      </c>
      <c r="O10" s="62">
        <v>1</v>
      </c>
      <c r="P10" s="342">
        <v>200</v>
      </c>
      <c r="Q10" s="62" t="s">
        <v>170</v>
      </c>
      <c r="R10" s="250" t="s">
        <v>171</v>
      </c>
    </row>
    <row r="11" spans="1:18" s="270" customFormat="1" ht="16" thickBot="1" x14ac:dyDescent="0.2">
      <c r="A11" s="266">
        <v>30021</v>
      </c>
      <c r="B11" s="267">
        <v>1</v>
      </c>
      <c r="C11" s="268" t="str">
        <f t="shared" si="0"/>
        <v>30021_1</v>
      </c>
      <c r="D11" s="268" t="str">
        <f>VLOOKUP(C11,[2]stages!$A:$AE,31,FALSE)</f>
        <v>everyone</v>
      </c>
      <c r="E11" s="267">
        <v>11</v>
      </c>
      <c r="F11" s="267" t="s">
        <v>208</v>
      </c>
      <c r="G11" s="267">
        <v>348</v>
      </c>
      <c r="H11" s="267">
        <v>1</v>
      </c>
      <c r="I11" s="267">
        <v>1</v>
      </c>
      <c r="J11" s="267">
        <v>1</v>
      </c>
      <c r="K11" s="267">
        <v>0</v>
      </c>
      <c r="L11" s="267">
        <v>0</v>
      </c>
      <c r="M11" s="267">
        <v>0</v>
      </c>
      <c r="N11" s="267">
        <v>0</v>
      </c>
      <c r="O11" s="267">
        <v>1</v>
      </c>
      <c r="P11" s="342">
        <v>100</v>
      </c>
      <c r="Q11" s="267" t="s">
        <v>170</v>
      </c>
      <c r="R11" s="269" t="s">
        <v>171</v>
      </c>
    </row>
    <row r="12" spans="1:18" s="263" customFormat="1" x14ac:dyDescent="0.15">
      <c r="A12" s="259">
        <v>30021</v>
      </c>
      <c r="B12" s="260">
        <v>2</v>
      </c>
      <c r="C12" s="261" t="str">
        <f>A12&amp; "_"&amp;B12</f>
        <v>30021_2</v>
      </c>
      <c r="D12" s="261" t="str">
        <f>VLOOKUP(C12,[2]stages!$A:$AE,31,FALSE)</f>
        <v>everyone</v>
      </c>
      <c r="E12" s="260">
        <v>12</v>
      </c>
      <c r="F12" s="260" t="s">
        <v>169</v>
      </c>
      <c r="G12" s="260">
        <v>5000</v>
      </c>
      <c r="H12" s="260" t="s">
        <v>209</v>
      </c>
      <c r="I12" s="260">
        <v>1</v>
      </c>
      <c r="J12" s="260">
        <v>1</v>
      </c>
      <c r="K12" s="260">
        <v>0</v>
      </c>
      <c r="L12" s="260">
        <v>0</v>
      </c>
      <c r="M12" s="260">
        <v>0</v>
      </c>
      <c r="N12" s="260">
        <v>0</v>
      </c>
      <c r="O12" s="260">
        <v>1</v>
      </c>
      <c r="P12" s="342">
        <v>200</v>
      </c>
      <c r="Q12" s="260" t="s">
        <v>170</v>
      </c>
      <c r="R12" s="262" t="s">
        <v>171</v>
      </c>
    </row>
    <row r="13" spans="1:18" s="265" customFormat="1" x14ac:dyDescent="0.15">
      <c r="A13" s="264">
        <v>30021</v>
      </c>
      <c r="B13" s="62">
        <v>2</v>
      </c>
      <c r="C13" s="249" t="str">
        <f t="shared" ref="C13:C22" si="1">A13&amp; "_"&amp;B13</f>
        <v>30021_2</v>
      </c>
      <c r="D13" s="249" t="str">
        <f>VLOOKUP(C13,[2]stages!$A:$AE,31,FALSE)</f>
        <v>everyone</v>
      </c>
      <c r="E13" s="62">
        <v>13</v>
      </c>
      <c r="F13" s="62" t="s">
        <v>210</v>
      </c>
      <c r="G13" s="62">
        <v>25</v>
      </c>
      <c r="H13" s="62" t="s">
        <v>211</v>
      </c>
      <c r="I13" s="62">
        <v>1</v>
      </c>
      <c r="J13" s="62">
        <v>1</v>
      </c>
      <c r="K13" s="62">
        <v>0</v>
      </c>
      <c r="L13" s="62">
        <v>0</v>
      </c>
      <c r="M13" s="62">
        <v>0</v>
      </c>
      <c r="N13" s="62">
        <v>0</v>
      </c>
      <c r="O13" s="62">
        <v>1</v>
      </c>
      <c r="P13" s="342">
        <v>150</v>
      </c>
      <c r="Q13" s="62" t="s">
        <v>170</v>
      </c>
      <c r="R13" s="250" t="s">
        <v>171</v>
      </c>
    </row>
    <row r="14" spans="1:18" s="265" customFormat="1" x14ac:dyDescent="0.15">
      <c r="A14" s="264">
        <v>30021</v>
      </c>
      <c r="B14" s="62">
        <v>2</v>
      </c>
      <c r="C14" s="249" t="str">
        <f t="shared" si="1"/>
        <v>30021_2</v>
      </c>
      <c r="D14" s="249" t="str">
        <f>VLOOKUP(C14,[2]stages!$A:$AE,31,FALSE)</f>
        <v>everyone</v>
      </c>
      <c r="E14" s="62">
        <v>14</v>
      </c>
      <c r="F14" s="62" t="s">
        <v>208</v>
      </c>
      <c r="G14" s="62">
        <v>332</v>
      </c>
      <c r="H14" s="62">
        <v>1</v>
      </c>
      <c r="I14" s="62">
        <v>1</v>
      </c>
      <c r="J14" s="62">
        <v>1</v>
      </c>
      <c r="K14" s="62">
        <v>0</v>
      </c>
      <c r="L14" s="62">
        <v>0</v>
      </c>
      <c r="M14" s="62">
        <v>0</v>
      </c>
      <c r="N14" s="62">
        <v>0</v>
      </c>
      <c r="O14" s="62">
        <v>1</v>
      </c>
      <c r="P14" s="342">
        <v>56</v>
      </c>
      <c r="Q14" s="62" t="s">
        <v>170</v>
      </c>
      <c r="R14" s="250" t="s">
        <v>171</v>
      </c>
    </row>
    <row r="15" spans="1:18" s="265" customFormat="1" x14ac:dyDescent="0.15">
      <c r="A15" s="264">
        <v>30021</v>
      </c>
      <c r="B15" s="62">
        <v>2</v>
      </c>
      <c r="C15" s="249" t="str">
        <f t="shared" si="1"/>
        <v>30021_2</v>
      </c>
      <c r="D15" s="249" t="str">
        <f>VLOOKUP(C15,[2]stages!$A:$AE,31,FALSE)</f>
        <v>everyone</v>
      </c>
      <c r="E15" s="62">
        <v>15</v>
      </c>
      <c r="F15" s="62" t="s">
        <v>208</v>
      </c>
      <c r="G15" s="62">
        <v>333</v>
      </c>
      <c r="H15" s="62">
        <v>1</v>
      </c>
      <c r="I15" s="62">
        <v>1</v>
      </c>
      <c r="J15" s="62">
        <v>1</v>
      </c>
      <c r="K15" s="62">
        <v>0</v>
      </c>
      <c r="L15" s="62">
        <v>0</v>
      </c>
      <c r="M15" s="62">
        <v>0</v>
      </c>
      <c r="N15" s="62">
        <v>0</v>
      </c>
      <c r="O15" s="62">
        <v>1</v>
      </c>
      <c r="P15" s="342">
        <v>56</v>
      </c>
      <c r="Q15" s="62" t="s">
        <v>170</v>
      </c>
      <c r="R15" s="250" t="s">
        <v>171</v>
      </c>
    </row>
    <row r="16" spans="1:18" s="265" customFormat="1" x14ac:dyDescent="0.15">
      <c r="A16" s="264">
        <v>30021</v>
      </c>
      <c r="B16" s="62">
        <v>2</v>
      </c>
      <c r="C16" s="249" t="str">
        <f t="shared" si="1"/>
        <v>30021_2</v>
      </c>
      <c r="D16" s="249" t="str">
        <f>VLOOKUP(C16,[2]stages!$A:$AE,31,FALSE)</f>
        <v>everyone</v>
      </c>
      <c r="E16" s="62">
        <v>16</v>
      </c>
      <c r="F16" s="62" t="s">
        <v>208</v>
      </c>
      <c r="G16" s="62">
        <v>334</v>
      </c>
      <c r="H16" s="62">
        <v>1</v>
      </c>
      <c r="I16" s="62">
        <v>1</v>
      </c>
      <c r="J16" s="62">
        <v>1</v>
      </c>
      <c r="K16" s="62">
        <v>0</v>
      </c>
      <c r="L16" s="62">
        <v>0</v>
      </c>
      <c r="M16" s="62">
        <v>0</v>
      </c>
      <c r="N16" s="62">
        <v>0</v>
      </c>
      <c r="O16" s="62">
        <v>1</v>
      </c>
      <c r="P16" s="342">
        <v>28</v>
      </c>
      <c r="Q16" s="62" t="s">
        <v>170</v>
      </c>
      <c r="R16" s="250" t="s">
        <v>171</v>
      </c>
    </row>
    <row r="17" spans="1:18" s="265" customFormat="1" x14ac:dyDescent="0.15">
      <c r="A17" s="264">
        <v>30021</v>
      </c>
      <c r="B17" s="62">
        <v>2</v>
      </c>
      <c r="C17" s="249" t="str">
        <f t="shared" ref="C17" si="2">A17&amp; "_"&amp;B17</f>
        <v>30021_2</v>
      </c>
      <c r="D17" s="249" t="str">
        <f>VLOOKUP(C17,[2]stages!$A:$AE,31,FALSE)</f>
        <v>everyone</v>
      </c>
      <c r="E17" s="62">
        <f>E16+1</f>
        <v>17</v>
      </c>
      <c r="F17" s="62" t="s">
        <v>208</v>
      </c>
      <c r="G17" s="62">
        <v>121</v>
      </c>
      <c r="H17" s="62">
        <v>1</v>
      </c>
      <c r="I17" s="62">
        <v>1</v>
      </c>
      <c r="J17" s="62">
        <v>1</v>
      </c>
      <c r="K17" s="62">
        <v>0</v>
      </c>
      <c r="L17" s="62">
        <v>0</v>
      </c>
      <c r="M17" s="62">
        <v>0</v>
      </c>
      <c r="N17" s="62">
        <v>0</v>
      </c>
      <c r="O17" s="62">
        <v>1</v>
      </c>
      <c r="P17" s="342">
        <v>50</v>
      </c>
      <c r="Q17" s="62" t="s">
        <v>170</v>
      </c>
      <c r="R17" s="250" t="s">
        <v>171</v>
      </c>
    </row>
    <row r="18" spans="1:18" s="265" customFormat="1" x14ac:dyDescent="0.15">
      <c r="A18" s="264">
        <v>30021</v>
      </c>
      <c r="B18" s="62">
        <v>2</v>
      </c>
      <c r="C18" s="249" t="str">
        <f t="shared" si="1"/>
        <v>30021_2</v>
      </c>
      <c r="D18" s="249" t="str">
        <f>VLOOKUP(C18,[2]stages!$A:$AE,31,FALSE)</f>
        <v>everyone</v>
      </c>
      <c r="E18" s="62">
        <f t="shared" ref="E18:E33" si="3">E17+1</f>
        <v>18</v>
      </c>
      <c r="F18" s="62" t="s">
        <v>208</v>
      </c>
      <c r="G18" s="62">
        <v>122</v>
      </c>
      <c r="H18" s="62">
        <v>1</v>
      </c>
      <c r="I18" s="62">
        <v>1</v>
      </c>
      <c r="J18" s="62">
        <v>1</v>
      </c>
      <c r="K18" s="62">
        <v>0</v>
      </c>
      <c r="L18" s="62">
        <v>0</v>
      </c>
      <c r="M18" s="62">
        <v>0</v>
      </c>
      <c r="N18" s="62">
        <v>0</v>
      </c>
      <c r="O18" s="62">
        <v>1</v>
      </c>
      <c r="P18" s="342">
        <v>50</v>
      </c>
      <c r="Q18" s="62" t="s">
        <v>170</v>
      </c>
      <c r="R18" s="250" t="s">
        <v>171</v>
      </c>
    </row>
    <row r="19" spans="1:18" s="265" customFormat="1" x14ac:dyDescent="0.15">
      <c r="A19" s="264">
        <v>30021</v>
      </c>
      <c r="B19" s="62">
        <v>2</v>
      </c>
      <c r="C19" s="249" t="str">
        <f t="shared" si="1"/>
        <v>30021_2</v>
      </c>
      <c r="D19" s="249" t="str">
        <f>VLOOKUP(C19,[2]stages!$A:$AE,31,FALSE)</f>
        <v>everyone</v>
      </c>
      <c r="E19" s="62">
        <f t="shared" si="3"/>
        <v>19</v>
      </c>
      <c r="F19" s="62" t="s">
        <v>206</v>
      </c>
      <c r="G19" s="62">
        <v>123</v>
      </c>
      <c r="H19" s="62">
        <v>1</v>
      </c>
      <c r="I19" s="62">
        <v>1</v>
      </c>
      <c r="J19" s="62">
        <v>1</v>
      </c>
      <c r="K19" s="62">
        <v>0</v>
      </c>
      <c r="L19" s="62">
        <v>0</v>
      </c>
      <c r="M19" s="62">
        <v>0</v>
      </c>
      <c r="N19" s="62">
        <v>0</v>
      </c>
      <c r="O19" s="62">
        <v>1</v>
      </c>
      <c r="P19" s="342">
        <v>50</v>
      </c>
      <c r="Q19" s="62" t="s">
        <v>170</v>
      </c>
      <c r="R19" s="250" t="s">
        <v>171</v>
      </c>
    </row>
    <row r="20" spans="1:18" s="265" customFormat="1" x14ac:dyDescent="0.15">
      <c r="A20" s="264">
        <v>30021</v>
      </c>
      <c r="B20" s="62">
        <v>2</v>
      </c>
      <c r="C20" s="249" t="str">
        <f t="shared" si="1"/>
        <v>30021_2</v>
      </c>
      <c r="D20" s="249" t="str">
        <f>VLOOKUP(C20,[2]stages!$A:$AE,31,FALSE)</f>
        <v>everyone</v>
      </c>
      <c r="E20" s="62">
        <f t="shared" si="3"/>
        <v>20</v>
      </c>
      <c r="F20" s="62" t="s">
        <v>206</v>
      </c>
      <c r="G20" s="62">
        <v>125</v>
      </c>
      <c r="H20" s="62">
        <v>1</v>
      </c>
      <c r="I20" s="62">
        <v>1</v>
      </c>
      <c r="J20" s="62">
        <v>1</v>
      </c>
      <c r="K20" s="62">
        <v>0</v>
      </c>
      <c r="L20" s="62">
        <v>0</v>
      </c>
      <c r="M20" s="62">
        <v>0</v>
      </c>
      <c r="N20" s="62">
        <v>0</v>
      </c>
      <c r="O20" s="62">
        <v>1</v>
      </c>
      <c r="P20" s="342">
        <v>10</v>
      </c>
      <c r="Q20" s="62" t="s">
        <v>170</v>
      </c>
      <c r="R20" s="250" t="s">
        <v>171</v>
      </c>
    </row>
    <row r="21" spans="1:18" s="265" customFormat="1" x14ac:dyDescent="0.15">
      <c r="A21" s="264">
        <v>30021</v>
      </c>
      <c r="B21" s="62">
        <v>2</v>
      </c>
      <c r="C21" s="249" t="str">
        <f t="shared" si="1"/>
        <v>30021_2</v>
      </c>
      <c r="D21" s="249" t="str">
        <f>VLOOKUP(C21,[2]stages!$A:$AE,31,FALSE)</f>
        <v>everyone</v>
      </c>
      <c r="E21" s="62">
        <f t="shared" si="3"/>
        <v>21</v>
      </c>
      <c r="F21" s="62" t="s">
        <v>206</v>
      </c>
      <c r="G21" s="62">
        <v>502</v>
      </c>
      <c r="H21" s="62">
        <v>1</v>
      </c>
      <c r="I21" s="62">
        <v>1</v>
      </c>
      <c r="J21" s="62">
        <v>1</v>
      </c>
      <c r="K21" s="62">
        <v>0</v>
      </c>
      <c r="L21" s="62">
        <v>0</v>
      </c>
      <c r="M21" s="62">
        <v>0</v>
      </c>
      <c r="N21" s="62">
        <v>0</v>
      </c>
      <c r="O21" s="62">
        <v>1</v>
      </c>
      <c r="P21" s="342">
        <v>250</v>
      </c>
      <c r="Q21" s="62" t="s">
        <v>170</v>
      </c>
      <c r="R21" s="250" t="s">
        <v>171</v>
      </c>
    </row>
    <row r="22" spans="1:18" s="270" customFormat="1" ht="16" thickBot="1" x14ac:dyDescent="0.2">
      <c r="A22" s="266">
        <v>30021</v>
      </c>
      <c r="B22" s="267">
        <v>2</v>
      </c>
      <c r="C22" s="268" t="str">
        <f t="shared" si="1"/>
        <v>30021_2</v>
      </c>
      <c r="D22" s="268" t="str">
        <f>VLOOKUP(C22,[2]stages!$A:$AE,31,FALSE)</f>
        <v>everyone</v>
      </c>
      <c r="E22" s="62">
        <f t="shared" si="3"/>
        <v>22</v>
      </c>
      <c r="F22" s="267" t="s">
        <v>206</v>
      </c>
      <c r="G22" s="267">
        <v>348</v>
      </c>
      <c r="H22" s="267">
        <v>1</v>
      </c>
      <c r="I22" s="267">
        <v>1</v>
      </c>
      <c r="J22" s="267">
        <v>1</v>
      </c>
      <c r="K22" s="267">
        <v>0</v>
      </c>
      <c r="L22" s="267">
        <v>0</v>
      </c>
      <c r="M22" s="267">
        <v>0</v>
      </c>
      <c r="N22" s="267">
        <v>0</v>
      </c>
      <c r="O22" s="267">
        <v>1</v>
      </c>
      <c r="P22" s="342">
        <v>100</v>
      </c>
      <c r="Q22" s="267" t="s">
        <v>170</v>
      </c>
      <c r="R22" s="269" t="s">
        <v>171</v>
      </c>
    </row>
    <row r="23" spans="1:18" x14ac:dyDescent="0.15">
      <c r="A23" s="256">
        <v>30021</v>
      </c>
      <c r="B23" s="256">
        <v>3</v>
      </c>
      <c r="C23" s="257" t="str">
        <f>A23&amp; "_"&amp;B23</f>
        <v>30021_3</v>
      </c>
      <c r="D23" s="257" t="str">
        <f>VLOOKUP(C23,[2]stages!$A:$AE,31,FALSE)</f>
        <v>everyone</v>
      </c>
      <c r="E23" s="62">
        <f t="shared" si="3"/>
        <v>23</v>
      </c>
      <c r="F23" s="256" t="s">
        <v>169</v>
      </c>
      <c r="G23" s="256">
        <v>6500</v>
      </c>
      <c r="H23" s="256" t="s">
        <v>209</v>
      </c>
      <c r="I23" s="256">
        <v>1</v>
      </c>
      <c r="J23" s="256">
        <v>1</v>
      </c>
      <c r="K23" s="256">
        <v>0</v>
      </c>
      <c r="L23" s="256">
        <v>0</v>
      </c>
      <c r="M23" s="256">
        <v>0</v>
      </c>
      <c r="N23" s="256">
        <v>0</v>
      </c>
      <c r="O23" s="256">
        <v>1</v>
      </c>
      <c r="P23" s="342">
        <v>100</v>
      </c>
      <c r="Q23" s="256" t="s">
        <v>170</v>
      </c>
      <c r="R23" s="258" t="s">
        <v>171</v>
      </c>
    </row>
    <row r="24" spans="1:18" x14ac:dyDescent="0.15">
      <c r="A24" s="62">
        <v>30021</v>
      </c>
      <c r="B24" s="62">
        <v>3</v>
      </c>
      <c r="C24" s="249" t="str">
        <f t="shared" ref="C24:C33" si="4">A24&amp; "_"&amp;B24</f>
        <v>30021_3</v>
      </c>
      <c r="D24" s="249" t="str">
        <f>VLOOKUP(C24,[2]stages!$A:$AE,31,FALSE)</f>
        <v>everyone</v>
      </c>
      <c r="E24" s="62">
        <f t="shared" si="3"/>
        <v>24</v>
      </c>
      <c r="F24" s="62" t="s">
        <v>210</v>
      </c>
      <c r="G24" s="62">
        <v>25</v>
      </c>
      <c r="H24" s="62" t="s">
        <v>211</v>
      </c>
      <c r="I24" s="62">
        <v>1</v>
      </c>
      <c r="J24" s="62">
        <v>1</v>
      </c>
      <c r="K24" s="62">
        <v>0</v>
      </c>
      <c r="L24" s="62">
        <v>0</v>
      </c>
      <c r="M24" s="62">
        <v>0</v>
      </c>
      <c r="N24" s="62">
        <v>0</v>
      </c>
      <c r="O24" s="62">
        <v>1</v>
      </c>
      <c r="P24" s="342">
        <v>100</v>
      </c>
      <c r="Q24" s="62" t="s">
        <v>170</v>
      </c>
      <c r="R24" s="250" t="s">
        <v>171</v>
      </c>
    </row>
    <row r="25" spans="1:18" x14ac:dyDescent="0.15">
      <c r="A25" s="62">
        <v>30021</v>
      </c>
      <c r="B25" s="62">
        <v>3</v>
      </c>
      <c r="C25" s="249" t="str">
        <f t="shared" si="4"/>
        <v>30021_3</v>
      </c>
      <c r="D25" s="249" t="str">
        <f>VLOOKUP(C25,[2]stages!$A:$AE,31,FALSE)</f>
        <v>everyone</v>
      </c>
      <c r="E25" s="62">
        <f t="shared" si="3"/>
        <v>25</v>
      </c>
      <c r="F25" s="62" t="s">
        <v>208</v>
      </c>
      <c r="G25" s="62">
        <v>332</v>
      </c>
      <c r="H25" s="62">
        <v>1</v>
      </c>
      <c r="I25" s="62">
        <v>1</v>
      </c>
      <c r="J25" s="62">
        <v>1</v>
      </c>
      <c r="K25" s="62">
        <v>0</v>
      </c>
      <c r="L25" s="62">
        <v>0</v>
      </c>
      <c r="M25" s="62">
        <v>0</v>
      </c>
      <c r="N25" s="62">
        <v>0</v>
      </c>
      <c r="O25" s="62">
        <v>1</v>
      </c>
      <c r="P25" s="342">
        <v>28</v>
      </c>
      <c r="Q25" s="62" t="s">
        <v>170</v>
      </c>
      <c r="R25" s="250" t="s">
        <v>171</v>
      </c>
    </row>
    <row r="26" spans="1:18" x14ac:dyDescent="0.15">
      <c r="A26" s="62">
        <v>30021</v>
      </c>
      <c r="B26" s="62">
        <v>3</v>
      </c>
      <c r="C26" s="249" t="str">
        <f t="shared" si="4"/>
        <v>30021_3</v>
      </c>
      <c r="D26" s="249" t="str">
        <f>VLOOKUP(C26,[2]stages!$A:$AE,31,FALSE)</f>
        <v>everyone</v>
      </c>
      <c r="E26" s="62">
        <f t="shared" si="3"/>
        <v>26</v>
      </c>
      <c r="F26" s="62" t="s">
        <v>208</v>
      </c>
      <c r="G26" s="62">
        <v>333</v>
      </c>
      <c r="H26" s="62">
        <v>1</v>
      </c>
      <c r="I26" s="62">
        <v>1</v>
      </c>
      <c r="J26" s="62">
        <v>1</v>
      </c>
      <c r="K26" s="62">
        <v>0</v>
      </c>
      <c r="L26" s="62">
        <v>0</v>
      </c>
      <c r="M26" s="62">
        <v>0</v>
      </c>
      <c r="N26" s="62">
        <v>0</v>
      </c>
      <c r="O26" s="62">
        <v>1</v>
      </c>
      <c r="P26" s="342">
        <v>56</v>
      </c>
      <c r="Q26" s="62" t="s">
        <v>170</v>
      </c>
      <c r="R26" s="250" t="s">
        <v>171</v>
      </c>
    </row>
    <row r="27" spans="1:18" x14ac:dyDescent="0.15">
      <c r="A27" s="62">
        <v>30021</v>
      </c>
      <c r="B27" s="62">
        <v>3</v>
      </c>
      <c r="C27" s="249" t="str">
        <f t="shared" si="4"/>
        <v>30021_3</v>
      </c>
      <c r="D27" s="249" t="str">
        <f>VLOOKUP(C27,[2]stages!$A:$AE,31,FALSE)</f>
        <v>everyone</v>
      </c>
      <c r="E27" s="62">
        <f t="shared" si="3"/>
        <v>27</v>
      </c>
      <c r="F27" s="62" t="s">
        <v>208</v>
      </c>
      <c r="G27" s="62">
        <v>334</v>
      </c>
      <c r="H27" s="62">
        <v>1</v>
      </c>
      <c r="I27" s="62">
        <v>1</v>
      </c>
      <c r="J27" s="62">
        <v>1</v>
      </c>
      <c r="K27" s="62">
        <v>0</v>
      </c>
      <c r="L27" s="62">
        <v>0</v>
      </c>
      <c r="M27" s="62">
        <v>0</v>
      </c>
      <c r="N27" s="62">
        <v>0</v>
      </c>
      <c r="O27" s="62">
        <v>1</v>
      </c>
      <c r="P27" s="342">
        <v>56</v>
      </c>
      <c r="Q27" s="62" t="s">
        <v>170</v>
      </c>
      <c r="R27" s="250" t="s">
        <v>171</v>
      </c>
    </row>
    <row r="28" spans="1:18" x14ac:dyDescent="0.15">
      <c r="A28" s="62">
        <v>30021</v>
      </c>
      <c r="B28" s="62">
        <v>3</v>
      </c>
      <c r="C28" s="249" t="str">
        <f t="shared" ref="C28" si="5">A28&amp; "_"&amp;B28</f>
        <v>30021_3</v>
      </c>
      <c r="D28" s="249" t="str">
        <f>VLOOKUP(C28,[2]stages!$A:$AE,31,FALSE)</f>
        <v>everyone</v>
      </c>
      <c r="E28" s="62">
        <f t="shared" si="3"/>
        <v>28</v>
      </c>
      <c r="F28" s="62" t="s">
        <v>208</v>
      </c>
      <c r="G28" s="62">
        <v>121</v>
      </c>
      <c r="H28" s="62">
        <v>1</v>
      </c>
      <c r="I28" s="62">
        <v>1</v>
      </c>
      <c r="J28" s="62">
        <v>1</v>
      </c>
      <c r="K28" s="62">
        <v>0</v>
      </c>
      <c r="L28" s="62">
        <v>0</v>
      </c>
      <c r="M28" s="62">
        <v>0</v>
      </c>
      <c r="N28" s="62">
        <v>0</v>
      </c>
      <c r="O28" s="62">
        <v>1</v>
      </c>
      <c r="P28" s="342">
        <v>50</v>
      </c>
      <c r="Q28" s="62" t="s">
        <v>170</v>
      </c>
      <c r="R28" s="250" t="s">
        <v>171</v>
      </c>
    </row>
    <row r="29" spans="1:18" x14ac:dyDescent="0.15">
      <c r="A29" s="62">
        <v>30021</v>
      </c>
      <c r="B29" s="62">
        <v>3</v>
      </c>
      <c r="C29" s="249" t="str">
        <f t="shared" si="4"/>
        <v>30021_3</v>
      </c>
      <c r="D29" s="249" t="str">
        <f>VLOOKUP(C29,[2]stages!$A:$AE,31,FALSE)</f>
        <v>everyone</v>
      </c>
      <c r="E29" s="62">
        <f t="shared" si="3"/>
        <v>29</v>
      </c>
      <c r="F29" s="62" t="s">
        <v>208</v>
      </c>
      <c r="G29" s="62">
        <v>122</v>
      </c>
      <c r="H29" s="62">
        <v>1</v>
      </c>
      <c r="I29" s="62">
        <v>1</v>
      </c>
      <c r="J29" s="62">
        <v>1</v>
      </c>
      <c r="K29" s="62">
        <v>0</v>
      </c>
      <c r="L29" s="62">
        <v>0</v>
      </c>
      <c r="M29" s="62">
        <v>0</v>
      </c>
      <c r="N29" s="62">
        <v>0</v>
      </c>
      <c r="O29" s="62">
        <v>1</v>
      </c>
      <c r="P29" s="342">
        <v>50</v>
      </c>
      <c r="Q29" s="62" t="s">
        <v>170</v>
      </c>
      <c r="R29" s="250" t="s">
        <v>171</v>
      </c>
    </row>
    <row r="30" spans="1:18" x14ac:dyDescent="0.15">
      <c r="A30" s="62">
        <v>30021</v>
      </c>
      <c r="B30" s="62">
        <v>3</v>
      </c>
      <c r="C30" s="249" t="str">
        <f t="shared" si="4"/>
        <v>30021_3</v>
      </c>
      <c r="D30" s="249" t="str">
        <f>VLOOKUP(C30,[2]stages!$A:$AE,31,FALSE)</f>
        <v>everyone</v>
      </c>
      <c r="E30" s="62">
        <f t="shared" si="3"/>
        <v>30</v>
      </c>
      <c r="F30" s="62" t="s">
        <v>206</v>
      </c>
      <c r="G30" s="62">
        <v>123</v>
      </c>
      <c r="H30" s="62">
        <v>1</v>
      </c>
      <c r="I30" s="62">
        <v>1</v>
      </c>
      <c r="J30" s="62">
        <v>1</v>
      </c>
      <c r="K30" s="62">
        <v>0</v>
      </c>
      <c r="L30" s="62">
        <v>0</v>
      </c>
      <c r="M30" s="62">
        <v>0</v>
      </c>
      <c r="N30" s="62">
        <v>0</v>
      </c>
      <c r="O30" s="62">
        <v>1</v>
      </c>
      <c r="P30" s="342">
        <v>50</v>
      </c>
      <c r="Q30" s="62" t="s">
        <v>170</v>
      </c>
      <c r="R30" s="250" t="s">
        <v>171</v>
      </c>
    </row>
    <row r="31" spans="1:18" x14ac:dyDescent="0.15">
      <c r="A31" s="62">
        <v>30021</v>
      </c>
      <c r="B31" s="62">
        <v>3</v>
      </c>
      <c r="C31" s="249" t="str">
        <f t="shared" si="4"/>
        <v>30021_3</v>
      </c>
      <c r="D31" s="249" t="str">
        <f>VLOOKUP(C31,[2]stages!$A:$AE,31,FALSE)</f>
        <v>everyone</v>
      </c>
      <c r="E31" s="62">
        <f t="shared" si="3"/>
        <v>31</v>
      </c>
      <c r="F31" s="62" t="s">
        <v>206</v>
      </c>
      <c r="G31" s="62">
        <v>125</v>
      </c>
      <c r="H31" s="62">
        <v>1</v>
      </c>
      <c r="I31" s="62">
        <v>1</v>
      </c>
      <c r="J31" s="62">
        <v>1</v>
      </c>
      <c r="K31" s="62">
        <v>0</v>
      </c>
      <c r="L31" s="62">
        <v>0</v>
      </c>
      <c r="M31" s="62">
        <v>0</v>
      </c>
      <c r="N31" s="62">
        <v>0</v>
      </c>
      <c r="O31" s="62">
        <v>1</v>
      </c>
      <c r="P31" s="342">
        <v>10</v>
      </c>
      <c r="Q31" s="62" t="s">
        <v>170</v>
      </c>
      <c r="R31" s="250" t="s">
        <v>171</v>
      </c>
    </row>
    <row r="32" spans="1:18" x14ac:dyDescent="0.15">
      <c r="A32" s="62">
        <v>30021</v>
      </c>
      <c r="B32" s="62">
        <v>3</v>
      </c>
      <c r="C32" s="249" t="str">
        <f t="shared" si="4"/>
        <v>30021_3</v>
      </c>
      <c r="D32" s="249" t="str">
        <f>VLOOKUP(C32,[2]stages!$A:$AE,31,FALSE)</f>
        <v>everyone</v>
      </c>
      <c r="E32" s="62">
        <f t="shared" si="3"/>
        <v>32</v>
      </c>
      <c r="F32" s="62" t="s">
        <v>206</v>
      </c>
      <c r="G32" s="62">
        <v>502</v>
      </c>
      <c r="H32" s="62">
        <v>1</v>
      </c>
      <c r="I32" s="62">
        <v>1</v>
      </c>
      <c r="J32" s="62">
        <v>1</v>
      </c>
      <c r="K32" s="62">
        <v>0</v>
      </c>
      <c r="L32" s="62">
        <v>0</v>
      </c>
      <c r="M32" s="62">
        <v>0</v>
      </c>
      <c r="N32" s="62">
        <v>0</v>
      </c>
      <c r="O32" s="62">
        <v>1</v>
      </c>
      <c r="P32" s="342">
        <v>400</v>
      </c>
      <c r="Q32" s="62" t="s">
        <v>170</v>
      </c>
      <c r="R32" s="250" t="s">
        <v>171</v>
      </c>
    </row>
    <row r="33" spans="1:18" x14ac:dyDescent="0.15">
      <c r="A33" s="62">
        <v>30021</v>
      </c>
      <c r="B33" s="62">
        <v>3</v>
      </c>
      <c r="C33" s="249" t="str">
        <f t="shared" si="4"/>
        <v>30021_3</v>
      </c>
      <c r="D33" s="249" t="str">
        <f>VLOOKUP(C33,[2]stages!$A:$AE,31,FALSE)</f>
        <v>everyone</v>
      </c>
      <c r="E33" s="62">
        <f t="shared" si="3"/>
        <v>33</v>
      </c>
      <c r="F33" s="62" t="s">
        <v>206</v>
      </c>
      <c r="G33" s="62">
        <v>348</v>
      </c>
      <c r="H33" s="62">
        <v>1</v>
      </c>
      <c r="I33" s="62">
        <v>1</v>
      </c>
      <c r="J33" s="62">
        <v>1</v>
      </c>
      <c r="K33" s="62">
        <v>0</v>
      </c>
      <c r="L33" s="62">
        <v>0</v>
      </c>
      <c r="M33" s="62">
        <v>0</v>
      </c>
      <c r="N33" s="62">
        <v>0</v>
      </c>
      <c r="O33" s="62">
        <v>1</v>
      </c>
      <c r="P33" s="342">
        <v>100</v>
      </c>
      <c r="Q33" s="62" t="s">
        <v>170</v>
      </c>
      <c r="R33" s="250" t="s">
        <v>171</v>
      </c>
    </row>
  </sheetData>
  <phoneticPr fontId="5"/>
  <dataValidations count="1">
    <dataValidation type="list" allowBlank="1" showInputMessage="1" showErrorMessage="1" sqref="F2:F33">
      <formula1>"bit,link,polygon,unit"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O116"/>
  <sheetViews>
    <sheetView showGridLines="0" workbookViewId="0">
      <pane ySplit="1" topLeftCell="A38" activePane="bottomLeft" state="frozen"/>
      <selection pane="bottomLeft" activeCell="N51" sqref="N51"/>
    </sheetView>
  </sheetViews>
  <sheetFormatPr baseColWidth="12" defaultColWidth="13" defaultRowHeight="15" outlineLevelCol="1" x14ac:dyDescent="0.15"/>
  <cols>
    <col min="2" max="2" width="13" style="70"/>
    <col min="3" max="3" width="13" collapsed="1"/>
    <col min="4" max="4" width="17" hidden="1" customWidth="1" outlineLevel="1"/>
    <col min="5" max="5" width="18.83203125" hidden="1" customWidth="1" outlineLevel="1"/>
    <col min="6" max="6" width="13" collapsed="1"/>
    <col min="7" max="7" width="22.5" hidden="1" customWidth="1" outlineLevel="1"/>
    <col min="8" max="8" width="22" hidden="1" customWidth="1" outlineLevel="1"/>
    <col min="9" max="9" width="22" customWidth="1"/>
    <col min="10" max="10" width="11.1640625" bestFit="1" customWidth="1"/>
    <col min="11" max="13" width="11.1640625" customWidth="1"/>
    <col min="14" max="14" width="42.6640625" customWidth="1"/>
  </cols>
  <sheetData>
    <row r="1" spans="1:15" x14ac:dyDescent="0.15">
      <c r="A1" s="54" t="s">
        <v>60</v>
      </c>
      <c r="B1" s="55" t="s">
        <v>186</v>
      </c>
      <c r="C1" s="48" t="s">
        <v>187</v>
      </c>
      <c r="D1" s="56" t="s">
        <v>188</v>
      </c>
      <c r="E1" s="56" t="s">
        <v>33</v>
      </c>
      <c r="F1" s="48" t="s">
        <v>189</v>
      </c>
      <c r="G1" s="56" t="s">
        <v>190</v>
      </c>
      <c r="H1" s="56" t="s">
        <v>33</v>
      </c>
      <c r="I1" s="48" t="s">
        <v>191</v>
      </c>
      <c r="J1" s="71" t="s">
        <v>192</v>
      </c>
      <c r="K1" s="57" t="s">
        <v>193</v>
      </c>
      <c r="L1" s="58" t="s">
        <v>127</v>
      </c>
      <c r="M1" s="58" t="s">
        <v>185</v>
      </c>
      <c r="N1" s="59" t="s">
        <v>183</v>
      </c>
      <c r="O1" s="60" t="s">
        <v>194</v>
      </c>
    </row>
    <row r="2" spans="1:15" x14ac:dyDescent="0.15">
      <c r="A2" s="61" t="str">
        <f t="shared" ref="A2:A59" si="0">C2&amp;"_"&amp;F2&amp;"_"&amp;J2</f>
        <v>30021_1_1</v>
      </c>
      <c r="B2" s="62" t="s">
        <v>213</v>
      </c>
      <c r="C2" s="63">
        <f>floors!$C$2</f>
        <v>30021</v>
      </c>
      <c r="D2" s="64" t="s">
        <v>214</v>
      </c>
      <c r="E2" s="64" t="s">
        <v>215</v>
      </c>
      <c r="F2" s="65">
        <v>1</v>
      </c>
      <c r="G2" s="64" t="s">
        <v>216</v>
      </c>
      <c r="H2" s="64" t="s">
        <v>215</v>
      </c>
      <c r="I2" s="66">
        <v>0</v>
      </c>
      <c r="J2" s="72">
        <f t="shared" ref="J2:J60" si="1">ROW()-1</f>
        <v>1</v>
      </c>
      <c r="K2">
        <v>1</v>
      </c>
      <c r="L2" s="65" t="s">
        <v>212</v>
      </c>
      <c r="M2" s="322" t="str">
        <f>VLOOKUP(K2,[6]stage_hints!$A:$C,3,FALSE)</f>
        <v>長くつなげて大ダメージ</v>
      </c>
      <c r="N2" s="323" t="str">
        <f>VLOOKUP(K2,[6]stage_hints!$A:$D,4,FALSE)</f>
        <v>パネルを長くつなげるほど_x000D_大ダメージを与えることができます</v>
      </c>
      <c r="O2" s="36" t="s">
        <v>198</v>
      </c>
    </row>
    <row r="3" spans="1:15" x14ac:dyDescent="0.15">
      <c r="A3" s="61" t="str">
        <f t="shared" si="0"/>
        <v>30021_1_2</v>
      </c>
      <c r="B3" s="62" t="s">
        <v>213</v>
      </c>
      <c r="C3" s="63">
        <f>floors!$C$2</f>
        <v>30021</v>
      </c>
      <c r="D3" s="64" t="s">
        <v>214</v>
      </c>
      <c r="E3" s="64" t="s">
        <v>215</v>
      </c>
      <c r="F3" s="65">
        <v>1</v>
      </c>
      <c r="G3" s="64" t="s">
        <v>216</v>
      </c>
      <c r="H3" s="64" t="s">
        <v>215</v>
      </c>
      <c r="I3" s="66">
        <v>0</v>
      </c>
      <c r="J3" s="72">
        <f t="shared" si="1"/>
        <v>2</v>
      </c>
      <c r="K3">
        <v>2</v>
      </c>
      <c r="L3" s="65" t="s">
        <v>212</v>
      </c>
      <c r="M3" s="322" t="str">
        <f>VLOOKUP(K3,[6]stage_hints!$A:$C,3,FALSE)</f>
        <v>属性の相性</v>
      </c>
      <c r="N3" s="323" t="str">
        <f>VLOOKUP(K3,[6]stage_hints!$A:$D,4,FALSE)</f>
        <v>赤＞青　青＞黄　黄＞緑　緑＞赤_x000D_敵属性に最適なパーティがオススメです</v>
      </c>
      <c r="O3" s="36" t="s">
        <v>198</v>
      </c>
    </row>
    <row r="4" spans="1:15" x14ac:dyDescent="0.15">
      <c r="A4" s="61" t="str">
        <f t="shared" si="0"/>
        <v>30021_1_3</v>
      </c>
      <c r="B4" s="62" t="s">
        <v>213</v>
      </c>
      <c r="C4" s="63">
        <f>floors!$C$2</f>
        <v>30021</v>
      </c>
      <c r="D4" s="64" t="s">
        <v>214</v>
      </c>
      <c r="E4" s="64" t="s">
        <v>215</v>
      </c>
      <c r="F4" s="65">
        <v>1</v>
      </c>
      <c r="G4" s="64" t="s">
        <v>216</v>
      </c>
      <c r="H4" s="64" t="s">
        <v>215</v>
      </c>
      <c r="I4" s="66">
        <v>0</v>
      </c>
      <c r="J4" s="72">
        <f t="shared" si="1"/>
        <v>3</v>
      </c>
      <c r="K4">
        <v>3</v>
      </c>
      <c r="L4" s="65" t="s">
        <v>212</v>
      </c>
      <c r="M4" s="322" t="str">
        <f>VLOOKUP(K4,[6]stage_hints!$A:$C,3,FALSE)</f>
        <v>ターゲット</v>
      </c>
      <c r="N4" s="323" t="str">
        <f>VLOOKUP(K4,[6]stage_hints!$A:$D,4,FALSE)</f>
        <v>敵ユニットをタップすると_x000D_その敵を狙い撃ちできます</v>
      </c>
      <c r="O4" s="36" t="s">
        <v>198</v>
      </c>
    </row>
    <row r="5" spans="1:15" x14ac:dyDescent="0.15">
      <c r="A5" s="61" t="str">
        <f t="shared" si="0"/>
        <v>30021_1_4</v>
      </c>
      <c r="B5" s="62" t="s">
        <v>213</v>
      </c>
      <c r="C5" s="63">
        <f>floors!$C$2</f>
        <v>30021</v>
      </c>
      <c r="D5" s="64" t="s">
        <v>214</v>
      </c>
      <c r="E5" s="64" t="s">
        <v>215</v>
      </c>
      <c r="F5" s="65">
        <v>1</v>
      </c>
      <c r="G5" s="64" t="s">
        <v>216</v>
      </c>
      <c r="H5" s="64" t="s">
        <v>215</v>
      </c>
      <c r="I5" s="66">
        <v>0</v>
      </c>
      <c r="J5" s="72">
        <f t="shared" si="1"/>
        <v>4</v>
      </c>
      <c r="K5">
        <v>4</v>
      </c>
      <c r="L5" s="65" t="s">
        <v>212</v>
      </c>
      <c r="M5" s="322" t="str">
        <f>VLOOKUP(K5,[6]stage_hints!$A:$C,3,FALSE)</f>
        <v>ボーナスクエスト</v>
      </c>
      <c r="N5" s="323" t="str">
        <f>VLOOKUP(K5,[6]stage_hints!$A:$D,4,FALSE)</f>
        <v>ノーマルクエストを進めると_x000D_嬉しいボーナスクエストが登場します</v>
      </c>
      <c r="O5" s="36" t="s">
        <v>198</v>
      </c>
    </row>
    <row r="6" spans="1:15" x14ac:dyDescent="0.15">
      <c r="A6" s="61" t="str">
        <f t="shared" si="0"/>
        <v>30021_1_5</v>
      </c>
      <c r="B6" s="62" t="s">
        <v>213</v>
      </c>
      <c r="C6" s="63">
        <f>floors!$C$2</f>
        <v>30021</v>
      </c>
      <c r="D6" s="64" t="s">
        <v>214</v>
      </c>
      <c r="E6" s="64" t="s">
        <v>215</v>
      </c>
      <c r="F6" s="65">
        <v>1</v>
      </c>
      <c r="G6" s="64" t="s">
        <v>216</v>
      </c>
      <c r="H6" s="64" t="s">
        <v>215</v>
      </c>
      <c r="I6" s="66">
        <v>0</v>
      </c>
      <c r="J6" s="72">
        <f t="shared" si="1"/>
        <v>5</v>
      </c>
      <c r="K6">
        <v>5</v>
      </c>
      <c r="L6" s="65" t="s">
        <v>212</v>
      </c>
      <c r="M6" s="322" t="str">
        <f>VLOOKUP(K6,[6]stage_hints!$A:$C,3,FALSE)</f>
        <v>ユニット強化でレベルアップ</v>
      </c>
      <c r="N6" s="323" t="str">
        <f>VLOOKUP(K6,[6]stage_hints!$A:$D,4,FALSE)</f>
        <v>「ユニット強化」でレベルアップすると_x000D_勝てない敵にも勝てるようになります</v>
      </c>
      <c r="O6" s="36" t="s">
        <v>198</v>
      </c>
    </row>
    <row r="7" spans="1:15" x14ac:dyDescent="0.15">
      <c r="A7" s="61" t="str">
        <f t="shared" si="0"/>
        <v>30021_1_6</v>
      </c>
      <c r="B7" s="62" t="s">
        <v>213</v>
      </c>
      <c r="C7" s="63">
        <f>floors!$C$2</f>
        <v>30021</v>
      </c>
      <c r="D7" s="64" t="s">
        <v>214</v>
      </c>
      <c r="E7" s="64" t="s">
        <v>215</v>
      </c>
      <c r="F7" s="65">
        <v>1</v>
      </c>
      <c r="G7" s="64" t="s">
        <v>216</v>
      </c>
      <c r="H7" s="64" t="s">
        <v>215</v>
      </c>
      <c r="I7" s="66">
        <v>0</v>
      </c>
      <c r="J7" s="72">
        <f t="shared" si="1"/>
        <v>6</v>
      </c>
      <c r="K7">
        <v>6</v>
      </c>
      <c r="L7" s="65" t="s">
        <v>212</v>
      </c>
      <c r="M7" s="322" t="str">
        <f>VLOOKUP(K7,[6]stage_hints!$A:$C,3,FALSE)</f>
        <v>ユニット強化の属性ボーナス</v>
      </c>
      <c r="N7" s="323" t="str">
        <f>VLOOKUP(K7,[6]stage_hints!$A:$D,4,FALSE)</f>
        <v>同属性ユニットを強化素材にすると_x000D_経験値が多くもらえます</v>
      </c>
      <c r="O7" s="36" t="s">
        <v>198</v>
      </c>
    </row>
    <row r="8" spans="1:15" x14ac:dyDescent="0.15">
      <c r="A8" s="61" t="str">
        <f t="shared" si="0"/>
        <v>30021_1_7</v>
      </c>
      <c r="B8" s="62" t="s">
        <v>213</v>
      </c>
      <c r="C8" s="63">
        <f>floors!$C$2</f>
        <v>30021</v>
      </c>
      <c r="D8" s="64" t="s">
        <v>214</v>
      </c>
      <c r="E8" s="64" t="s">
        <v>215</v>
      </c>
      <c r="F8" s="65">
        <v>1</v>
      </c>
      <c r="G8" s="64" t="s">
        <v>216</v>
      </c>
      <c r="H8" s="64" t="s">
        <v>215</v>
      </c>
      <c r="I8" s="66">
        <v>0</v>
      </c>
      <c r="J8" s="72">
        <f t="shared" si="1"/>
        <v>7</v>
      </c>
      <c r="K8">
        <v>7</v>
      </c>
      <c r="L8" s="65" t="s">
        <v>212</v>
      </c>
      <c r="M8" s="322" t="str">
        <f>VLOOKUP(K8,[6]stage_hints!$A:$C,3,FALSE)</f>
        <v>メタルダックで経験値を獲得</v>
      </c>
      <c r="N8" s="323" t="str">
        <f>VLOOKUP(K8,[6]stage_hints!$A:$D,4,FALSE)</f>
        <v>「メタルなアヒル」を強化素材にすると_x000D_大量の経験値がもらえます</v>
      </c>
      <c r="O8" s="36" t="s">
        <v>198</v>
      </c>
    </row>
    <row r="9" spans="1:15" x14ac:dyDescent="0.15">
      <c r="A9" s="61" t="str">
        <f t="shared" si="0"/>
        <v>30021_1_8</v>
      </c>
      <c r="B9" s="62" t="s">
        <v>213</v>
      </c>
      <c r="C9" s="63">
        <f>floors!$C$2</f>
        <v>30021</v>
      </c>
      <c r="D9" s="64" t="s">
        <v>214</v>
      </c>
      <c r="E9" s="64" t="s">
        <v>215</v>
      </c>
      <c r="F9" s="65">
        <v>1</v>
      </c>
      <c r="G9" s="64" t="s">
        <v>216</v>
      </c>
      <c r="H9" s="64" t="s">
        <v>215</v>
      </c>
      <c r="I9" s="66">
        <v>0</v>
      </c>
      <c r="J9" s="72">
        <f t="shared" si="1"/>
        <v>8</v>
      </c>
      <c r="K9">
        <v>8</v>
      </c>
      <c r="L9" s="65" t="s">
        <v>212</v>
      </c>
      <c r="M9" s="322" t="str">
        <f>VLOOKUP(K9,[6]stage_hints!$A:$C,3,FALSE)</f>
        <v>ゲリラクエストは要チェック</v>
      </c>
      <c r="N9" s="323" t="str">
        <f>VLOOKUP(K9,[6]stage_hints!$A:$D,4,FALSE)</f>
        <v>時間限定の「アヒル捕獲作戦」では_x000D_経験値素材ユニットが多く手に入ります</v>
      </c>
      <c r="O9" s="36" t="s">
        <v>198</v>
      </c>
    </row>
    <row r="10" spans="1:15" x14ac:dyDescent="0.15">
      <c r="A10" s="61" t="str">
        <f t="shared" si="0"/>
        <v>30021_1_9</v>
      </c>
      <c r="B10" s="62" t="s">
        <v>213</v>
      </c>
      <c r="C10" s="63">
        <f>floors!$C$2</f>
        <v>30021</v>
      </c>
      <c r="D10" s="64" t="s">
        <v>214</v>
      </c>
      <c r="E10" s="64" t="s">
        <v>215</v>
      </c>
      <c r="F10" s="65">
        <v>1</v>
      </c>
      <c r="G10" s="64" t="s">
        <v>216</v>
      </c>
      <c r="H10" s="64" t="s">
        <v>215</v>
      </c>
      <c r="I10" s="66">
        <v>0</v>
      </c>
      <c r="J10" s="72">
        <f t="shared" si="1"/>
        <v>9</v>
      </c>
      <c r="K10">
        <v>9</v>
      </c>
      <c r="L10" s="65" t="s">
        <v>212</v>
      </c>
      <c r="M10" s="322" t="str">
        <f>VLOOKUP(K10,[6]stage_hints!$A:$C,3,FALSE)</f>
        <v>ゴールドダックでビットを獲得</v>
      </c>
      <c r="N10" s="323" t="str">
        <f>VLOOKUP(K10,[6]stage_hints!$A:$D,4,FALSE)</f>
        <v>「ゴールドなアヒル」を売却すると_x000D_大量のビットがもらえます</v>
      </c>
      <c r="O10" s="36" t="s">
        <v>198</v>
      </c>
    </row>
    <row r="11" spans="1:15" x14ac:dyDescent="0.15">
      <c r="A11" s="61" t="str">
        <f t="shared" si="0"/>
        <v>30021_1_10</v>
      </c>
      <c r="B11" s="62" t="s">
        <v>213</v>
      </c>
      <c r="C11" s="63">
        <f>floors!$C$2</f>
        <v>30021</v>
      </c>
      <c r="D11" s="64" t="s">
        <v>214</v>
      </c>
      <c r="E11" s="64" t="s">
        <v>215</v>
      </c>
      <c r="F11" s="65">
        <v>1</v>
      </c>
      <c r="G11" s="64" t="s">
        <v>216</v>
      </c>
      <c r="H11" s="64" t="s">
        <v>215</v>
      </c>
      <c r="I11" s="66">
        <v>0</v>
      </c>
      <c r="J11" s="72">
        <f t="shared" si="1"/>
        <v>10</v>
      </c>
      <c r="K11">
        <v>10</v>
      </c>
      <c r="L11" s="65" t="s">
        <v>212</v>
      </c>
      <c r="M11" s="322" t="str">
        <f>VLOOKUP(K11,[6]stage_hints!$A:$C,3,FALSE)</f>
        <v>土日に大量のビットを獲得</v>
      </c>
      <c r="N11" s="323" t="str">
        <f>VLOOKUP(K11,[6]stage_hints!$A:$D,4,FALSE)</f>
        <v>土日限定の「ゴールドカジノ」では_x000D_売却素材ユニットが多く手に入ります</v>
      </c>
      <c r="O11" s="36" t="s">
        <v>198</v>
      </c>
    </row>
    <row r="12" spans="1:15" x14ac:dyDescent="0.15">
      <c r="A12" s="61" t="str">
        <f t="shared" si="0"/>
        <v>30021_1_11</v>
      </c>
      <c r="B12" s="62" t="s">
        <v>213</v>
      </c>
      <c r="C12" s="63">
        <f>floors!$C$2</f>
        <v>30021</v>
      </c>
      <c r="D12" s="64" t="s">
        <v>214</v>
      </c>
      <c r="E12" s="64" t="s">
        <v>215</v>
      </c>
      <c r="F12" s="65">
        <v>1</v>
      </c>
      <c r="G12" s="64" t="s">
        <v>216</v>
      </c>
      <c r="H12" s="64" t="s">
        <v>215</v>
      </c>
      <c r="I12" s="66">
        <v>0</v>
      </c>
      <c r="J12" s="72">
        <f t="shared" si="1"/>
        <v>11</v>
      </c>
      <c r="K12">
        <v>11</v>
      </c>
      <c r="L12" s="65" t="s">
        <v>212</v>
      </c>
      <c r="M12" s="322" t="str">
        <f>VLOOKUP(K12,[6]stage_hints!$A:$C,3,FALSE)</f>
        <v>ランク解放クエスト</v>
      </c>
      <c r="N12" s="323" t="str">
        <f>VLOOKUP(K12,[6]stage_hints!$A:$D,4,FALSE)</f>
        <v>一定ランクに到達すると_x000D_報酬付きのランク開放クエストが現れます</v>
      </c>
      <c r="O12" s="36" t="s">
        <v>198</v>
      </c>
    </row>
    <row r="13" spans="1:15" x14ac:dyDescent="0.15">
      <c r="A13" s="61" t="str">
        <f t="shared" si="0"/>
        <v>30021_1_12</v>
      </c>
      <c r="B13" s="62" t="s">
        <v>213</v>
      </c>
      <c r="C13" s="63">
        <f>floors!$C$2</f>
        <v>30021</v>
      </c>
      <c r="D13" s="64" t="s">
        <v>214</v>
      </c>
      <c r="E13" s="64" t="s">
        <v>215</v>
      </c>
      <c r="F13" s="65">
        <v>1</v>
      </c>
      <c r="G13" s="64" t="s">
        <v>216</v>
      </c>
      <c r="H13" s="64" t="s">
        <v>215</v>
      </c>
      <c r="I13" s="66">
        <v>0</v>
      </c>
      <c r="J13" s="72">
        <f t="shared" si="1"/>
        <v>12</v>
      </c>
      <c r="K13">
        <v>12</v>
      </c>
      <c r="L13" s="65" t="s">
        <v>212</v>
      </c>
      <c r="M13" s="322" t="str">
        <f>VLOOKUP(K13,[6]stage_hints!$A:$C,3,FALSE)</f>
        <v>ユニットのお気に入り登録</v>
      </c>
      <c r="N13" s="323" t="str">
        <f>VLOOKUP(K13,[6]stage_hints!$A:$D,4,FALSE)</f>
        <v>大事なユニットを誤って消さないように_x000D_フォルダから「お気に入り登録」しましょう</v>
      </c>
      <c r="O13" s="36" t="s">
        <v>198</v>
      </c>
    </row>
    <row r="14" spans="1:15" x14ac:dyDescent="0.15">
      <c r="A14" s="61" t="str">
        <f t="shared" si="0"/>
        <v>30021_1_13</v>
      </c>
      <c r="B14" s="62" t="s">
        <v>213</v>
      </c>
      <c r="C14" s="63">
        <f>floors!$C$2</f>
        <v>30021</v>
      </c>
      <c r="D14" s="64" t="s">
        <v>214</v>
      </c>
      <c r="E14" s="64" t="s">
        <v>215</v>
      </c>
      <c r="F14" s="65">
        <v>1</v>
      </c>
      <c r="G14" s="64" t="s">
        <v>216</v>
      </c>
      <c r="H14" s="64" t="s">
        <v>215</v>
      </c>
      <c r="I14" s="66">
        <v>0</v>
      </c>
      <c r="J14" s="72">
        <f t="shared" si="1"/>
        <v>13</v>
      </c>
      <c r="K14">
        <v>13</v>
      </c>
      <c r="L14" s="65" t="s">
        <v>212</v>
      </c>
      <c r="M14" s="322" t="str">
        <f>VLOOKUP(K14,[6]stage_hints!$A:$C,3,FALSE)</f>
        <v>ユニットの覚醒</v>
      </c>
      <c r="N14" s="323" t="str">
        <f>VLOOKUP(K14,[6]stage_hints!$A:$D,4,FALSE)</f>
        <v>ユニットを覚醒させると_x000D_比べものにならない強さが手に入ります</v>
      </c>
      <c r="O14" s="36" t="s">
        <v>198</v>
      </c>
    </row>
    <row r="15" spans="1:15" x14ac:dyDescent="0.15">
      <c r="A15" s="61" t="str">
        <f t="shared" si="0"/>
        <v>30021_1_14</v>
      </c>
      <c r="B15" s="62" t="s">
        <v>213</v>
      </c>
      <c r="C15" s="63">
        <f>floors!$C$2</f>
        <v>30021</v>
      </c>
      <c r="D15" s="64" t="s">
        <v>214</v>
      </c>
      <c r="E15" s="64" t="s">
        <v>215</v>
      </c>
      <c r="F15" s="65">
        <v>1</v>
      </c>
      <c r="G15" s="64" t="s">
        <v>216</v>
      </c>
      <c r="H15" s="64" t="s">
        <v>215</v>
      </c>
      <c r="I15" s="66">
        <v>0</v>
      </c>
      <c r="J15" s="72">
        <f t="shared" si="1"/>
        <v>14</v>
      </c>
      <c r="K15">
        <v>14</v>
      </c>
      <c r="L15" s="65" t="s">
        <v>212</v>
      </c>
      <c r="M15" s="322" t="str">
        <f>VLOOKUP(K15,[6]stage_hints!$A:$C,3,FALSE)</f>
        <v>覚醒するにはレベルを最大に</v>
      </c>
      <c r="N15" s="323" t="str">
        <f>VLOOKUP(K15,[6]stage_hints!$A:$D,4,FALSE)</f>
        <v>覚醒するにはユニットのレベルを_x000D_最大まで上げる必要があります</v>
      </c>
      <c r="O15" s="36" t="s">
        <v>198</v>
      </c>
    </row>
    <row r="16" spans="1:15" x14ac:dyDescent="0.15">
      <c r="A16" s="61" t="str">
        <f t="shared" si="0"/>
        <v>30021_1_15</v>
      </c>
      <c r="B16" s="62" t="s">
        <v>213</v>
      </c>
      <c r="C16" s="63">
        <f>floors!$C$2</f>
        <v>30021</v>
      </c>
      <c r="D16" s="64" t="s">
        <v>214</v>
      </c>
      <c r="E16" s="64" t="s">
        <v>215</v>
      </c>
      <c r="F16" s="65">
        <v>1</v>
      </c>
      <c r="G16" s="64" t="s">
        <v>216</v>
      </c>
      <c r="H16" s="64" t="s">
        <v>215</v>
      </c>
      <c r="I16" s="66">
        <v>0</v>
      </c>
      <c r="J16" s="72">
        <f t="shared" si="1"/>
        <v>15</v>
      </c>
      <c r="K16">
        <v>15</v>
      </c>
      <c r="L16" s="65" t="s">
        <v>212</v>
      </c>
      <c r="M16" s="322" t="str">
        <f>VLOOKUP(K16,[6]stage_hints!$A:$C,3,FALSE)</f>
        <v>覚醒素材を獲得</v>
      </c>
      <c r="N16" s="323" t="str">
        <f>VLOOKUP(K16,[6]stage_hints!$A:$D,4,FALSE)</f>
        <v>「曜日クエスト」では_x000D_ユニットの覚醒に必要な素材が手に入ります</v>
      </c>
      <c r="O16" s="36" t="s">
        <v>198</v>
      </c>
    </row>
    <row r="17" spans="1:15" x14ac:dyDescent="0.15">
      <c r="A17" s="61" t="str">
        <f t="shared" si="0"/>
        <v>30021_1_16</v>
      </c>
      <c r="B17" s="62" t="s">
        <v>213</v>
      </c>
      <c r="C17" s="63">
        <f>floors!$C$2</f>
        <v>30021</v>
      </c>
      <c r="D17" s="64" t="s">
        <v>214</v>
      </c>
      <c r="E17" s="64" t="s">
        <v>215</v>
      </c>
      <c r="F17" s="65">
        <v>1</v>
      </c>
      <c r="G17" s="64" t="s">
        <v>216</v>
      </c>
      <c r="H17" s="64" t="s">
        <v>215</v>
      </c>
      <c r="I17" s="66">
        <v>0</v>
      </c>
      <c r="J17" s="72">
        <f t="shared" si="1"/>
        <v>16</v>
      </c>
      <c r="K17">
        <v>16</v>
      </c>
      <c r="L17" s="65" t="s">
        <v>212</v>
      </c>
      <c r="M17" s="322" t="str">
        <f>VLOOKUP(K17,[6]stage_hints!$A:$C,3,FALSE)</f>
        <v>マルチプレイのメリット（その1）</v>
      </c>
      <c r="N17" s="323" t="str">
        <f>VLOOKUP(K17,[6]stage_hints!$A:$D,4,FALSE)</f>
        <v>他のプレイヤーとマルチプレイで遊ぶと_x000D_ポリゴンがもらえます（100人まで）</v>
      </c>
      <c r="O17" s="36" t="s">
        <v>198</v>
      </c>
    </row>
    <row r="18" spans="1:15" x14ac:dyDescent="0.15">
      <c r="A18" s="61" t="str">
        <f t="shared" si="0"/>
        <v>30021_1_17</v>
      </c>
      <c r="B18" s="62" t="s">
        <v>213</v>
      </c>
      <c r="C18" s="63">
        <f>floors!$C$2</f>
        <v>30021</v>
      </c>
      <c r="D18" s="64" t="s">
        <v>214</v>
      </c>
      <c r="E18" s="64" t="s">
        <v>215</v>
      </c>
      <c r="F18" s="65">
        <v>1</v>
      </c>
      <c r="G18" s="64" t="s">
        <v>216</v>
      </c>
      <c r="H18" s="64" t="s">
        <v>215</v>
      </c>
      <c r="I18" s="66">
        <v>0</v>
      </c>
      <c r="J18" s="72">
        <f t="shared" si="1"/>
        <v>17</v>
      </c>
      <c r="K18">
        <v>17</v>
      </c>
      <c r="L18" s="65" t="s">
        <v>212</v>
      </c>
      <c r="M18" s="322" t="str">
        <f>VLOOKUP(K18,[6]stage_hints!$A:$C,3,FALSE)</f>
        <v>リンクガチャ</v>
      </c>
      <c r="N18" s="323" t="str">
        <f>VLOOKUP(K18,[6]stage_hints!$A:$D,4,FALSE)</f>
        <v>無料のリンクガチャを回して_x000D_経験値素材や売却素材を獲得しましょう</v>
      </c>
      <c r="O18" s="36" t="s">
        <v>198</v>
      </c>
    </row>
    <row r="19" spans="1:15" x14ac:dyDescent="0.15">
      <c r="A19" s="61" t="str">
        <f t="shared" si="0"/>
        <v>30021_1_18</v>
      </c>
      <c r="B19" s="62" t="s">
        <v>213</v>
      </c>
      <c r="C19" s="63">
        <f>floors!$C$2</f>
        <v>30021</v>
      </c>
      <c r="D19" s="64" t="s">
        <v>214</v>
      </c>
      <c r="E19" s="64" t="s">
        <v>215</v>
      </c>
      <c r="F19" s="65">
        <v>1</v>
      </c>
      <c r="G19" s="64" t="s">
        <v>216</v>
      </c>
      <c r="H19" s="64" t="s">
        <v>215</v>
      </c>
      <c r="I19" s="66">
        <v>0</v>
      </c>
      <c r="J19" s="72">
        <f t="shared" si="1"/>
        <v>18</v>
      </c>
      <c r="K19">
        <v>18</v>
      </c>
      <c r="L19" s="65" t="s">
        <v>212</v>
      </c>
      <c r="M19" s="322" t="str">
        <f>VLOOKUP(K19,[6]stage_hints!$A:$C,3,FALSE)</f>
        <v>マルチプレイのメリット（その2）</v>
      </c>
      <c r="N19" s="323" t="str">
        <f>VLOOKUP(K19,[6]stage_hints!$A:$D,4,FALSE)</f>
        <v>マルチプレイならリンクが2倍もらえます_x000D_リンクガチャをたくさん回しましょう</v>
      </c>
      <c r="O19" s="36" t="s">
        <v>198</v>
      </c>
    </row>
    <row r="20" spans="1:15" x14ac:dyDescent="0.15">
      <c r="A20" s="61" t="str">
        <f t="shared" si="0"/>
        <v>30021_1_19</v>
      </c>
      <c r="B20" s="62" t="s">
        <v>213</v>
      </c>
      <c r="C20" s="63">
        <f>floors!$C$2</f>
        <v>30021</v>
      </c>
      <c r="D20" s="64" t="s">
        <v>214</v>
      </c>
      <c r="E20" s="64" t="s">
        <v>215</v>
      </c>
      <c r="F20" s="65">
        <v>1</v>
      </c>
      <c r="G20" s="64" t="s">
        <v>216</v>
      </c>
      <c r="H20" s="64" t="s">
        <v>215</v>
      </c>
      <c r="I20" s="66">
        <v>0</v>
      </c>
      <c r="J20" s="72">
        <f t="shared" si="1"/>
        <v>19</v>
      </c>
      <c r="K20">
        <v>19</v>
      </c>
      <c r="L20" s="65" t="s">
        <v>212</v>
      </c>
      <c r="M20" s="322" t="str">
        <f>VLOOKUP(K20,[6]stage_hints!$A:$C,3,FALSE)</f>
        <v>ソロ専用チャレンジタワー</v>
      </c>
      <c r="N20" s="323" t="str">
        <f>VLOOKUP(K20,[6]stage_hints!$A:$D,4,FALSE)</f>
        <v>ソロ専用の「チャレンジタワー」では_x000D_各フロアごとにクリア報酬がもらえます</v>
      </c>
      <c r="O20" s="36" t="s">
        <v>198</v>
      </c>
    </row>
    <row r="21" spans="1:15" x14ac:dyDescent="0.15">
      <c r="A21" s="61" t="str">
        <f t="shared" si="0"/>
        <v>30021_1_20</v>
      </c>
      <c r="B21" s="62" t="s">
        <v>213</v>
      </c>
      <c r="C21" s="63">
        <f>floors!$C$2</f>
        <v>30021</v>
      </c>
      <c r="D21" s="64" t="s">
        <v>214</v>
      </c>
      <c r="E21" s="64" t="s">
        <v>215</v>
      </c>
      <c r="F21" s="65">
        <v>1</v>
      </c>
      <c r="G21" s="64" t="s">
        <v>216</v>
      </c>
      <c r="H21" s="64" t="s">
        <v>215</v>
      </c>
      <c r="I21" s="66">
        <v>0</v>
      </c>
      <c r="J21" s="72">
        <f t="shared" si="1"/>
        <v>20</v>
      </c>
      <c r="K21">
        <v>20</v>
      </c>
      <c r="L21" s="65" t="s">
        <v>212</v>
      </c>
      <c r="M21" s="322" t="str">
        <f>VLOOKUP(K21,[6]stage_hints!$A:$C,3,FALSE)</f>
        <v>マルチプレイのメリット（その3）</v>
      </c>
      <c r="N21" s="323" t="str">
        <f>VLOOKUP(K21,[6]stage_hints!$A:$D,4,FALSE)</f>
        <v>マルチプレイへの参加はエナジー消費ゼロ_x000D_いつでも好きなだけ遊ぶことができます</v>
      </c>
      <c r="O21" s="36" t="s">
        <v>198</v>
      </c>
    </row>
    <row r="22" spans="1:15" x14ac:dyDescent="0.15">
      <c r="A22" s="61" t="str">
        <f t="shared" si="0"/>
        <v>30021_1_21</v>
      </c>
      <c r="B22" s="62" t="s">
        <v>213</v>
      </c>
      <c r="C22" s="63">
        <f>floors!$C$2</f>
        <v>30021</v>
      </c>
      <c r="D22" s="64" t="s">
        <v>214</v>
      </c>
      <c r="E22" s="64" t="s">
        <v>215</v>
      </c>
      <c r="F22" s="65">
        <v>1</v>
      </c>
      <c r="G22" s="64" t="s">
        <v>216</v>
      </c>
      <c r="H22" s="64" t="s">
        <v>215</v>
      </c>
      <c r="I22" s="66">
        <v>0</v>
      </c>
      <c r="J22" s="72">
        <f t="shared" si="1"/>
        <v>21</v>
      </c>
      <c r="K22">
        <v>21</v>
      </c>
      <c r="L22" s="65" t="s">
        <v>212</v>
      </c>
      <c r="M22" s="322" t="str">
        <f>VLOOKUP(K22,[6]stage_hints!$A:$C,3,FALSE)</f>
        <v>スキルを有効に</v>
      </c>
      <c r="N22" s="323" t="str">
        <f>VLOOKUP(K22,[6]stage_hints!$A:$D,4,FALSE)</f>
        <v>ターン経過でユニットのスキルが使えます_x000D_強力スキルでバトルを有利に進めましょう</v>
      </c>
      <c r="O22" s="36" t="s">
        <v>198</v>
      </c>
    </row>
    <row r="23" spans="1:15" x14ac:dyDescent="0.15">
      <c r="A23" s="61" t="str">
        <f t="shared" si="0"/>
        <v>30021_1_22</v>
      </c>
      <c r="B23" s="62" t="s">
        <v>213</v>
      </c>
      <c r="C23" s="63">
        <f>floors!$C$2</f>
        <v>30021</v>
      </c>
      <c r="D23" s="64" t="s">
        <v>214</v>
      </c>
      <c r="E23" s="64" t="s">
        <v>215</v>
      </c>
      <c r="F23" s="65">
        <v>1</v>
      </c>
      <c r="G23" s="64" t="s">
        <v>216</v>
      </c>
      <c r="H23" s="64" t="s">
        <v>215</v>
      </c>
      <c r="I23" s="66">
        <v>0</v>
      </c>
      <c r="J23" s="72">
        <f t="shared" si="1"/>
        <v>22</v>
      </c>
      <c r="K23">
        <v>22</v>
      </c>
      <c r="L23" s="65" t="s">
        <v>212</v>
      </c>
      <c r="M23" s="322" t="str">
        <f>VLOOKUP(K23,[6]stage_hints!$A:$C,3,FALSE)</f>
        <v>フィーバーで一発逆転（その1）</v>
      </c>
      <c r="N23" s="323" t="str">
        <f>VLOOKUP(K23,[6]stage_hints!$A:$D,4,FALSE)</f>
        <v>フィーバーは攻撃と回復を兼ね備えます_x000D_ピンチからの一発逆転を狙いましょう</v>
      </c>
      <c r="O23" s="36" t="s">
        <v>198</v>
      </c>
    </row>
    <row r="24" spans="1:15" x14ac:dyDescent="0.15">
      <c r="A24" s="61" t="str">
        <f t="shared" si="0"/>
        <v>30021_1_23</v>
      </c>
      <c r="B24" s="62" t="s">
        <v>213</v>
      </c>
      <c r="C24" s="63">
        <f>floors!$C$2</f>
        <v>30021</v>
      </c>
      <c r="D24" s="64" t="s">
        <v>214</v>
      </c>
      <c r="E24" s="64" t="s">
        <v>215</v>
      </c>
      <c r="F24" s="65">
        <v>1</v>
      </c>
      <c r="G24" s="64" t="s">
        <v>216</v>
      </c>
      <c r="H24" s="64" t="s">
        <v>215</v>
      </c>
      <c r="I24" s="66">
        <v>0</v>
      </c>
      <c r="J24" s="72">
        <f t="shared" si="1"/>
        <v>23</v>
      </c>
      <c r="K24">
        <v>23</v>
      </c>
      <c r="L24" s="65" t="s">
        <v>212</v>
      </c>
      <c r="M24" s="322" t="str">
        <f>VLOOKUP(K24,[6]stage_hints!$A:$C,3,FALSE)</f>
        <v>フィーバーで一発逆転（その2）</v>
      </c>
      <c r="N24" s="323" t="str">
        <f>VLOOKUP(K24,[6]stage_hints!$A:$D,4,FALSE)</f>
        <v>フィーバー中は虹色のボムパネルを狙って_x000D_画面上のパネルを一気に破壊しましょう</v>
      </c>
      <c r="O24" s="36" t="s">
        <v>198</v>
      </c>
    </row>
    <row r="25" spans="1:15" x14ac:dyDescent="0.15">
      <c r="A25" s="61" t="str">
        <f t="shared" si="0"/>
        <v>30021_1_24</v>
      </c>
      <c r="B25" s="62" t="s">
        <v>213</v>
      </c>
      <c r="C25" s="63">
        <f>floors!$C$2</f>
        <v>30021</v>
      </c>
      <c r="D25" s="64" t="s">
        <v>214</v>
      </c>
      <c r="E25" s="64" t="s">
        <v>215</v>
      </c>
      <c r="F25" s="65">
        <v>1</v>
      </c>
      <c r="G25" s="64" t="s">
        <v>216</v>
      </c>
      <c r="H25" s="64" t="s">
        <v>215</v>
      </c>
      <c r="I25" s="66">
        <v>0</v>
      </c>
      <c r="J25" s="72">
        <f t="shared" si="1"/>
        <v>24</v>
      </c>
      <c r="K25">
        <v>24</v>
      </c>
      <c r="L25" s="65" t="s">
        <v>212</v>
      </c>
      <c r="M25" s="322" t="str">
        <f>VLOOKUP(K25,[6]stage_hints!$A:$C,3,FALSE)</f>
        <v>りんごを使って限界突破</v>
      </c>
      <c r="N25" s="323" t="str">
        <f>VLOOKUP(K25,[6]stage_hints!$A:$D,4,FALSE)</f>
        <v>赤りんご(攻撃力) 青りんご(回復力)_x000D_緑りんご(体力)をユニット強化に使うと_x000D_ステータスが限界突破します（計99個迄）</v>
      </c>
      <c r="O25" s="36" t="s">
        <v>198</v>
      </c>
    </row>
    <row r="26" spans="1:15" x14ac:dyDescent="0.15">
      <c r="A26" s="61" t="str">
        <f t="shared" si="0"/>
        <v>30021_1_25</v>
      </c>
      <c r="B26" s="62" t="s">
        <v>213</v>
      </c>
      <c r="C26" s="63">
        <f>floors!$C$2</f>
        <v>30021</v>
      </c>
      <c r="D26" s="64" t="s">
        <v>214</v>
      </c>
      <c r="E26" s="64" t="s">
        <v>217</v>
      </c>
      <c r="F26" s="65">
        <v>1</v>
      </c>
      <c r="G26" s="64" t="s">
        <v>216</v>
      </c>
      <c r="H26" s="64" t="s">
        <v>217</v>
      </c>
      <c r="I26" s="66">
        <v>0</v>
      </c>
      <c r="J26" s="72">
        <f t="shared" si="1"/>
        <v>25</v>
      </c>
      <c r="K26">
        <v>25</v>
      </c>
      <c r="L26" s="65" t="s">
        <v>212</v>
      </c>
      <c r="M26" s="322" t="str">
        <f>VLOOKUP(K26,[6]stage_hints!$A:$C,3,FALSE)</f>
        <v>スキルレベルアップ</v>
      </c>
      <c r="N26" s="323" t="str">
        <f>VLOOKUP(K26,[6]stage_hints!$A:$D,4,FALSE)</f>
        <v>「クリスタルのりんご」を強化に使うと_x000D_スキルレベルを上げることができます</v>
      </c>
      <c r="O26" s="36" t="s">
        <v>198</v>
      </c>
    </row>
    <row r="27" spans="1:15" x14ac:dyDescent="0.15">
      <c r="A27" s="61" t="str">
        <f t="shared" si="0"/>
        <v>30021_1_26</v>
      </c>
      <c r="B27" s="62" t="s">
        <v>213</v>
      </c>
      <c r="C27" s="63">
        <f>floors!$C$2</f>
        <v>30021</v>
      </c>
      <c r="D27" s="64" t="s">
        <v>214</v>
      </c>
      <c r="E27" s="64" t="s">
        <v>218</v>
      </c>
      <c r="F27" s="65">
        <v>1</v>
      </c>
      <c r="G27" s="64" t="s">
        <v>216</v>
      </c>
      <c r="H27" s="64" t="s">
        <v>218</v>
      </c>
      <c r="I27" s="66">
        <v>0</v>
      </c>
      <c r="J27" s="72">
        <f t="shared" si="1"/>
        <v>26</v>
      </c>
      <c r="K27">
        <v>26</v>
      </c>
      <c r="L27" s="65" t="s">
        <v>212</v>
      </c>
      <c r="M27" s="322" t="str">
        <f>VLOOKUP(K27,[6]stage_hints!$A:$C,3,FALSE)</f>
        <v>スキルレベルの効果</v>
      </c>
      <c r="N27" s="323" t="str">
        <f>VLOOKUP(K27,[6]stage_hints!$A:$D,4,FALSE)</f>
        <v>スキルレベルが上がると_x000D_短いターンでスキルを使うことができます</v>
      </c>
      <c r="O27" s="36" t="s">
        <v>198</v>
      </c>
    </row>
    <row r="28" spans="1:15" x14ac:dyDescent="0.15">
      <c r="A28" s="61" t="str">
        <f t="shared" si="0"/>
        <v>30021_1_27</v>
      </c>
      <c r="B28" s="62" t="s">
        <v>213</v>
      </c>
      <c r="C28" s="63">
        <f>floors!$C$2</f>
        <v>30021</v>
      </c>
      <c r="D28" s="64" t="s">
        <v>214</v>
      </c>
      <c r="E28" s="64" t="s">
        <v>219</v>
      </c>
      <c r="F28" s="65">
        <v>1</v>
      </c>
      <c r="G28" s="64" t="s">
        <v>216</v>
      </c>
      <c r="H28" s="64" t="s">
        <v>219</v>
      </c>
      <c r="I28" s="66">
        <v>0</v>
      </c>
      <c r="J28" s="72">
        <f t="shared" si="1"/>
        <v>27</v>
      </c>
      <c r="K28">
        <v>27</v>
      </c>
      <c r="L28" s="65" t="s">
        <v>212</v>
      </c>
      <c r="M28" s="322" t="str">
        <f>VLOOKUP(K28,[6]stage_hints!$A:$C,3,FALSE)</f>
        <v>ホーム画面からデッキを編成</v>
      </c>
      <c r="N28" s="323" t="str">
        <f>VLOOKUP(K28,[6]stage_hints!$A:$D,4,FALSE)</f>
        <v>ホーム画面でユニットを長押しすると_x000D_すぐにパーティ編成に移動できます</v>
      </c>
      <c r="O28" s="36" t="s">
        <v>198</v>
      </c>
    </row>
    <row r="29" spans="1:15" x14ac:dyDescent="0.15">
      <c r="A29" s="61" t="str">
        <f t="shared" si="0"/>
        <v>30021_1_28</v>
      </c>
      <c r="B29" s="62" t="s">
        <v>213</v>
      </c>
      <c r="C29" s="63">
        <f>floors!$C$2</f>
        <v>30021</v>
      </c>
      <c r="D29" s="64" t="s">
        <v>214</v>
      </c>
      <c r="E29" s="64" t="s">
        <v>220</v>
      </c>
      <c r="F29" s="65">
        <v>1</v>
      </c>
      <c r="G29" s="64" t="s">
        <v>216</v>
      </c>
      <c r="H29" s="64" t="s">
        <v>220</v>
      </c>
      <c r="I29" s="66">
        <v>0</v>
      </c>
      <c r="J29" s="72">
        <f t="shared" si="1"/>
        <v>28</v>
      </c>
      <c r="K29">
        <v>28</v>
      </c>
      <c r="L29" s="65" t="s">
        <v>212</v>
      </c>
      <c r="M29" s="322" t="str">
        <f>VLOOKUP(K29,[6]stage_hints!$A:$C,3,FALSE)</f>
        <v>ステータス情報は長押しで</v>
      </c>
      <c r="N29" s="323" t="str">
        <f>VLOOKUP(K29,[6]stage_hints!$A:$D,4,FALSE)</f>
        <v>ユニットのアイコンを長押しすると_x000D_ステータス情報を確認することができます</v>
      </c>
      <c r="O29" s="36" t="s">
        <v>198</v>
      </c>
    </row>
    <row r="30" spans="1:15" x14ac:dyDescent="0.15">
      <c r="A30" s="61" t="str">
        <f t="shared" si="0"/>
        <v>30021_1_29</v>
      </c>
      <c r="B30" s="62" t="s">
        <v>213</v>
      </c>
      <c r="C30" s="63">
        <f>floors!$C$2</f>
        <v>30021</v>
      </c>
      <c r="D30" s="64" t="s">
        <v>214</v>
      </c>
      <c r="E30" s="64" t="s">
        <v>221</v>
      </c>
      <c r="F30" s="65">
        <v>1</v>
      </c>
      <c r="G30" s="64" t="s">
        <v>216</v>
      </c>
      <c r="H30" s="64" t="s">
        <v>221</v>
      </c>
      <c r="I30" s="66">
        <v>0</v>
      </c>
      <c r="J30" s="72">
        <f t="shared" si="1"/>
        <v>29</v>
      </c>
      <c r="K30">
        <v>29</v>
      </c>
      <c r="L30" s="65" t="s">
        <v>212</v>
      </c>
      <c r="M30" s="322" t="str">
        <f>VLOOKUP(K30,[6]stage_hints!$A:$C,3,FALSE)</f>
        <v>「バグ」のメリット</v>
      </c>
      <c r="N30" s="323" t="str">
        <f>VLOOKUP(K30,[6]stage_hints!$A:$D,4,FALSE)</f>
        <v>ユニットの「バグ」を増やすと_x000D_報酬をもらえる確率がアップします</v>
      </c>
      <c r="O30" s="36" t="s">
        <v>198</v>
      </c>
    </row>
    <row r="31" spans="1:15" x14ac:dyDescent="0.15">
      <c r="A31" s="61" t="str">
        <f t="shared" si="0"/>
        <v>30021_1_30</v>
      </c>
      <c r="B31" s="62" t="s">
        <v>213</v>
      </c>
      <c r="C31" s="63">
        <f>floors!$C$2</f>
        <v>30021</v>
      </c>
      <c r="D31" s="64" t="s">
        <v>214</v>
      </c>
      <c r="E31" s="64" t="s">
        <v>222</v>
      </c>
      <c r="F31" s="65">
        <v>1</v>
      </c>
      <c r="G31" s="64" t="s">
        <v>216</v>
      </c>
      <c r="H31" s="64" t="s">
        <v>222</v>
      </c>
      <c r="I31" s="66">
        <v>0</v>
      </c>
      <c r="J31" s="72">
        <f t="shared" si="1"/>
        <v>30</v>
      </c>
      <c r="K31">
        <v>30</v>
      </c>
      <c r="L31" s="65" t="s">
        <v>212</v>
      </c>
      <c r="M31" s="322" t="str">
        <f>VLOOKUP(K31,[6]stage_hints!$A:$C,3,FALSE)</f>
        <v>「バグ」の増やし方</v>
      </c>
      <c r="N31" s="323" t="str">
        <f>VLOOKUP(K31,[6]stage_hints!$A:$D,4,FALSE)</f>
        <v>同じユニット同士を強化で合成すると_x000D_「バグ」を増やすことができます</v>
      </c>
      <c r="O31" s="36" t="s">
        <v>198</v>
      </c>
    </row>
    <row r="32" spans="1:15" x14ac:dyDescent="0.15">
      <c r="A32" s="61" t="str">
        <f t="shared" si="0"/>
        <v>30021_1_31</v>
      </c>
      <c r="B32" s="62" t="s">
        <v>213</v>
      </c>
      <c r="C32" s="63">
        <f>floors!$C$2</f>
        <v>30021</v>
      </c>
      <c r="D32" s="64" t="s">
        <v>214</v>
      </c>
      <c r="E32" s="64" t="s">
        <v>223</v>
      </c>
      <c r="F32" s="65">
        <v>1</v>
      </c>
      <c r="G32" s="64" t="s">
        <v>216</v>
      </c>
      <c r="H32" s="64" t="s">
        <v>223</v>
      </c>
      <c r="I32" s="66">
        <v>0</v>
      </c>
      <c r="J32" s="72">
        <f t="shared" si="1"/>
        <v>31</v>
      </c>
      <c r="K32">
        <v>31</v>
      </c>
      <c r="L32" s="65" t="s">
        <v>212</v>
      </c>
      <c r="M32" s="322" t="str">
        <f>VLOOKUP(K32,[6]stage_hints!$A:$C,3,FALSE)</f>
        <v>イベントはお知らせでチェック</v>
      </c>
      <c r="N32" s="323" t="str">
        <f>VLOOKUP(K32,[6]stage_hints!$A:$D,4,FALSE)</f>
        <v>イベント限定ユニットを取り忘れないように_x000D_お知らせをこまめにチェックしましょう</v>
      </c>
      <c r="O32" s="36" t="s">
        <v>198</v>
      </c>
    </row>
    <row r="33" spans="1:15" x14ac:dyDescent="0.15">
      <c r="A33" s="61" t="str">
        <f t="shared" si="0"/>
        <v>30021_1_32</v>
      </c>
      <c r="B33" s="62" t="s">
        <v>213</v>
      </c>
      <c r="C33" s="63">
        <f>floors!$C$2</f>
        <v>30021</v>
      </c>
      <c r="D33" s="64" t="s">
        <v>214</v>
      </c>
      <c r="E33" s="64" t="s">
        <v>224</v>
      </c>
      <c r="F33" s="65">
        <v>1</v>
      </c>
      <c r="G33" s="64" t="s">
        <v>216</v>
      </c>
      <c r="H33" s="64" t="s">
        <v>224</v>
      </c>
      <c r="I33" s="66">
        <v>0</v>
      </c>
      <c r="J33" s="72">
        <f t="shared" si="1"/>
        <v>32</v>
      </c>
      <c r="K33">
        <v>38</v>
      </c>
      <c r="L33" s="65" t="s">
        <v>212</v>
      </c>
      <c r="M33" s="322" t="str">
        <f>VLOOKUP(K33,[6]stage_hints!$A:$C,3,FALSE)</f>
        <v>お邪魔パネルはフィーバーで</v>
      </c>
      <c r="N33" s="323" t="str">
        <f>VLOOKUP(K33,[6]stage_hints!$A:$D,4,FALSE)</f>
        <v>つなげて消せない「お邪魔パネル」は_x000D_フィーバーで下へ落としてしまいましょう</v>
      </c>
      <c r="O33" s="36" t="s">
        <v>198</v>
      </c>
    </row>
    <row r="34" spans="1:15" x14ac:dyDescent="0.15">
      <c r="A34" s="61" t="str">
        <f t="shared" si="0"/>
        <v>30021_1_33</v>
      </c>
      <c r="B34" s="62" t="s">
        <v>213</v>
      </c>
      <c r="C34" s="63">
        <f>floors!$C$2</f>
        <v>30021</v>
      </c>
      <c r="D34" s="64" t="s">
        <v>214</v>
      </c>
      <c r="E34" s="64" t="s">
        <v>225</v>
      </c>
      <c r="F34" s="65">
        <v>1</v>
      </c>
      <c r="G34" s="64" t="s">
        <v>216</v>
      </c>
      <c r="H34" s="64" t="s">
        <v>225</v>
      </c>
      <c r="I34" s="66">
        <v>0</v>
      </c>
      <c r="J34" s="72">
        <f t="shared" si="1"/>
        <v>33</v>
      </c>
      <c r="K34">
        <v>32</v>
      </c>
      <c r="L34" s="65" t="s">
        <v>212</v>
      </c>
      <c r="M34" s="322" t="str">
        <f>VLOOKUP(K34,[6]stage_hints!$A:$C,3,FALSE)</f>
        <v>敵の連続攻撃には</v>
      </c>
      <c r="N34" s="323" t="str">
        <f>VLOOKUP(K34,[6]stage_hints!$A:$D,4,FALSE)</f>
        <v>カウンタースキルを持つユニットがいれば_x000D_ダメージ回数分の反撃ができます</v>
      </c>
      <c r="O34" s="36" t="s">
        <v>198</v>
      </c>
    </row>
    <row r="35" spans="1:15" x14ac:dyDescent="0.15">
      <c r="A35" s="61" t="str">
        <f t="shared" si="0"/>
        <v>30021_1_34</v>
      </c>
      <c r="B35" s="62" t="s">
        <v>213</v>
      </c>
      <c r="C35" s="63">
        <f>floors!$C$2</f>
        <v>30021</v>
      </c>
      <c r="D35" s="64" t="s">
        <v>214</v>
      </c>
      <c r="E35" s="64" t="s">
        <v>226</v>
      </c>
      <c r="F35" s="65">
        <v>1</v>
      </c>
      <c r="G35" s="64" t="s">
        <v>216</v>
      </c>
      <c r="H35" s="64" t="s">
        <v>226</v>
      </c>
      <c r="I35" s="66">
        <v>0</v>
      </c>
      <c r="J35" s="72">
        <f t="shared" si="1"/>
        <v>34</v>
      </c>
      <c r="K35">
        <v>33</v>
      </c>
      <c r="L35" s="65" t="s">
        <v>212</v>
      </c>
      <c r="M35" s="322" t="str">
        <f>VLOOKUP(K35,[6]stage_hints!$A:$C,3,FALSE)</f>
        <v>敵のカウンター攻撃には</v>
      </c>
      <c r="N35" s="323" t="str">
        <f>VLOOKUP(K35,[6]stage_hints!$A:$D,4,FALSE)</f>
        <v>カウンターブレイクスキルを持っていれば_x000D_敵のカウンターを解除して攻撃ができます</v>
      </c>
      <c r="O35" s="36" t="s">
        <v>198</v>
      </c>
    </row>
    <row r="36" spans="1:15" x14ac:dyDescent="0.15">
      <c r="A36" s="61" t="str">
        <f t="shared" si="0"/>
        <v>30021_1_35</v>
      </c>
      <c r="B36" s="62" t="s">
        <v>213</v>
      </c>
      <c r="C36" s="63">
        <f>floors!$C$2</f>
        <v>30021</v>
      </c>
      <c r="D36" s="64" t="s">
        <v>214</v>
      </c>
      <c r="E36" s="64" t="s">
        <v>227</v>
      </c>
      <c r="F36" s="65">
        <v>1</v>
      </c>
      <c r="G36" s="64" t="s">
        <v>216</v>
      </c>
      <c r="H36" s="64" t="s">
        <v>227</v>
      </c>
      <c r="I36" s="66">
        <v>0</v>
      </c>
      <c r="J36" s="72">
        <f t="shared" si="1"/>
        <v>35</v>
      </c>
      <c r="K36">
        <v>34</v>
      </c>
      <c r="L36" s="65" t="s">
        <v>212</v>
      </c>
      <c r="M36" s="322" t="str">
        <f>VLOOKUP(K36,[6]stage_hints!$A:$C,3,FALSE)</f>
        <v>ステータスをスキルで下げられたら</v>
      </c>
      <c r="N36" s="323" t="str">
        <f>VLOOKUP(K36,[6]stage_hints!$A:$D,4,FALSE)</f>
        <v>ステータスダウンのスキルを受けたら_x000D_ステータスアップスキルで上書きしましょう</v>
      </c>
      <c r="O36" s="36" t="s">
        <v>198</v>
      </c>
    </row>
    <row r="37" spans="1:15" x14ac:dyDescent="0.15">
      <c r="A37" s="61" t="str">
        <f t="shared" si="0"/>
        <v>30021_1_36</v>
      </c>
      <c r="B37" s="62" t="s">
        <v>213</v>
      </c>
      <c r="C37" s="63">
        <f>floors!$C$2</f>
        <v>30021</v>
      </c>
      <c r="D37" s="64" t="s">
        <v>214</v>
      </c>
      <c r="E37" s="64" t="s">
        <v>228</v>
      </c>
      <c r="F37" s="65">
        <v>1</v>
      </c>
      <c r="G37" s="64" t="s">
        <v>216</v>
      </c>
      <c r="H37" s="64" t="s">
        <v>228</v>
      </c>
      <c r="I37" s="66">
        <v>0</v>
      </c>
      <c r="J37" s="72">
        <f t="shared" si="1"/>
        <v>36</v>
      </c>
      <c r="K37">
        <v>35</v>
      </c>
      <c r="L37" s="65" t="s">
        <v>212</v>
      </c>
      <c r="M37" s="322" t="str">
        <f>VLOOKUP(K37,[6]stage_hints!$A:$C,3,FALSE)</f>
        <v>敵のステータスがスキルで上がったら</v>
      </c>
      <c r="N37" s="323" t="str">
        <f>VLOOKUP(K37,[6]stage_hints!$A:$D,4,FALSE)</f>
        <v>敵のステータスがスキルでアップしたときは_x000D_ステータスダウンスキルで上書きしましょう</v>
      </c>
      <c r="O37" s="36" t="s">
        <v>198</v>
      </c>
    </row>
    <row r="38" spans="1:15" x14ac:dyDescent="0.15">
      <c r="A38" s="61" t="str">
        <f t="shared" si="0"/>
        <v>30021_1_37</v>
      </c>
      <c r="B38" s="62" t="s">
        <v>213</v>
      </c>
      <c r="C38" s="63">
        <f>floors!$C$2</f>
        <v>30021</v>
      </c>
      <c r="D38" s="64" t="s">
        <v>214</v>
      </c>
      <c r="E38" s="64" t="s">
        <v>229</v>
      </c>
      <c r="F38" s="65">
        <v>1</v>
      </c>
      <c r="G38" s="64" t="s">
        <v>216</v>
      </c>
      <c r="H38" s="64" t="s">
        <v>229</v>
      </c>
      <c r="I38" s="66">
        <v>0</v>
      </c>
      <c r="J38" s="72">
        <f t="shared" si="1"/>
        <v>37</v>
      </c>
      <c r="K38">
        <v>36</v>
      </c>
      <c r="L38" s="65" t="s">
        <v>212</v>
      </c>
      <c r="M38" s="322" t="str">
        <f>VLOOKUP(K38,[6]stage_hints!$A:$C,3,FALSE)</f>
        <v>チャレンジタワーのボス</v>
      </c>
      <c r="N38" s="323" t="str">
        <f>VLOOKUP(K38,[6]stage_hints!$A:$D,4,FALSE)</f>
        <v>チャレンジタワーでのみ登場するボスは_x000D_一定確率で獲得することができます</v>
      </c>
      <c r="O38" s="36" t="s">
        <v>198</v>
      </c>
    </row>
    <row r="39" spans="1:15" x14ac:dyDescent="0.15">
      <c r="A39" s="61" t="str">
        <f t="shared" si="0"/>
        <v>30021_1_38</v>
      </c>
      <c r="B39" s="62" t="s">
        <v>213</v>
      </c>
      <c r="C39" s="63">
        <f>floors!$C$2</f>
        <v>30021</v>
      </c>
      <c r="D39" s="64" t="s">
        <v>214</v>
      </c>
      <c r="E39" s="64" t="s">
        <v>230</v>
      </c>
      <c r="F39" s="65">
        <v>1</v>
      </c>
      <c r="G39" s="64" t="s">
        <v>216</v>
      </c>
      <c r="H39" s="64" t="s">
        <v>230</v>
      </c>
      <c r="I39" s="66">
        <v>0</v>
      </c>
      <c r="J39" s="72">
        <f t="shared" si="1"/>
        <v>38</v>
      </c>
      <c r="K39">
        <v>37</v>
      </c>
      <c r="L39" s="65" t="s">
        <v>212</v>
      </c>
      <c r="M39" s="322" t="str">
        <f>VLOOKUP(K39,[6]stage_hints!$A:$C,3,FALSE)</f>
        <v>限界突破値の引き継ぎ</v>
      </c>
      <c r="N39" s="323" t="str">
        <f>VLOOKUP(K39,[6]stage_hints!$A:$D,4,FALSE)</f>
        <v>同じユニットを強化で合成すると_x000D_限界突破値を引き継げます（覚醒前後も可）</v>
      </c>
      <c r="O39" s="36" t="s">
        <v>198</v>
      </c>
    </row>
    <row r="40" spans="1:15" x14ac:dyDescent="0.15">
      <c r="A40" s="61" t="str">
        <f t="shared" si="0"/>
        <v>30021_2_39</v>
      </c>
      <c r="B40" s="62" t="s">
        <v>213</v>
      </c>
      <c r="C40" s="63">
        <f>floors!$C$2</f>
        <v>30021</v>
      </c>
      <c r="D40" s="64" t="s">
        <v>214</v>
      </c>
      <c r="E40" s="64" t="s">
        <v>231</v>
      </c>
      <c r="F40" s="65">
        <v>2</v>
      </c>
      <c r="G40" s="64" t="s">
        <v>216</v>
      </c>
      <c r="H40" s="64" t="s">
        <v>231</v>
      </c>
      <c r="I40" s="66">
        <v>0</v>
      </c>
      <c r="J40" s="72">
        <f t="shared" si="1"/>
        <v>39</v>
      </c>
      <c r="K40">
        <v>1</v>
      </c>
      <c r="L40" s="65" t="s">
        <v>212</v>
      </c>
      <c r="M40" s="322" t="str">
        <f>VLOOKUP(K40,[6]stage_hints!$A:$C,3,FALSE)</f>
        <v>長くつなげて大ダメージ</v>
      </c>
      <c r="N40" s="323" t="str">
        <f>VLOOKUP(K40,[6]stage_hints!$A:$D,4,FALSE)</f>
        <v>パネルを長くつなげるほど_x000D_大ダメージを与えることができます</v>
      </c>
      <c r="O40" s="36" t="s">
        <v>198</v>
      </c>
    </row>
    <row r="41" spans="1:15" x14ac:dyDescent="0.15">
      <c r="A41" s="61" t="str">
        <f t="shared" si="0"/>
        <v>30021_2_40</v>
      </c>
      <c r="B41" s="62" t="s">
        <v>213</v>
      </c>
      <c r="C41" s="63">
        <f>floors!$C$2</f>
        <v>30021</v>
      </c>
      <c r="D41" s="64" t="s">
        <v>214</v>
      </c>
      <c r="E41" s="64" t="s">
        <v>232</v>
      </c>
      <c r="F41" s="65">
        <v>2</v>
      </c>
      <c r="G41" s="64" t="s">
        <v>216</v>
      </c>
      <c r="H41" s="64" t="s">
        <v>232</v>
      </c>
      <c r="I41" s="66">
        <v>0</v>
      </c>
      <c r="J41" s="72">
        <f t="shared" si="1"/>
        <v>40</v>
      </c>
      <c r="K41">
        <v>2</v>
      </c>
      <c r="L41" s="65" t="s">
        <v>212</v>
      </c>
      <c r="M41" s="322" t="str">
        <f>VLOOKUP(K41,[6]stage_hints!$A:$C,3,FALSE)</f>
        <v>属性の相性</v>
      </c>
      <c r="N41" s="323" t="str">
        <f>VLOOKUP(K41,[6]stage_hints!$A:$D,4,FALSE)</f>
        <v>赤＞青　青＞黄　黄＞緑　緑＞赤_x000D_敵属性に最適なパーティがオススメです</v>
      </c>
      <c r="O41" s="36" t="s">
        <v>198</v>
      </c>
    </row>
    <row r="42" spans="1:15" x14ac:dyDescent="0.15">
      <c r="A42" s="61" t="str">
        <f t="shared" si="0"/>
        <v>30021_2_41</v>
      </c>
      <c r="B42" s="62" t="s">
        <v>213</v>
      </c>
      <c r="C42" s="63">
        <f>floors!$C$2</f>
        <v>30021</v>
      </c>
      <c r="D42" s="64" t="s">
        <v>214</v>
      </c>
      <c r="E42" s="64" t="s">
        <v>233</v>
      </c>
      <c r="F42" s="65">
        <v>2</v>
      </c>
      <c r="G42" s="64" t="s">
        <v>216</v>
      </c>
      <c r="H42" s="64" t="s">
        <v>233</v>
      </c>
      <c r="I42" s="66">
        <v>0</v>
      </c>
      <c r="J42" s="72">
        <f t="shared" si="1"/>
        <v>41</v>
      </c>
      <c r="K42">
        <v>3</v>
      </c>
      <c r="L42" s="65" t="s">
        <v>212</v>
      </c>
      <c r="M42" s="322" t="str">
        <f>VLOOKUP(K42,[6]stage_hints!$A:$C,3,FALSE)</f>
        <v>ターゲット</v>
      </c>
      <c r="N42" s="323" t="str">
        <f>VLOOKUP(K42,[6]stage_hints!$A:$D,4,FALSE)</f>
        <v>敵ユニットをタップすると_x000D_その敵を狙い撃ちできます</v>
      </c>
      <c r="O42" s="36" t="s">
        <v>198</v>
      </c>
    </row>
    <row r="43" spans="1:15" x14ac:dyDescent="0.15">
      <c r="A43" s="61" t="str">
        <f t="shared" si="0"/>
        <v>30021_2_42</v>
      </c>
      <c r="B43" s="62" t="s">
        <v>213</v>
      </c>
      <c r="C43" s="63">
        <f>floors!$C$2</f>
        <v>30021</v>
      </c>
      <c r="D43" s="64" t="s">
        <v>214</v>
      </c>
      <c r="E43" s="64" t="s">
        <v>234</v>
      </c>
      <c r="F43" s="65">
        <v>2</v>
      </c>
      <c r="G43" s="64" t="s">
        <v>216</v>
      </c>
      <c r="H43" s="64" t="s">
        <v>234</v>
      </c>
      <c r="I43" s="66">
        <v>0</v>
      </c>
      <c r="J43" s="72">
        <f t="shared" si="1"/>
        <v>42</v>
      </c>
      <c r="K43">
        <v>4</v>
      </c>
      <c r="L43" s="65" t="s">
        <v>212</v>
      </c>
      <c r="M43" s="322" t="str">
        <f>VLOOKUP(K43,[6]stage_hints!$A:$C,3,FALSE)</f>
        <v>ボーナスクエスト</v>
      </c>
      <c r="N43" s="323" t="str">
        <f>VLOOKUP(K43,[6]stage_hints!$A:$D,4,FALSE)</f>
        <v>ノーマルクエストを進めると_x000D_嬉しいボーナスクエストが登場します</v>
      </c>
      <c r="O43" s="36" t="s">
        <v>198</v>
      </c>
    </row>
    <row r="44" spans="1:15" x14ac:dyDescent="0.15">
      <c r="A44" s="61" t="str">
        <f t="shared" si="0"/>
        <v>30021_2_43</v>
      </c>
      <c r="B44" s="62" t="s">
        <v>213</v>
      </c>
      <c r="C44" s="63">
        <f>floors!$C$2</f>
        <v>30021</v>
      </c>
      <c r="D44" s="64" t="s">
        <v>214</v>
      </c>
      <c r="E44" s="64" t="s">
        <v>235</v>
      </c>
      <c r="F44" s="65">
        <v>2</v>
      </c>
      <c r="G44" s="64" t="s">
        <v>216</v>
      </c>
      <c r="H44" s="64" t="s">
        <v>235</v>
      </c>
      <c r="I44" s="66">
        <v>0</v>
      </c>
      <c r="J44" s="72">
        <f t="shared" si="1"/>
        <v>43</v>
      </c>
      <c r="K44">
        <v>5</v>
      </c>
      <c r="L44" s="65" t="s">
        <v>212</v>
      </c>
      <c r="M44" s="322" t="str">
        <f>VLOOKUP(K44,[6]stage_hints!$A:$C,3,FALSE)</f>
        <v>ユニット強化でレベルアップ</v>
      </c>
      <c r="N44" s="323" t="str">
        <f>VLOOKUP(K44,[6]stage_hints!$A:$D,4,FALSE)</f>
        <v>「ユニット強化」でレベルアップすると_x000D_勝てない敵にも勝てるようになります</v>
      </c>
      <c r="O44" s="36" t="s">
        <v>198</v>
      </c>
    </row>
    <row r="45" spans="1:15" x14ac:dyDescent="0.15">
      <c r="A45" s="61" t="str">
        <f t="shared" si="0"/>
        <v>30021_2_44</v>
      </c>
      <c r="B45" s="62" t="s">
        <v>213</v>
      </c>
      <c r="C45" s="63">
        <f>floors!$C$2</f>
        <v>30021</v>
      </c>
      <c r="D45" s="64" t="s">
        <v>214</v>
      </c>
      <c r="E45" s="64" t="s">
        <v>236</v>
      </c>
      <c r="F45" s="65">
        <v>2</v>
      </c>
      <c r="G45" s="64" t="s">
        <v>216</v>
      </c>
      <c r="H45" s="64" t="s">
        <v>236</v>
      </c>
      <c r="I45" s="66">
        <v>0</v>
      </c>
      <c r="J45" s="72">
        <f t="shared" si="1"/>
        <v>44</v>
      </c>
      <c r="K45">
        <v>6</v>
      </c>
      <c r="L45" s="65" t="s">
        <v>212</v>
      </c>
      <c r="M45" s="322" t="str">
        <f>VLOOKUP(K45,[6]stage_hints!$A:$C,3,FALSE)</f>
        <v>ユニット強化の属性ボーナス</v>
      </c>
      <c r="N45" s="323" t="str">
        <f>VLOOKUP(K45,[6]stage_hints!$A:$D,4,FALSE)</f>
        <v>同属性ユニットを強化素材にすると_x000D_経験値が多くもらえます</v>
      </c>
      <c r="O45" s="36" t="s">
        <v>198</v>
      </c>
    </row>
    <row r="46" spans="1:15" x14ac:dyDescent="0.15">
      <c r="A46" s="61" t="str">
        <f t="shared" si="0"/>
        <v>30021_2_45</v>
      </c>
      <c r="B46" s="62" t="s">
        <v>213</v>
      </c>
      <c r="C46" s="63">
        <f>floors!$C$2</f>
        <v>30021</v>
      </c>
      <c r="D46" s="64" t="s">
        <v>214</v>
      </c>
      <c r="E46" s="64" t="s">
        <v>237</v>
      </c>
      <c r="F46" s="65">
        <v>2</v>
      </c>
      <c r="G46" s="64" t="s">
        <v>216</v>
      </c>
      <c r="H46" s="64" t="s">
        <v>237</v>
      </c>
      <c r="I46" s="66">
        <v>0</v>
      </c>
      <c r="J46" s="72">
        <f t="shared" si="1"/>
        <v>45</v>
      </c>
      <c r="K46">
        <v>7</v>
      </c>
      <c r="L46" s="65" t="s">
        <v>212</v>
      </c>
      <c r="M46" s="322" t="str">
        <f>VLOOKUP(K46,[6]stage_hints!$A:$C,3,FALSE)</f>
        <v>メタルダックで経験値を獲得</v>
      </c>
      <c r="N46" s="323" t="str">
        <f>VLOOKUP(K46,[6]stage_hints!$A:$D,4,FALSE)</f>
        <v>「メタルなアヒル」を強化素材にすると_x000D_大量の経験値がもらえます</v>
      </c>
      <c r="O46" s="36" t="s">
        <v>198</v>
      </c>
    </row>
    <row r="47" spans="1:15" x14ac:dyDescent="0.15">
      <c r="A47" s="61" t="str">
        <f t="shared" si="0"/>
        <v>30021_2_46</v>
      </c>
      <c r="B47" s="62" t="s">
        <v>213</v>
      </c>
      <c r="C47" s="63">
        <f>floors!$C$2</f>
        <v>30021</v>
      </c>
      <c r="D47" s="64" t="s">
        <v>214</v>
      </c>
      <c r="E47" s="64" t="s">
        <v>238</v>
      </c>
      <c r="F47" s="65">
        <v>2</v>
      </c>
      <c r="G47" s="64" t="s">
        <v>216</v>
      </c>
      <c r="H47" s="64" t="s">
        <v>238</v>
      </c>
      <c r="I47" s="66">
        <v>0</v>
      </c>
      <c r="J47" s="72">
        <f t="shared" si="1"/>
        <v>46</v>
      </c>
      <c r="K47">
        <v>8</v>
      </c>
      <c r="L47" s="65" t="s">
        <v>212</v>
      </c>
      <c r="M47" s="322" t="str">
        <f>VLOOKUP(K47,[6]stage_hints!$A:$C,3,FALSE)</f>
        <v>ゲリラクエストは要チェック</v>
      </c>
      <c r="N47" s="323" t="str">
        <f>VLOOKUP(K47,[6]stage_hints!$A:$D,4,FALSE)</f>
        <v>時間限定の「アヒル捕獲作戦」では_x000D_経験値素材ユニットが多く手に入ります</v>
      </c>
      <c r="O47" s="36" t="s">
        <v>198</v>
      </c>
    </row>
    <row r="48" spans="1:15" x14ac:dyDescent="0.15">
      <c r="A48" s="61" t="str">
        <f t="shared" si="0"/>
        <v>30021_2_47</v>
      </c>
      <c r="B48" s="62" t="s">
        <v>213</v>
      </c>
      <c r="C48" s="63">
        <f>floors!$C$2</f>
        <v>30021</v>
      </c>
      <c r="D48" s="64" t="s">
        <v>214</v>
      </c>
      <c r="E48" s="64" t="s">
        <v>239</v>
      </c>
      <c r="F48" s="65">
        <v>2</v>
      </c>
      <c r="G48" s="64" t="s">
        <v>216</v>
      </c>
      <c r="H48" s="64" t="s">
        <v>239</v>
      </c>
      <c r="I48" s="66">
        <v>0</v>
      </c>
      <c r="J48" s="72">
        <f t="shared" si="1"/>
        <v>47</v>
      </c>
      <c r="K48">
        <v>9</v>
      </c>
      <c r="L48" s="65" t="s">
        <v>212</v>
      </c>
      <c r="M48" s="322" t="str">
        <f>VLOOKUP(K48,[6]stage_hints!$A:$C,3,FALSE)</f>
        <v>ゴールドダックでビットを獲得</v>
      </c>
      <c r="N48" s="323" t="str">
        <f>VLOOKUP(K48,[6]stage_hints!$A:$D,4,FALSE)</f>
        <v>「ゴールドなアヒル」を売却すると_x000D_大量のビットがもらえます</v>
      </c>
      <c r="O48" s="36" t="s">
        <v>198</v>
      </c>
    </row>
    <row r="49" spans="1:15" x14ac:dyDescent="0.15">
      <c r="A49" s="61" t="str">
        <f t="shared" si="0"/>
        <v>30021_2_48</v>
      </c>
      <c r="B49" s="62" t="s">
        <v>213</v>
      </c>
      <c r="C49" s="63">
        <f>floors!$C$2</f>
        <v>30021</v>
      </c>
      <c r="D49" s="64" t="s">
        <v>214</v>
      </c>
      <c r="E49" s="64" t="s">
        <v>240</v>
      </c>
      <c r="F49" s="65">
        <v>2</v>
      </c>
      <c r="G49" s="64" t="s">
        <v>216</v>
      </c>
      <c r="H49" s="64" t="s">
        <v>240</v>
      </c>
      <c r="I49" s="66">
        <v>0</v>
      </c>
      <c r="J49" s="72">
        <f t="shared" si="1"/>
        <v>48</v>
      </c>
      <c r="K49">
        <v>10</v>
      </c>
      <c r="L49" s="65" t="s">
        <v>212</v>
      </c>
      <c r="M49" s="322" t="str">
        <f>VLOOKUP(K49,[6]stage_hints!$A:$C,3,FALSE)</f>
        <v>土日に大量のビットを獲得</v>
      </c>
      <c r="N49" s="323" t="str">
        <f>VLOOKUP(K49,[6]stage_hints!$A:$D,4,FALSE)</f>
        <v>土日限定の「ゴールドカジノ」では_x000D_売却素材ユニットが多く手に入ります</v>
      </c>
      <c r="O49" s="36" t="s">
        <v>198</v>
      </c>
    </row>
    <row r="50" spans="1:15" x14ac:dyDescent="0.15">
      <c r="A50" s="61" t="str">
        <f t="shared" si="0"/>
        <v>30021_2_49</v>
      </c>
      <c r="B50" s="62" t="s">
        <v>213</v>
      </c>
      <c r="C50" s="63">
        <f>floors!$C$2</f>
        <v>30021</v>
      </c>
      <c r="D50" s="64" t="s">
        <v>214</v>
      </c>
      <c r="E50" s="64" t="s">
        <v>241</v>
      </c>
      <c r="F50" s="65">
        <v>2</v>
      </c>
      <c r="G50" s="64" t="s">
        <v>216</v>
      </c>
      <c r="H50" s="64" t="s">
        <v>241</v>
      </c>
      <c r="I50" s="66">
        <v>0</v>
      </c>
      <c r="J50" s="72">
        <f t="shared" si="1"/>
        <v>49</v>
      </c>
      <c r="K50">
        <v>11</v>
      </c>
      <c r="L50" s="65" t="s">
        <v>212</v>
      </c>
      <c r="M50" s="322" t="str">
        <f>VLOOKUP(K50,[6]stage_hints!$A:$C,3,FALSE)</f>
        <v>ランク解放クエスト</v>
      </c>
      <c r="N50" s="323" t="str">
        <f>VLOOKUP(K50,[6]stage_hints!$A:$D,4,FALSE)</f>
        <v>一定ランクに到達すると_x000D_報酬付きのランク開放クエストが現れます</v>
      </c>
      <c r="O50" s="36" t="s">
        <v>198</v>
      </c>
    </row>
    <row r="51" spans="1:15" x14ac:dyDescent="0.15">
      <c r="A51" s="61" t="str">
        <f t="shared" si="0"/>
        <v>30021_2_50</v>
      </c>
      <c r="B51" s="62" t="s">
        <v>213</v>
      </c>
      <c r="C51" s="63">
        <f>floors!$C$2</f>
        <v>30021</v>
      </c>
      <c r="D51" s="64" t="s">
        <v>214</v>
      </c>
      <c r="E51" s="64" t="s">
        <v>242</v>
      </c>
      <c r="F51" s="65">
        <v>2</v>
      </c>
      <c r="G51" s="64" t="s">
        <v>216</v>
      </c>
      <c r="H51" s="64" t="s">
        <v>242</v>
      </c>
      <c r="I51" s="66">
        <v>0</v>
      </c>
      <c r="J51" s="72">
        <f t="shared" si="1"/>
        <v>50</v>
      </c>
      <c r="K51">
        <v>12</v>
      </c>
      <c r="L51" s="65" t="s">
        <v>212</v>
      </c>
      <c r="M51" s="322" t="str">
        <f>VLOOKUP(K51,[6]stage_hints!$A:$C,3,FALSE)</f>
        <v>ユニットのお気に入り登録</v>
      </c>
      <c r="N51" s="323" t="str">
        <f>VLOOKUP(K51,[6]stage_hints!$A:$D,4,FALSE)</f>
        <v>大事なユニットを誤って消さないように_x000D_フォルダから「お気に入り登録」しましょう</v>
      </c>
      <c r="O51" s="36" t="s">
        <v>198</v>
      </c>
    </row>
    <row r="52" spans="1:15" x14ac:dyDescent="0.15">
      <c r="A52" s="61" t="str">
        <f t="shared" si="0"/>
        <v>30021_2_51</v>
      </c>
      <c r="B52" s="62" t="s">
        <v>213</v>
      </c>
      <c r="C52" s="63">
        <f>floors!$C$2</f>
        <v>30021</v>
      </c>
      <c r="D52" s="64" t="s">
        <v>214</v>
      </c>
      <c r="E52" s="64" t="s">
        <v>243</v>
      </c>
      <c r="F52" s="65">
        <v>2</v>
      </c>
      <c r="G52" s="64" t="s">
        <v>216</v>
      </c>
      <c r="H52" s="64" t="s">
        <v>243</v>
      </c>
      <c r="I52" s="66">
        <v>0</v>
      </c>
      <c r="J52" s="72">
        <f t="shared" si="1"/>
        <v>51</v>
      </c>
      <c r="K52">
        <v>13</v>
      </c>
      <c r="L52" s="65" t="s">
        <v>212</v>
      </c>
      <c r="M52" s="322" t="str">
        <f>VLOOKUP(K52,[6]stage_hints!$A:$C,3,FALSE)</f>
        <v>ユニットの覚醒</v>
      </c>
      <c r="N52" s="323" t="str">
        <f>VLOOKUP(K52,[6]stage_hints!$A:$D,4,FALSE)</f>
        <v>ユニットを覚醒させると_x000D_比べものにならない強さが手に入ります</v>
      </c>
      <c r="O52" s="36" t="s">
        <v>198</v>
      </c>
    </row>
    <row r="53" spans="1:15" x14ac:dyDescent="0.15">
      <c r="A53" s="61" t="str">
        <f t="shared" si="0"/>
        <v>30021_2_52</v>
      </c>
      <c r="B53" s="62" t="s">
        <v>213</v>
      </c>
      <c r="C53" s="63">
        <f>floors!$C$2</f>
        <v>30021</v>
      </c>
      <c r="D53" s="64" t="s">
        <v>214</v>
      </c>
      <c r="E53" s="64" t="s">
        <v>244</v>
      </c>
      <c r="F53" s="65">
        <v>2</v>
      </c>
      <c r="G53" s="64" t="s">
        <v>216</v>
      </c>
      <c r="H53" s="64" t="s">
        <v>244</v>
      </c>
      <c r="I53" s="66">
        <v>0</v>
      </c>
      <c r="J53" s="72">
        <f t="shared" si="1"/>
        <v>52</v>
      </c>
      <c r="K53">
        <v>14</v>
      </c>
      <c r="L53" s="65" t="s">
        <v>212</v>
      </c>
      <c r="M53" s="322" t="str">
        <f>VLOOKUP(K53,[6]stage_hints!$A:$C,3,FALSE)</f>
        <v>覚醒するにはレベルを最大に</v>
      </c>
      <c r="N53" s="323" t="str">
        <f>VLOOKUP(K53,[6]stage_hints!$A:$D,4,FALSE)</f>
        <v>覚醒するにはユニットのレベルを_x000D_最大まで上げる必要があります</v>
      </c>
      <c r="O53" s="36" t="s">
        <v>198</v>
      </c>
    </row>
    <row r="54" spans="1:15" x14ac:dyDescent="0.15">
      <c r="A54" s="61" t="str">
        <f t="shared" si="0"/>
        <v>30021_2_53</v>
      </c>
      <c r="B54" s="62" t="s">
        <v>213</v>
      </c>
      <c r="C54" s="63">
        <f>floors!$C$2</f>
        <v>30021</v>
      </c>
      <c r="D54" s="64" t="s">
        <v>214</v>
      </c>
      <c r="E54" s="64" t="s">
        <v>245</v>
      </c>
      <c r="F54" s="65">
        <v>2</v>
      </c>
      <c r="G54" s="64" t="s">
        <v>216</v>
      </c>
      <c r="H54" s="64" t="s">
        <v>245</v>
      </c>
      <c r="I54" s="66">
        <v>0</v>
      </c>
      <c r="J54" s="72">
        <f t="shared" si="1"/>
        <v>53</v>
      </c>
      <c r="K54">
        <v>15</v>
      </c>
      <c r="L54" s="65" t="s">
        <v>212</v>
      </c>
      <c r="M54" s="322" t="str">
        <f>VLOOKUP(K54,[6]stage_hints!$A:$C,3,FALSE)</f>
        <v>覚醒素材を獲得</v>
      </c>
      <c r="N54" s="323" t="str">
        <f>VLOOKUP(K54,[6]stage_hints!$A:$D,4,FALSE)</f>
        <v>「曜日クエスト」では_x000D_ユニットの覚醒に必要な素材が手に入ります</v>
      </c>
      <c r="O54" s="36" t="s">
        <v>198</v>
      </c>
    </row>
    <row r="55" spans="1:15" x14ac:dyDescent="0.15">
      <c r="A55" s="61" t="str">
        <f t="shared" si="0"/>
        <v>30021_2_54</v>
      </c>
      <c r="B55" s="62" t="s">
        <v>213</v>
      </c>
      <c r="C55" s="63">
        <f>floors!$C$2</f>
        <v>30021</v>
      </c>
      <c r="D55" s="64" t="s">
        <v>214</v>
      </c>
      <c r="E55" s="64" t="s">
        <v>246</v>
      </c>
      <c r="F55" s="65">
        <v>2</v>
      </c>
      <c r="G55" s="64" t="s">
        <v>216</v>
      </c>
      <c r="H55" s="64" t="s">
        <v>246</v>
      </c>
      <c r="I55" s="66">
        <v>0</v>
      </c>
      <c r="J55" s="72">
        <f t="shared" si="1"/>
        <v>54</v>
      </c>
      <c r="K55">
        <v>16</v>
      </c>
      <c r="L55" s="65" t="s">
        <v>212</v>
      </c>
      <c r="M55" s="322" t="str">
        <f>VLOOKUP(K55,[6]stage_hints!$A:$C,3,FALSE)</f>
        <v>マルチプレイのメリット（その1）</v>
      </c>
      <c r="N55" s="323" t="str">
        <f>VLOOKUP(K55,[6]stage_hints!$A:$D,4,FALSE)</f>
        <v>他のプレイヤーとマルチプレイで遊ぶと_x000D_ポリゴンがもらえます（100人まで）</v>
      </c>
      <c r="O55" s="36" t="s">
        <v>198</v>
      </c>
    </row>
    <row r="56" spans="1:15" x14ac:dyDescent="0.15">
      <c r="A56" s="61" t="str">
        <f t="shared" si="0"/>
        <v>30021_2_55</v>
      </c>
      <c r="B56" s="62" t="s">
        <v>213</v>
      </c>
      <c r="C56" s="63">
        <f>floors!$C$2</f>
        <v>30021</v>
      </c>
      <c r="D56" s="64" t="s">
        <v>214</v>
      </c>
      <c r="E56" s="64" t="s">
        <v>247</v>
      </c>
      <c r="F56" s="65">
        <v>2</v>
      </c>
      <c r="G56" s="64" t="s">
        <v>216</v>
      </c>
      <c r="H56" s="64" t="s">
        <v>247</v>
      </c>
      <c r="I56" s="66">
        <v>0</v>
      </c>
      <c r="J56" s="72">
        <f t="shared" si="1"/>
        <v>55</v>
      </c>
      <c r="K56">
        <v>17</v>
      </c>
      <c r="L56" s="65" t="s">
        <v>212</v>
      </c>
      <c r="M56" s="322" t="str">
        <f>VLOOKUP(K56,[6]stage_hints!$A:$C,3,FALSE)</f>
        <v>リンクガチャ</v>
      </c>
      <c r="N56" s="323" t="str">
        <f>VLOOKUP(K56,[6]stage_hints!$A:$D,4,FALSE)</f>
        <v>無料のリンクガチャを回して_x000D_経験値素材や売却素材を獲得しましょう</v>
      </c>
      <c r="O56" s="36" t="s">
        <v>198</v>
      </c>
    </row>
    <row r="57" spans="1:15" x14ac:dyDescent="0.15">
      <c r="A57" s="61" t="str">
        <f t="shared" si="0"/>
        <v>30021_2_56</v>
      </c>
      <c r="B57" s="62" t="s">
        <v>213</v>
      </c>
      <c r="C57" s="63">
        <f>floors!$C$2</f>
        <v>30021</v>
      </c>
      <c r="D57" s="64" t="s">
        <v>214</v>
      </c>
      <c r="E57" s="64" t="s">
        <v>248</v>
      </c>
      <c r="F57" s="65">
        <v>2</v>
      </c>
      <c r="G57" s="64" t="s">
        <v>216</v>
      </c>
      <c r="H57" s="64" t="s">
        <v>248</v>
      </c>
      <c r="I57" s="66">
        <v>0</v>
      </c>
      <c r="J57" s="72">
        <f t="shared" si="1"/>
        <v>56</v>
      </c>
      <c r="K57">
        <v>18</v>
      </c>
      <c r="L57" s="65" t="s">
        <v>212</v>
      </c>
      <c r="M57" s="322" t="str">
        <f>VLOOKUP(K57,[6]stage_hints!$A:$C,3,FALSE)</f>
        <v>マルチプレイのメリット（その2）</v>
      </c>
      <c r="N57" s="323" t="str">
        <f>VLOOKUP(K57,[6]stage_hints!$A:$D,4,FALSE)</f>
        <v>マルチプレイならリンクが2倍もらえます_x000D_リンクガチャをたくさん回しましょう</v>
      </c>
      <c r="O57" s="36" t="s">
        <v>198</v>
      </c>
    </row>
    <row r="58" spans="1:15" x14ac:dyDescent="0.15">
      <c r="A58" s="61" t="str">
        <f t="shared" si="0"/>
        <v>30021_2_57</v>
      </c>
      <c r="B58" s="62" t="s">
        <v>213</v>
      </c>
      <c r="C58" s="63">
        <f>floors!$C$2</f>
        <v>30021</v>
      </c>
      <c r="D58" s="64" t="s">
        <v>214</v>
      </c>
      <c r="E58" s="64" t="s">
        <v>249</v>
      </c>
      <c r="F58" s="65">
        <v>2</v>
      </c>
      <c r="G58" s="64" t="s">
        <v>216</v>
      </c>
      <c r="H58" s="64" t="s">
        <v>249</v>
      </c>
      <c r="I58" s="66">
        <v>0</v>
      </c>
      <c r="J58" s="72">
        <f t="shared" si="1"/>
        <v>57</v>
      </c>
      <c r="K58">
        <v>19</v>
      </c>
      <c r="L58" s="65" t="s">
        <v>212</v>
      </c>
      <c r="M58" s="322" t="str">
        <f>VLOOKUP(K58,[6]stage_hints!$A:$C,3,FALSE)</f>
        <v>ソロ専用チャレンジタワー</v>
      </c>
      <c r="N58" s="323" t="str">
        <f>VLOOKUP(K58,[6]stage_hints!$A:$D,4,FALSE)</f>
        <v>ソロ専用の「チャレンジタワー」では_x000D_各フロアごとにクリア報酬がもらえます</v>
      </c>
      <c r="O58" s="36" t="s">
        <v>198</v>
      </c>
    </row>
    <row r="59" spans="1:15" x14ac:dyDescent="0.15">
      <c r="A59" s="61" t="str">
        <f t="shared" si="0"/>
        <v>30021_2_58</v>
      </c>
      <c r="B59" s="62" t="s">
        <v>213</v>
      </c>
      <c r="C59" s="63">
        <f>floors!$C$2</f>
        <v>30021</v>
      </c>
      <c r="D59" s="64" t="s">
        <v>214</v>
      </c>
      <c r="E59" s="64" t="s">
        <v>250</v>
      </c>
      <c r="F59" s="65">
        <v>2</v>
      </c>
      <c r="G59" s="64" t="s">
        <v>216</v>
      </c>
      <c r="H59" s="64" t="s">
        <v>250</v>
      </c>
      <c r="I59" s="66">
        <v>0</v>
      </c>
      <c r="J59" s="72">
        <f t="shared" si="1"/>
        <v>58</v>
      </c>
      <c r="K59">
        <v>20</v>
      </c>
      <c r="L59" s="65" t="s">
        <v>212</v>
      </c>
      <c r="M59" s="322" t="str">
        <f>VLOOKUP(K59,[6]stage_hints!$A:$C,3,FALSE)</f>
        <v>マルチプレイのメリット（その3）</v>
      </c>
      <c r="N59" s="323" t="str">
        <f>VLOOKUP(K59,[6]stage_hints!$A:$D,4,FALSE)</f>
        <v>マルチプレイへの参加はエナジー消費ゼロ_x000D_いつでも好きなだけ遊ぶことができます</v>
      </c>
      <c r="O59" s="36" t="s">
        <v>198</v>
      </c>
    </row>
    <row r="60" spans="1:15" x14ac:dyDescent="0.15">
      <c r="A60" s="61" t="str">
        <f t="shared" ref="A60:A97" si="2">C60&amp;"_"&amp;F60&amp;"_"&amp;J60</f>
        <v>30021_2_59</v>
      </c>
      <c r="B60" s="62" t="s">
        <v>213</v>
      </c>
      <c r="C60" s="63">
        <f>floors!$C$2</f>
        <v>30021</v>
      </c>
      <c r="D60" s="64" t="s">
        <v>214</v>
      </c>
      <c r="E60" s="64" t="s">
        <v>251</v>
      </c>
      <c r="F60" s="65">
        <v>2</v>
      </c>
      <c r="G60" s="64" t="s">
        <v>216</v>
      </c>
      <c r="H60" s="64" t="s">
        <v>251</v>
      </c>
      <c r="I60" s="66">
        <v>0</v>
      </c>
      <c r="J60" s="72">
        <f t="shared" si="1"/>
        <v>59</v>
      </c>
      <c r="K60">
        <v>21</v>
      </c>
      <c r="L60" s="65" t="s">
        <v>212</v>
      </c>
      <c r="M60" s="322" t="str">
        <f>VLOOKUP(K60,[6]stage_hints!$A:$C,3,FALSE)</f>
        <v>スキルを有効に</v>
      </c>
      <c r="N60" s="323" t="str">
        <f>VLOOKUP(K60,[6]stage_hints!$A:$D,4,FALSE)</f>
        <v>ターン経過でユニットのスキルが使えます_x000D_強力スキルでバトルを有利に進めましょう</v>
      </c>
      <c r="O60" s="36" t="s">
        <v>198</v>
      </c>
    </row>
    <row r="61" spans="1:15" x14ac:dyDescent="0.15">
      <c r="A61" s="61" t="str">
        <f t="shared" si="2"/>
        <v>30021_2_60</v>
      </c>
      <c r="B61" s="62" t="s">
        <v>213</v>
      </c>
      <c r="C61" s="63">
        <f>floors!$C$2</f>
        <v>30021</v>
      </c>
      <c r="D61" s="64" t="s">
        <v>214</v>
      </c>
      <c r="E61" s="64" t="s">
        <v>252</v>
      </c>
      <c r="F61" s="65">
        <v>2</v>
      </c>
      <c r="G61" s="64" t="s">
        <v>216</v>
      </c>
      <c r="H61" s="64" t="s">
        <v>252</v>
      </c>
      <c r="I61" s="66">
        <v>0</v>
      </c>
      <c r="J61" s="72">
        <f t="shared" ref="J61:J115" si="3">ROW()-1</f>
        <v>60</v>
      </c>
      <c r="K61">
        <v>22</v>
      </c>
      <c r="L61" s="65" t="s">
        <v>212</v>
      </c>
      <c r="M61" s="322" t="str">
        <f>VLOOKUP(K61,[6]stage_hints!$A:$C,3,FALSE)</f>
        <v>フィーバーで一発逆転（その1）</v>
      </c>
      <c r="N61" s="323" t="str">
        <f>VLOOKUP(K61,[6]stage_hints!$A:$D,4,FALSE)</f>
        <v>フィーバーは攻撃と回復を兼ね備えます_x000D_ピンチからの一発逆転を狙いましょう</v>
      </c>
      <c r="O61" s="36" t="s">
        <v>198</v>
      </c>
    </row>
    <row r="62" spans="1:15" x14ac:dyDescent="0.15">
      <c r="A62" s="61" t="str">
        <f t="shared" si="2"/>
        <v>30021_2_61</v>
      </c>
      <c r="B62" s="62" t="s">
        <v>213</v>
      </c>
      <c r="C62" s="63">
        <f>floors!$C$2</f>
        <v>30021</v>
      </c>
      <c r="D62" s="64" t="s">
        <v>214</v>
      </c>
      <c r="E62" s="64" t="s">
        <v>253</v>
      </c>
      <c r="F62" s="65">
        <v>2</v>
      </c>
      <c r="G62" s="64" t="s">
        <v>216</v>
      </c>
      <c r="H62" s="64" t="s">
        <v>253</v>
      </c>
      <c r="I62" s="66">
        <v>0</v>
      </c>
      <c r="J62" s="72">
        <f t="shared" si="3"/>
        <v>61</v>
      </c>
      <c r="K62">
        <v>23</v>
      </c>
      <c r="L62" s="65" t="s">
        <v>212</v>
      </c>
      <c r="M62" s="322" t="str">
        <f>VLOOKUP(K62,[6]stage_hints!$A:$C,3,FALSE)</f>
        <v>フィーバーで一発逆転（その2）</v>
      </c>
      <c r="N62" s="323" t="str">
        <f>VLOOKUP(K62,[6]stage_hints!$A:$D,4,FALSE)</f>
        <v>フィーバー中は虹色のボムパネルを狙って_x000D_画面上のパネルを一気に破壊しましょう</v>
      </c>
      <c r="O62" s="36" t="s">
        <v>198</v>
      </c>
    </row>
    <row r="63" spans="1:15" x14ac:dyDescent="0.15">
      <c r="A63" s="61" t="str">
        <f t="shared" si="2"/>
        <v>30021_2_62</v>
      </c>
      <c r="B63" s="62" t="s">
        <v>213</v>
      </c>
      <c r="C63" s="63">
        <f>floors!$C$2</f>
        <v>30021</v>
      </c>
      <c r="D63" s="64" t="s">
        <v>214</v>
      </c>
      <c r="E63" s="64" t="s">
        <v>254</v>
      </c>
      <c r="F63" s="65">
        <v>2</v>
      </c>
      <c r="G63" s="64" t="s">
        <v>216</v>
      </c>
      <c r="H63" s="64" t="s">
        <v>254</v>
      </c>
      <c r="I63" s="66">
        <v>0</v>
      </c>
      <c r="J63" s="72">
        <f t="shared" si="3"/>
        <v>62</v>
      </c>
      <c r="K63">
        <v>24</v>
      </c>
      <c r="L63" s="65" t="s">
        <v>212</v>
      </c>
      <c r="M63" s="322" t="str">
        <f>VLOOKUP(K63,[6]stage_hints!$A:$C,3,FALSE)</f>
        <v>りんごを使って限界突破</v>
      </c>
      <c r="N63" s="323" t="str">
        <f>VLOOKUP(K63,[6]stage_hints!$A:$D,4,FALSE)</f>
        <v>赤りんご(攻撃力) 青りんご(回復力)_x000D_緑りんご(体力)をユニット強化に使うと_x000D_ステータスが限界突破します（計99個迄）</v>
      </c>
      <c r="O63" s="36" t="s">
        <v>198</v>
      </c>
    </row>
    <row r="64" spans="1:15" x14ac:dyDescent="0.15">
      <c r="A64" s="61" t="str">
        <f t="shared" si="2"/>
        <v>30021_2_63</v>
      </c>
      <c r="B64" s="62" t="s">
        <v>213</v>
      </c>
      <c r="C64" s="63">
        <f>floors!$C$2</f>
        <v>30021</v>
      </c>
      <c r="D64" s="64" t="s">
        <v>214</v>
      </c>
      <c r="E64" s="64" t="s">
        <v>255</v>
      </c>
      <c r="F64" s="65">
        <v>2</v>
      </c>
      <c r="G64" s="64" t="s">
        <v>216</v>
      </c>
      <c r="H64" s="64" t="s">
        <v>255</v>
      </c>
      <c r="I64" s="66">
        <v>0</v>
      </c>
      <c r="J64" s="72">
        <f t="shared" si="3"/>
        <v>63</v>
      </c>
      <c r="K64">
        <v>25</v>
      </c>
      <c r="L64" s="65" t="s">
        <v>212</v>
      </c>
      <c r="M64" s="322" t="str">
        <f>VLOOKUP(K64,[6]stage_hints!$A:$C,3,FALSE)</f>
        <v>スキルレベルアップ</v>
      </c>
      <c r="N64" s="323" t="str">
        <f>VLOOKUP(K64,[6]stage_hints!$A:$D,4,FALSE)</f>
        <v>「クリスタルのりんご」を強化に使うと_x000D_スキルレベルを上げることができます</v>
      </c>
      <c r="O64" s="36" t="s">
        <v>198</v>
      </c>
    </row>
    <row r="65" spans="1:15" x14ac:dyDescent="0.15">
      <c r="A65" s="61" t="str">
        <f t="shared" si="2"/>
        <v>30021_2_64</v>
      </c>
      <c r="B65" s="62" t="s">
        <v>213</v>
      </c>
      <c r="C65" s="63">
        <f>floors!$C$2</f>
        <v>30021</v>
      </c>
      <c r="D65" s="64" t="s">
        <v>214</v>
      </c>
      <c r="E65" s="64" t="s">
        <v>256</v>
      </c>
      <c r="F65" s="65">
        <v>2</v>
      </c>
      <c r="G65" s="64" t="s">
        <v>216</v>
      </c>
      <c r="H65" s="64" t="s">
        <v>256</v>
      </c>
      <c r="I65" s="66">
        <v>0</v>
      </c>
      <c r="J65" s="72">
        <f t="shared" si="3"/>
        <v>64</v>
      </c>
      <c r="K65">
        <v>26</v>
      </c>
      <c r="L65" s="65" t="s">
        <v>212</v>
      </c>
      <c r="M65" s="322" t="str">
        <f>VLOOKUP(K65,[6]stage_hints!$A:$C,3,FALSE)</f>
        <v>スキルレベルの効果</v>
      </c>
      <c r="N65" s="323" t="str">
        <f>VLOOKUP(K65,[6]stage_hints!$A:$D,4,FALSE)</f>
        <v>スキルレベルが上がると_x000D_短いターンでスキルを使うことができます</v>
      </c>
      <c r="O65" s="36" t="s">
        <v>198</v>
      </c>
    </row>
    <row r="66" spans="1:15" x14ac:dyDescent="0.15">
      <c r="A66" s="61" t="str">
        <f t="shared" si="2"/>
        <v>30021_2_65</v>
      </c>
      <c r="B66" s="62" t="s">
        <v>213</v>
      </c>
      <c r="C66" s="63">
        <f>floors!$C$2</f>
        <v>30021</v>
      </c>
      <c r="D66" s="64" t="s">
        <v>214</v>
      </c>
      <c r="E66" s="64" t="s">
        <v>257</v>
      </c>
      <c r="F66" s="65">
        <v>2</v>
      </c>
      <c r="G66" s="64" t="s">
        <v>216</v>
      </c>
      <c r="H66" s="64" t="s">
        <v>257</v>
      </c>
      <c r="I66" s="66">
        <v>0</v>
      </c>
      <c r="J66" s="72">
        <f t="shared" si="3"/>
        <v>65</v>
      </c>
      <c r="K66">
        <v>27</v>
      </c>
      <c r="L66" s="65" t="s">
        <v>212</v>
      </c>
      <c r="M66" s="322" t="str">
        <f>VLOOKUP(K66,[6]stage_hints!$A:$C,3,FALSE)</f>
        <v>ホーム画面からデッキを編成</v>
      </c>
      <c r="N66" s="323" t="str">
        <f>VLOOKUP(K66,[6]stage_hints!$A:$D,4,FALSE)</f>
        <v>ホーム画面でユニットを長押しすると_x000D_すぐにパーティ編成に移動できます</v>
      </c>
      <c r="O66" s="36" t="s">
        <v>198</v>
      </c>
    </row>
    <row r="67" spans="1:15" x14ac:dyDescent="0.15">
      <c r="A67" s="61" t="str">
        <f t="shared" si="2"/>
        <v>30021_2_66</v>
      </c>
      <c r="B67" s="62" t="s">
        <v>213</v>
      </c>
      <c r="C67" s="63">
        <f>floors!$C$2</f>
        <v>30021</v>
      </c>
      <c r="D67" s="64" t="s">
        <v>214</v>
      </c>
      <c r="E67" s="64" t="s">
        <v>258</v>
      </c>
      <c r="F67" s="65">
        <v>2</v>
      </c>
      <c r="G67" s="64" t="s">
        <v>216</v>
      </c>
      <c r="H67" s="64" t="s">
        <v>258</v>
      </c>
      <c r="I67" s="66">
        <v>0</v>
      </c>
      <c r="J67" s="72">
        <f t="shared" si="3"/>
        <v>66</v>
      </c>
      <c r="K67">
        <v>28</v>
      </c>
      <c r="L67" s="65" t="s">
        <v>212</v>
      </c>
      <c r="M67" s="322" t="str">
        <f>VLOOKUP(K67,[6]stage_hints!$A:$C,3,FALSE)</f>
        <v>ステータス情報は長押しで</v>
      </c>
      <c r="N67" s="323" t="str">
        <f>VLOOKUP(K67,[6]stage_hints!$A:$D,4,FALSE)</f>
        <v>ユニットのアイコンを長押しすると_x000D_ステータス情報を確認することができます</v>
      </c>
      <c r="O67" s="36" t="s">
        <v>198</v>
      </c>
    </row>
    <row r="68" spans="1:15" x14ac:dyDescent="0.15">
      <c r="A68" s="61" t="str">
        <f t="shared" si="2"/>
        <v>30021_2_67</v>
      </c>
      <c r="B68" s="62" t="s">
        <v>213</v>
      </c>
      <c r="C68" s="63">
        <f>floors!$C$2</f>
        <v>30021</v>
      </c>
      <c r="D68" s="64" t="s">
        <v>214</v>
      </c>
      <c r="E68" s="64" t="s">
        <v>259</v>
      </c>
      <c r="F68" s="65">
        <v>2</v>
      </c>
      <c r="G68" s="64" t="s">
        <v>216</v>
      </c>
      <c r="H68" s="64" t="s">
        <v>259</v>
      </c>
      <c r="I68" s="66">
        <v>0</v>
      </c>
      <c r="J68" s="72">
        <f t="shared" si="3"/>
        <v>67</v>
      </c>
      <c r="K68">
        <v>29</v>
      </c>
      <c r="L68" s="65" t="s">
        <v>212</v>
      </c>
      <c r="M68" s="322" t="str">
        <f>VLOOKUP(K68,[6]stage_hints!$A:$C,3,FALSE)</f>
        <v>「バグ」のメリット</v>
      </c>
      <c r="N68" s="323" t="str">
        <f>VLOOKUP(K68,[6]stage_hints!$A:$D,4,FALSE)</f>
        <v>ユニットの「バグ」を増やすと_x000D_報酬をもらえる確率がアップします</v>
      </c>
      <c r="O68" s="36" t="s">
        <v>198</v>
      </c>
    </row>
    <row r="69" spans="1:15" x14ac:dyDescent="0.15">
      <c r="A69" s="61" t="str">
        <f t="shared" si="2"/>
        <v>30021_2_68</v>
      </c>
      <c r="B69" s="62" t="s">
        <v>213</v>
      </c>
      <c r="C69" s="63">
        <f>floors!$C$2</f>
        <v>30021</v>
      </c>
      <c r="D69" s="64" t="s">
        <v>214</v>
      </c>
      <c r="E69" s="64" t="s">
        <v>260</v>
      </c>
      <c r="F69" s="65">
        <v>2</v>
      </c>
      <c r="G69" s="64" t="s">
        <v>216</v>
      </c>
      <c r="H69" s="64" t="s">
        <v>260</v>
      </c>
      <c r="I69" s="66">
        <v>0</v>
      </c>
      <c r="J69" s="72">
        <f t="shared" si="3"/>
        <v>68</v>
      </c>
      <c r="K69">
        <v>30</v>
      </c>
      <c r="L69" s="65" t="s">
        <v>212</v>
      </c>
      <c r="M69" s="322" t="str">
        <f>VLOOKUP(K69,[6]stage_hints!$A:$C,3,FALSE)</f>
        <v>「バグ」の増やし方</v>
      </c>
      <c r="N69" s="323" t="str">
        <f>VLOOKUP(K69,[6]stage_hints!$A:$D,4,FALSE)</f>
        <v>同じユニット同士を強化で合成すると_x000D_「バグ」を増やすことができます</v>
      </c>
      <c r="O69" s="36" t="s">
        <v>198</v>
      </c>
    </row>
    <row r="70" spans="1:15" x14ac:dyDescent="0.15">
      <c r="A70" s="61" t="str">
        <f t="shared" si="2"/>
        <v>30021_2_69</v>
      </c>
      <c r="B70" s="62" t="s">
        <v>213</v>
      </c>
      <c r="C70" s="63">
        <f>floors!$C$2</f>
        <v>30021</v>
      </c>
      <c r="D70" s="64" t="s">
        <v>214</v>
      </c>
      <c r="E70" s="64" t="s">
        <v>261</v>
      </c>
      <c r="F70" s="65">
        <v>2</v>
      </c>
      <c r="G70" s="64" t="s">
        <v>216</v>
      </c>
      <c r="H70" s="64" t="s">
        <v>261</v>
      </c>
      <c r="I70" s="66">
        <v>0</v>
      </c>
      <c r="J70" s="72">
        <f t="shared" si="3"/>
        <v>69</v>
      </c>
      <c r="K70">
        <v>31</v>
      </c>
      <c r="L70" s="65" t="s">
        <v>212</v>
      </c>
      <c r="M70" s="322" t="str">
        <f>VLOOKUP(K70,[6]stage_hints!$A:$C,3,FALSE)</f>
        <v>イベントはお知らせでチェック</v>
      </c>
      <c r="N70" s="323" t="str">
        <f>VLOOKUP(K70,[6]stage_hints!$A:$D,4,FALSE)</f>
        <v>イベント限定ユニットを取り忘れないように_x000D_お知らせをこまめにチェックしましょう</v>
      </c>
      <c r="O70" s="36" t="s">
        <v>198</v>
      </c>
    </row>
    <row r="71" spans="1:15" x14ac:dyDescent="0.15">
      <c r="A71" s="61" t="str">
        <f t="shared" si="2"/>
        <v>30021_2_70</v>
      </c>
      <c r="B71" s="62" t="s">
        <v>213</v>
      </c>
      <c r="C71" s="63">
        <f>floors!$C$2</f>
        <v>30021</v>
      </c>
      <c r="D71" s="64" t="s">
        <v>214</v>
      </c>
      <c r="E71" s="64" t="s">
        <v>262</v>
      </c>
      <c r="F71" s="65">
        <v>2</v>
      </c>
      <c r="G71" s="64" t="s">
        <v>216</v>
      </c>
      <c r="H71" s="64" t="s">
        <v>262</v>
      </c>
      <c r="I71" s="66">
        <v>0</v>
      </c>
      <c r="J71" s="72">
        <f t="shared" si="3"/>
        <v>70</v>
      </c>
      <c r="K71">
        <v>38</v>
      </c>
      <c r="L71" s="65" t="s">
        <v>212</v>
      </c>
      <c r="M71" s="322" t="str">
        <f>VLOOKUP(K71,[6]stage_hints!$A:$C,3,FALSE)</f>
        <v>お邪魔パネルはフィーバーで</v>
      </c>
      <c r="N71" s="323" t="str">
        <f>VLOOKUP(K71,[6]stage_hints!$A:$D,4,FALSE)</f>
        <v>つなげて消せない「お邪魔パネル」は_x000D_フィーバーで下へ落としてしまいましょう</v>
      </c>
      <c r="O71" s="36" t="s">
        <v>198</v>
      </c>
    </row>
    <row r="72" spans="1:15" x14ac:dyDescent="0.15">
      <c r="A72" s="61" t="str">
        <f t="shared" si="2"/>
        <v>30021_2_71</v>
      </c>
      <c r="B72" s="62" t="s">
        <v>213</v>
      </c>
      <c r="C72" s="63">
        <f>floors!$C$2</f>
        <v>30021</v>
      </c>
      <c r="D72" s="64" t="s">
        <v>214</v>
      </c>
      <c r="E72" s="64" t="s">
        <v>263</v>
      </c>
      <c r="F72" s="65">
        <v>2</v>
      </c>
      <c r="G72" s="64" t="s">
        <v>216</v>
      </c>
      <c r="H72" s="64" t="s">
        <v>263</v>
      </c>
      <c r="I72" s="66">
        <v>0</v>
      </c>
      <c r="J72" s="72">
        <f t="shared" si="3"/>
        <v>71</v>
      </c>
      <c r="K72">
        <v>32</v>
      </c>
      <c r="L72" s="65" t="s">
        <v>212</v>
      </c>
      <c r="M72" s="322" t="str">
        <f>VLOOKUP(K72,[6]stage_hints!$A:$C,3,FALSE)</f>
        <v>敵の連続攻撃には</v>
      </c>
      <c r="N72" s="323" t="str">
        <f>VLOOKUP(K72,[6]stage_hints!$A:$D,4,FALSE)</f>
        <v>カウンタースキルを持つユニットがいれば_x000D_ダメージ回数分の反撃ができます</v>
      </c>
      <c r="O72" s="36" t="s">
        <v>198</v>
      </c>
    </row>
    <row r="73" spans="1:15" x14ac:dyDescent="0.15">
      <c r="A73" s="61" t="str">
        <f t="shared" si="2"/>
        <v>30021_2_72</v>
      </c>
      <c r="B73" s="62" t="s">
        <v>213</v>
      </c>
      <c r="C73" s="63">
        <f>floors!$C$2</f>
        <v>30021</v>
      </c>
      <c r="D73" s="64" t="s">
        <v>214</v>
      </c>
      <c r="E73" s="64" t="s">
        <v>264</v>
      </c>
      <c r="F73" s="65">
        <v>2</v>
      </c>
      <c r="G73" s="64" t="s">
        <v>216</v>
      </c>
      <c r="H73" s="64" t="s">
        <v>264</v>
      </c>
      <c r="I73" s="66">
        <v>0</v>
      </c>
      <c r="J73" s="72">
        <f t="shared" si="3"/>
        <v>72</v>
      </c>
      <c r="K73">
        <v>33</v>
      </c>
      <c r="L73" s="65" t="s">
        <v>212</v>
      </c>
      <c r="M73" s="322" t="str">
        <f>VLOOKUP(K73,[6]stage_hints!$A:$C,3,FALSE)</f>
        <v>敵のカウンター攻撃には</v>
      </c>
      <c r="N73" s="323" t="str">
        <f>VLOOKUP(K73,[6]stage_hints!$A:$D,4,FALSE)</f>
        <v>カウンターブレイクスキルを持っていれば_x000D_敵のカウンターを解除して攻撃ができます</v>
      </c>
      <c r="O73" s="36" t="s">
        <v>198</v>
      </c>
    </row>
    <row r="74" spans="1:15" x14ac:dyDescent="0.15">
      <c r="A74" s="61" t="str">
        <f t="shared" si="2"/>
        <v>30021_2_73</v>
      </c>
      <c r="B74" s="62" t="s">
        <v>213</v>
      </c>
      <c r="C74" s="63">
        <f>floors!$C$2</f>
        <v>30021</v>
      </c>
      <c r="D74" s="64" t="s">
        <v>214</v>
      </c>
      <c r="E74" s="64" t="s">
        <v>265</v>
      </c>
      <c r="F74" s="65">
        <v>2</v>
      </c>
      <c r="G74" s="64" t="s">
        <v>216</v>
      </c>
      <c r="H74" s="64" t="s">
        <v>265</v>
      </c>
      <c r="I74" s="66">
        <v>0</v>
      </c>
      <c r="J74" s="72">
        <f t="shared" si="3"/>
        <v>73</v>
      </c>
      <c r="K74">
        <v>34</v>
      </c>
      <c r="L74" s="65" t="s">
        <v>212</v>
      </c>
      <c r="M74" s="322" t="str">
        <f>VLOOKUP(K74,[6]stage_hints!$A:$C,3,FALSE)</f>
        <v>ステータスをスキルで下げられたら</v>
      </c>
      <c r="N74" s="323" t="str">
        <f>VLOOKUP(K74,[6]stage_hints!$A:$D,4,FALSE)</f>
        <v>ステータスダウンのスキルを受けたら_x000D_ステータスアップスキルで上書きしましょう</v>
      </c>
      <c r="O74" s="36" t="s">
        <v>198</v>
      </c>
    </row>
    <row r="75" spans="1:15" x14ac:dyDescent="0.15">
      <c r="A75" s="61" t="str">
        <f t="shared" si="2"/>
        <v>30021_2_74</v>
      </c>
      <c r="B75" s="62" t="s">
        <v>213</v>
      </c>
      <c r="C75" s="63">
        <f>floors!$C$2</f>
        <v>30021</v>
      </c>
      <c r="D75" s="64" t="s">
        <v>214</v>
      </c>
      <c r="E75" s="64" t="s">
        <v>266</v>
      </c>
      <c r="F75" s="65">
        <v>2</v>
      </c>
      <c r="G75" s="64" t="s">
        <v>216</v>
      </c>
      <c r="H75" s="64" t="s">
        <v>266</v>
      </c>
      <c r="I75" s="66">
        <v>0</v>
      </c>
      <c r="J75" s="72">
        <f t="shared" si="3"/>
        <v>74</v>
      </c>
      <c r="K75">
        <v>35</v>
      </c>
      <c r="L75" s="65" t="s">
        <v>212</v>
      </c>
      <c r="M75" s="322" t="str">
        <f>VLOOKUP(K75,[6]stage_hints!$A:$C,3,FALSE)</f>
        <v>敵のステータスがスキルで上がったら</v>
      </c>
      <c r="N75" s="323" t="str">
        <f>VLOOKUP(K75,[6]stage_hints!$A:$D,4,FALSE)</f>
        <v>敵のステータスがスキルでアップしたときは_x000D_ステータスダウンスキルで上書きしましょう</v>
      </c>
      <c r="O75" s="36" t="s">
        <v>198</v>
      </c>
    </row>
    <row r="76" spans="1:15" x14ac:dyDescent="0.15">
      <c r="A76" s="61" t="str">
        <f t="shared" si="2"/>
        <v>30021_2_75</v>
      </c>
      <c r="B76" s="62" t="s">
        <v>213</v>
      </c>
      <c r="C76" s="63">
        <f>floors!$C$2</f>
        <v>30021</v>
      </c>
      <c r="D76" s="64" t="s">
        <v>214</v>
      </c>
      <c r="E76" s="64" t="s">
        <v>267</v>
      </c>
      <c r="F76" s="65">
        <v>2</v>
      </c>
      <c r="G76" s="64" t="s">
        <v>216</v>
      </c>
      <c r="H76" s="64" t="s">
        <v>267</v>
      </c>
      <c r="I76" s="66">
        <v>0</v>
      </c>
      <c r="J76" s="72">
        <f t="shared" si="3"/>
        <v>75</v>
      </c>
      <c r="K76">
        <v>36</v>
      </c>
      <c r="L76" s="65" t="s">
        <v>212</v>
      </c>
      <c r="M76" s="322" t="str">
        <f>VLOOKUP(K76,[6]stage_hints!$A:$C,3,FALSE)</f>
        <v>チャレンジタワーのボス</v>
      </c>
      <c r="N76" s="323" t="str">
        <f>VLOOKUP(K76,[6]stage_hints!$A:$D,4,FALSE)</f>
        <v>チャレンジタワーでのみ登場するボスは_x000D_一定確率で獲得することができます</v>
      </c>
      <c r="O76" s="36" t="s">
        <v>198</v>
      </c>
    </row>
    <row r="77" spans="1:15" x14ac:dyDescent="0.15">
      <c r="A77" s="61" t="str">
        <f t="shared" si="2"/>
        <v>30021_2_76</v>
      </c>
      <c r="B77" s="62" t="s">
        <v>213</v>
      </c>
      <c r="C77" s="63">
        <f>floors!$C$2</f>
        <v>30021</v>
      </c>
      <c r="D77" s="64" t="s">
        <v>214</v>
      </c>
      <c r="E77" s="64" t="s">
        <v>268</v>
      </c>
      <c r="F77" s="65">
        <v>2</v>
      </c>
      <c r="G77" s="64" t="s">
        <v>216</v>
      </c>
      <c r="H77" s="64" t="s">
        <v>268</v>
      </c>
      <c r="I77" s="66">
        <v>0</v>
      </c>
      <c r="J77" s="72">
        <f t="shared" si="3"/>
        <v>76</v>
      </c>
      <c r="K77">
        <v>37</v>
      </c>
      <c r="L77" s="65" t="s">
        <v>212</v>
      </c>
      <c r="M77" s="322" t="str">
        <f>VLOOKUP(K77,[6]stage_hints!$A:$C,3,FALSE)</f>
        <v>限界突破値の引き継ぎ</v>
      </c>
      <c r="N77" s="323" t="str">
        <f>VLOOKUP(K77,[6]stage_hints!$A:$D,4,FALSE)</f>
        <v>同じユニットを強化で合成すると_x000D_限界突破値を引き継げます（覚醒前後も可）</v>
      </c>
      <c r="O77" s="36" t="s">
        <v>198</v>
      </c>
    </row>
    <row r="78" spans="1:15" x14ac:dyDescent="0.15">
      <c r="A78" s="61" t="str">
        <f t="shared" si="2"/>
        <v>30021_3_77</v>
      </c>
      <c r="B78" s="62" t="s">
        <v>213</v>
      </c>
      <c r="C78" s="63">
        <f>floors!$C$2</f>
        <v>30021</v>
      </c>
      <c r="D78" s="64" t="s">
        <v>214</v>
      </c>
      <c r="E78" s="64" t="s">
        <v>231</v>
      </c>
      <c r="F78" s="65">
        <v>3</v>
      </c>
      <c r="G78" s="64" t="s">
        <v>216</v>
      </c>
      <c r="H78" s="64" t="s">
        <v>231</v>
      </c>
      <c r="I78" s="66">
        <v>0</v>
      </c>
      <c r="J78" s="72">
        <f t="shared" si="3"/>
        <v>77</v>
      </c>
      <c r="K78">
        <v>1</v>
      </c>
      <c r="L78" s="65" t="s">
        <v>212</v>
      </c>
      <c r="M78" s="322" t="str">
        <f>VLOOKUP(K78,[6]stage_hints!$A:$C,3,FALSE)</f>
        <v>長くつなげて大ダメージ</v>
      </c>
      <c r="N78" s="323" t="str">
        <f>VLOOKUP(K78,[6]stage_hints!$A:$D,4,FALSE)</f>
        <v>パネルを長くつなげるほど_x000D_大ダメージを与えることができます</v>
      </c>
      <c r="O78" s="36" t="s">
        <v>198</v>
      </c>
    </row>
    <row r="79" spans="1:15" x14ac:dyDescent="0.15">
      <c r="A79" s="61" t="str">
        <f t="shared" si="2"/>
        <v>30021_3_78</v>
      </c>
      <c r="B79" s="62" t="s">
        <v>213</v>
      </c>
      <c r="C79" s="63">
        <f>floors!$C$2</f>
        <v>30021</v>
      </c>
      <c r="D79" s="64" t="s">
        <v>214</v>
      </c>
      <c r="E79" s="64" t="s">
        <v>232</v>
      </c>
      <c r="F79" s="65">
        <v>3</v>
      </c>
      <c r="G79" s="64" t="s">
        <v>216</v>
      </c>
      <c r="H79" s="64" t="s">
        <v>232</v>
      </c>
      <c r="I79" s="66">
        <v>0</v>
      </c>
      <c r="J79" s="72">
        <f t="shared" si="3"/>
        <v>78</v>
      </c>
      <c r="K79">
        <v>2</v>
      </c>
      <c r="L79" s="65" t="s">
        <v>212</v>
      </c>
      <c r="M79" s="322" t="str">
        <f>VLOOKUP(K79,[6]stage_hints!$A:$C,3,FALSE)</f>
        <v>属性の相性</v>
      </c>
      <c r="N79" s="323" t="str">
        <f>VLOOKUP(K79,[6]stage_hints!$A:$D,4,FALSE)</f>
        <v>赤＞青　青＞黄　黄＞緑　緑＞赤_x000D_敵属性に最適なパーティがオススメです</v>
      </c>
      <c r="O79" s="36" t="s">
        <v>198</v>
      </c>
    </row>
    <row r="80" spans="1:15" x14ac:dyDescent="0.15">
      <c r="A80" s="61" t="str">
        <f t="shared" si="2"/>
        <v>30021_3_79</v>
      </c>
      <c r="B80" s="62" t="s">
        <v>213</v>
      </c>
      <c r="C80" s="63">
        <f>floors!$C$2</f>
        <v>30021</v>
      </c>
      <c r="D80" s="64" t="s">
        <v>214</v>
      </c>
      <c r="E80" s="64" t="s">
        <v>233</v>
      </c>
      <c r="F80" s="65">
        <v>3</v>
      </c>
      <c r="G80" s="64" t="s">
        <v>216</v>
      </c>
      <c r="H80" s="64" t="s">
        <v>233</v>
      </c>
      <c r="I80" s="66">
        <v>0</v>
      </c>
      <c r="J80" s="72">
        <f t="shared" si="3"/>
        <v>79</v>
      </c>
      <c r="K80">
        <v>3</v>
      </c>
      <c r="L80" s="65" t="s">
        <v>212</v>
      </c>
      <c r="M80" s="322" t="str">
        <f>VLOOKUP(K80,[6]stage_hints!$A:$C,3,FALSE)</f>
        <v>ターゲット</v>
      </c>
      <c r="N80" s="323" t="str">
        <f>VLOOKUP(K80,[6]stage_hints!$A:$D,4,FALSE)</f>
        <v>敵ユニットをタップすると_x000D_その敵を狙い撃ちできます</v>
      </c>
      <c r="O80" s="36" t="s">
        <v>198</v>
      </c>
    </row>
    <row r="81" spans="1:15" x14ac:dyDescent="0.15">
      <c r="A81" s="61" t="str">
        <f t="shared" si="2"/>
        <v>30021_3_80</v>
      </c>
      <c r="B81" s="62" t="s">
        <v>213</v>
      </c>
      <c r="C81" s="63">
        <f>floors!$C$2</f>
        <v>30021</v>
      </c>
      <c r="D81" s="64" t="s">
        <v>214</v>
      </c>
      <c r="E81" s="64" t="s">
        <v>234</v>
      </c>
      <c r="F81" s="65">
        <v>3</v>
      </c>
      <c r="G81" s="64" t="s">
        <v>216</v>
      </c>
      <c r="H81" s="64" t="s">
        <v>234</v>
      </c>
      <c r="I81" s="66">
        <v>0</v>
      </c>
      <c r="J81" s="72">
        <f t="shared" si="3"/>
        <v>80</v>
      </c>
      <c r="K81">
        <v>4</v>
      </c>
      <c r="L81" s="65" t="s">
        <v>212</v>
      </c>
      <c r="M81" s="322" t="str">
        <f>VLOOKUP(K81,[6]stage_hints!$A:$C,3,FALSE)</f>
        <v>ボーナスクエスト</v>
      </c>
      <c r="N81" s="323" t="str">
        <f>VLOOKUP(K81,[6]stage_hints!$A:$D,4,FALSE)</f>
        <v>ノーマルクエストを進めると_x000D_嬉しいボーナスクエストが登場します</v>
      </c>
      <c r="O81" s="36" t="s">
        <v>198</v>
      </c>
    </row>
    <row r="82" spans="1:15" x14ac:dyDescent="0.15">
      <c r="A82" s="61" t="str">
        <f t="shared" si="2"/>
        <v>30021_3_81</v>
      </c>
      <c r="B82" s="62" t="s">
        <v>213</v>
      </c>
      <c r="C82" s="63">
        <f>floors!$C$2</f>
        <v>30021</v>
      </c>
      <c r="D82" s="64" t="s">
        <v>214</v>
      </c>
      <c r="E82" s="64" t="s">
        <v>235</v>
      </c>
      <c r="F82" s="65">
        <v>3</v>
      </c>
      <c r="G82" s="64" t="s">
        <v>216</v>
      </c>
      <c r="H82" s="64" t="s">
        <v>235</v>
      </c>
      <c r="I82" s="66">
        <v>0</v>
      </c>
      <c r="J82" s="72">
        <f t="shared" si="3"/>
        <v>81</v>
      </c>
      <c r="K82">
        <v>5</v>
      </c>
      <c r="L82" s="65" t="s">
        <v>212</v>
      </c>
      <c r="M82" s="322" t="str">
        <f>VLOOKUP(K82,[6]stage_hints!$A:$C,3,FALSE)</f>
        <v>ユニット強化でレベルアップ</v>
      </c>
      <c r="N82" s="323" t="str">
        <f>VLOOKUP(K82,[6]stage_hints!$A:$D,4,FALSE)</f>
        <v>「ユニット強化」でレベルアップすると_x000D_勝てない敵にも勝てるようになります</v>
      </c>
      <c r="O82" s="36" t="s">
        <v>198</v>
      </c>
    </row>
    <row r="83" spans="1:15" x14ac:dyDescent="0.15">
      <c r="A83" s="61" t="str">
        <f t="shared" si="2"/>
        <v>30021_3_82</v>
      </c>
      <c r="B83" s="62" t="s">
        <v>213</v>
      </c>
      <c r="C83" s="63">
        <f>floors!$C$2</f>
        <v>30021</v>
      </c>
      <c r="D83" s="64" t="s">
        <v>214</v>
      </c>
      <c r="E83" s="64" t="s">
        <v>236</v>
      </c>
      <c r="F83" s="65">
        <v>3</v>
      </c>
      <c r="G83" s="64" t="s">
        <v>216</v>
      </c>
      <c r="H83" s="64" t="s">
        <v>236</v>
      </c>
      <c r="I83" s="66">
        <v>0</v>
      </c>
      <c r="J83" s="72">
        <f t="shared" si="3"/>
        <v>82</v>
      </c>
      <c r="K83">
        <v>6</v>
      </c>
      <c r="L83" s="65" t="s">
        <v>212</v>
      </c>
      <c r="M83" s="322" t="str">
        <f>VLOOKUP(K83,[6]stage_hints!$A:$C,3,FALSE)</f>
        <v>ユニット強化の属性ボーナス</v>
      </c>
      <c r="N83" s="323" t="str">
        <f>VLOOKUP(K83,[6]stage_hints!$A:$D,4,FALSE)</f>
        <v>同属性ユニットを強化素材にすると_x000D_経験値が多くもらえます</v>
      </c>
      <c r="O83" s="36" t="s">
        <v>198</v>
      </c>
    </row>
    <row r="84" spans="1:15" x14ac:dyDescent="0.15">
      <c r="A84" s="61" t="str">
        <f t="shared" si="2"/>
        <v>30021_3_83</v>
      </c>
      <c r="B84" s="62" t="s">
        <v>213</v>
      </c>
      <c r="C84" s="63">
        <f>floors!$C$2</f>
        <v>30021</v>
      </c>
      <c r="D84" s="64" t="s">
        <v>214</v>
      </c>
      <c r="E84" s="64" t="s">
        <v>237</v>
      </c>
      <c r="F84" s="65">
        <v>3</v>
      </c>
      <c r="G84" s="64" t="s">
        <v>216</v>
      </c>
      <c r="H84" s="64" t="s">
        <v>237</v>
      </c>
      <c r="I84" s="66">
        <v>0</v>
      </c>
      <c r="J84" s="72">
        <f t="shared" si="3"/>
        <v>83</v>
      </c>
      <c r="K84">
        <v>7</v>
      </c>
      <c r="L84" s="65" t="s">
        <v>212</v>
      </c>
      <c r="M84" s="322" t="str">
        <f>VLOOKUP(K84,[6]stage_hints!$A:$C,3,FALSE)</f>
        <v>メタルダックで経験値を獲得</v>
      </c>
      <c r="N84" s="323" t="str">
        <f>VLOOKUP(K84,[6]stage_hints!$A:$D,4,FALSE)</f>
        <v>「メタルなアヒル」を強化素材にすると_x000D_大量の経験値がもらえます</v>
      </c>
      <c r="O84" s="36" t="s">
        <v>198</v>
      </c>
    </row>
    <row r="85" spans="1:15" x14ac:dyDescent="0.15">
      <c r="A85" s="61" t="str">
        <f t="shared" si="2"/>
        <v>30021_3_84</v>
      </c>
      <c r="B85" s="62" t="s">
        <v>213</v>
      </c>
      <c r="C85" s="63">
        <f>floors!$C$2</f>
        <v>30021</v>
      </c>
      <c r="D85" s="64" t="s">
        <v>214</v>
      </c>
      <c r="E85" s="64" t="s">
        <v>238</v>
      </c>
      <c r="F85" s="65">
        <v>3</v>
      </c>
      <c r="G85" s="64" t="s">
        <v>216</v>
      </c>
      <c r="H85" s="64" t="s">
        <v>238</v>
      </c>
      <c r="I85" s="66">
        <v>0</v>
      </c>
      <c r="J85" s="72">
        <f t="shared" si="3"/>
        <v>84</v>
      </c>
      <c r="K85">
        <v>8</v>
      </c>
      <c r="L85" s="65" t="s">
        <v>212</v>
      </c>
      <c r="M85" s="322" t="str">
        <f>VLOOKUP(K85,[6]stage_hints!$A:$C,3,FALSE)</f>
        <v>ゲリラクエストは要チェック</v>
      </c>
      <c r="N85" s="323" t="str">
        <f>VLOOKUP(K85,[6]stage_hints!$A:$D,4,FALSE)</f>
        <v>時間限定の「アヒル捕獲作戦」では_x000D_経験値素材ユニットが多く手に入ります</v>
      </c>
      <c r="O85" s="36" t="s">
        <v>198</v>
      </c>
    </row>
    <row r="86" spans="1:15" x14ac:dyDescent="0.15">
      <c r="A86" s="61" t="str">
        <f t="shared" si="2"/>
        <v>30021_3_85</v>
      </c>
      <c r="B86" s="62" t="s">
        <v>213</v>
      </c>
      <c r="C86" s="63">
        <f>floors!$C$2</f>
        <v>30021</v>
      </c>
      <c r="D86" s="64" t="s">
        <v>214</v>
      </c>
      <c r="E86" s="64" t="s">
        <v>239</v>
      </c>
      <c r="F86" s="65">
        <v>3</v>
      </c>
      <c r="G86" s="64" t="s">
        <v>216</v>
      </c>
      <c r="H86" s="64" t="s">
        <v>239</v>
      </c>
      <c r="I86" s="66">
        <v>0</v>
      </c>
      <c r="J86" s="72">
        <f t="shared" si="3"/>
        <v>85</v>
      </c>
      <c r="K86">
        <v>9</v>
      </c>
      <c r="L86" s="65" t="s">
        <v>212</v>
      </c>
      <c r="M86" s="322" t="str">
        <f>VLOOKUP(K86,[6]stage_hints!$A:$C,3,FALSE)</f>
        <v>ゴールドダックでビットを獲得</v>
      </c>
      <c r="N86" s="323" t="str">
        <f>VLOOKUP(K86,[6]stage_hints!$A:$D,4,FALSE)</f>
        <v>「ゴールドなアヒル」を売却すると_x000D_大量のビットがもらえます</v>
      </c>
      <c r="O86" s="36" t="s">
        <v>198</v>
      </c>
    </row>
    <row r="87" spans="1:15" x14ac:dyDescent="0.15">
      <c r="A87" s="61" t="str">
        <f t="shared" si="2"/>
        <v>30021_3_86</v>
      </c>
      <c r="B87" s="62" t="s">
        <v>213</v>
      </c>
      <c r="C87" s="63">
        <f>floors!$C$2</f>
        <v>30021</v>
      </c>
      <c r="D87" s="64" t="s">
        <v>214</v>
      </c>
      <c r="E87" s="64" t="s">
        <v>240</v>
      </c>
      <c r="F87" s="65">
        <v>3</v>
      </c>
      <c r="G87" s="64" t="s">
        <v>216</v>
      </c>
      <c r="H87" s="64" t="s">
        <v>240</v>
      </c>
      <c r="I87" s="66">
        <v>0</v>
      </c>
      <c r="J87" s="72">
        <f t="shared" si="3"/>
        <v>86</v>
      </c>
      <c r="K87">
        <v>10</v>
      </c>
      <c r="L87" s="65" t="s">
        <v>212</v>
      </c>
      <c r="M87" s="322" t="str">
        <f>VLOOKUP(K87,[6]stage_hints!$A:$C,3,FALSE)</f>
        <v>土日に大量のビットを獲得</v>
      </c>
      <c r="N87" s="323" t="str">
        <f>VLOOKUP(K87,[6]stage_hints!$A:$D,4,FALSE)</f>
        <v>土日限定の「ゴールドカジノ」では_x000D_売却素材ユニットが多く手に入ります</v>
      </c>
      <c r="O87" s="36" t="s">
        <v>198</v>
      </c>
    </row>
    <row r="88" spans="1:15" x14ac:dyDescent="0.15">
      <c r="A88" s="61" t="str">
        <f t="shared" si="2"/>
        <v>30021_3_87</v>
      </c>
      <c r="B88" s="62" t="s">
        <v>213</v>
      </c>
      <c r="C88" s="63">
        <f>floors!$C$2</f>
        <v>30021</v>
      </c>
      <c r="D88" s="64" t="s">
        <v>214</v>
      </c>
      <c r="E88" s="64" t="s">
        <v>241</v>
      </c>
      <c r="F88" s="65">
        <v>3</v>
      </c>
      <c r="G88" s="64" t="s">
        <v>216</v>
      </c>
      <c r="H88" s="64" t="s">
        <v>241</v>
      </c>
      <c r="I88" s="66">
        <v>0</v>
      </c>
      <c r="J88" s="72">
        <f t="shared" si="3"/>
        <v>87</v>
      </c>
      <c r="K88">
        <v>11</v>
      </c>
      <c r="L88" s="65" t="s">
        <v>212</v>
      </c>
      <c r="M88" s="322" t="str">
        <f>VLOOKUP(K88,[6]stage_hints!$A:$C,3,FALSE)</f>
        <v>ランク解放クエスト</v>
      </c>
      <c r="N88" s="323" t="str">
        <f>VLOOKUP(K88,[6]stage_hints!$A:$D,4,FALSE)</f>
        <v>一定ランクに到達すると_x000D_報酬付きのランク開放クエストが現れます</v>
      </c>
      <c r="O88" s="36" t="s">
        <v>198</v>
      </c>
    </row>
    <row r="89" spans="1:15" x14ac:dyDescent="0.15">
      <c r="A89" s="61" t="str">
        <f t="shared" si="2"/>
        <v>30021_3_88</v>
      </c>
      <c r="B89" s="62" t="s">
        <v>213</v>
      </c>
      <c r="C89" s="63">
        <f>floors!$C$2</f>
        <v>30021</v>
      </c>
      <c r="D89" s="64" t="s">
        <v>214</v>
      </c>
      <c r="E89" s="64" t="s">
        <v>242</v>
      </c>
      <c r="F89" s="65">
        <v>3</v>
      </c>
      <c r="G89" s="64" t="s">
        <v>216</v>
      </c>
      <c r="H89" s="64" t="s">
        <v>242</v>
      </c>
      <c r="I89" s="66">
        <v>0</v>
      </c>
      <c r="J89" s="72">
        <f t="shared" si="3"/>
        <v>88</v>
      </c>
      <c r="K89">
        <v>12</v>
      </c>
      <c r="L89" s="65" t="s">
        <v>212</v>
      </c>
      <c r="M89" s="322" t="str">
        <f>VLOOKUP(K89,[6]stage_hints!$A:$C,3,FALSE)</f>
        <v>ユニットのお気に入り登録</v>
      </c>
      <c r="N89" s="323" t="str">
        <f>VLOOKUP(K89,[6]stage_hints!$A:$D,4,FALSE)</f>
        <v>大事なユニットを誤って消さないように_x000D_フォルダから「お気に入り登録」しましょう</v>
      </c>
      <c r="O89" s="36" t="s">
        <v>198</v>
      </c>
    </row>
    <row r="90" spans="1:15" x14ac:dyDescent="0.15">
      <c r="A90" s="61" t="str">
        <f t="shared" si="2"/>
        <v>30021_3_89</v>
      </c>
      <c r="B90" s="62" t="s">
        <v>213</v>
      </c>
      <c r="C90" s="63">
        <f>floors!$C$2</f>
        <v>30021</v>
      </c>
      <c r="D90" s="64" t="s">
        <v>214</v>
      </c>
      <c r="E90" s="64" t="s">
        <v>243</v>
      </c>
      <c r="F90" s="65">
        <v>3</v>
      </c>
      <c r="G90" s="64" t="s">
        <v>216</v>
      </c>
      <c r="H90" s="64" t="s">
        <v>243</v>
      </c>
      <c r="I90" s="66">
        <v>0</v>
      </c>
      <c r="J90" s="72">
        <f t="shared" si="3"/>
        <v>89</v>
      </c>
      <c r="K90">
        <v>13</v>
      </c>
      <c r="L90" s="65" t="s">
        <v>212</v>
      </c>
      <c r="M90" s="322" t="str">
        <f>VLOOKUP(K90,[6]stage_hints!$A:$C,3,FALSE)</f>
        <v>ユニットの覚醒</v>
      </c>
      <c r="N90" s="323" t="str">
        <f>VLOOKUP(K90,[6]stage_hints!$A:$D,4,FALSE)</f>
        <v>ユニットを覚醒させると_x000D_比べものにならない強さが手に入ります</v>
      </c>
      <c r="O90" s="36" t="s">
        <v>198</v>
      </c>
    </row>
    <row r="91" spans="1:15" x14ac:dyDescent="0.15">
      <c r="A91" s="61" t="str">
        <f t="shared" si="2"/>
        <v>30021_3_90</v>
      </c>
      <c r="B91" s="62" t="s">
        <v>213</v>
      </c>
      <c r="C91" s="63">
        <f>floors!$C$2</f>
        <v>30021</v>
      </c>
      <c r="D91" s="64" t="s">
        <v>214</v>
      </c>
      <c r="E91" s="64" t="s">
        <v>244</v>
      </c>
      <c r="F91" s="65">
        <v>3</v>
      </c>
      <c r="G91" s="64" t="s">
        <v>216</v>
      </c>
      <c r="H91" s="64" t="s">
        <v>244</v>
      </c>
      <c r="I91" s="66">
        <v>0</v>
      </c>
      <c r="J91" s="72">
        <f t="shared" si="3"/>
        <v>90</v>
      </c>
      <c r="K91">
        <v>14</v>
      </c>
      <c r="L91" s="65" t="s">
        <v>212</v>
      </c>
      <c r="M91" s="322" t="str">
        <f>VLOOKUP(K91,[6]stage_hints!$A:$C,3,FALSE)</f>
        <v>覚醒するにはレベルを最大に</v>
      </c>
      <c r="N91" s="323" t="str">
        <f>VLOOKUP(K91,[6]stage_hints!$A:$D,4,FALSE)</f>
        <v>覚醒するにはユニットのレベルを_x000D_最大まで上げる必要があります</v>
      </c>
      <c r="O91" s="36" t="s">
        <v>198</v>
      </c>
    </row>
    <row r="92" spans="1:15" x14ac:dyDescent="0.15">
      <c r="A92" s="61" t="str">
        <f t="shared" si="2"/>
        <v>30021_3_91</v>
      </c>
      <c r="B92" s="62" t="s">
        <v>213</v>
      </c>
      <c r="C92" s="63">
        <f>floors!$C$2</f>
        <v>30021</v>
      </c>
      <c r="D92" s="64" t="s">
        <v>214</v>
      </c>
      <c r="E92" s="64" t="s">
        <v>245</v>
      </c>
      <c r="F92" s="65">
        <v>3</v>
      </c>
      <c r="G92" s="64" t="s">
        <v>216</v>
      </c>
      <c r="H92" s="64" t="s">
        <v>245</v>
      </c>
      <c r="I92" s="66">
        <v>0</v>
      </c>
      <c r="J92" s="72">
        <f t="shared" si="3"/>
        <v>91</v>
      </c>
      <c r="K92">
        <v>15</v>
      </c>
      <c r="L92" s="65" t="s">
        <v>212</v>
      </c>
      <c r="M92" s="322" t="str">
        <f>VLOOKUP(K92,[6]stage_hints!$A:$C,3,FALSE)</f>
        <v>覚醒素材を獲得</v>
      </c>
      <c r="N92" s="323" t="str">
        <f>VLOOKUP(K92,[6]stage_hints!$A:$D,4,FALSE)</f>
        <v>「曜日クエスト」では_x000D_ユニットの覚醒に必要な素材が手に入ります</v>
      </c>
      <c r="O92" s="36" t="s">
        <v>198</v>
      </c>
    </row>
    <row r="93" spans="1:15" x14ac:dyDescent="0.15">
      <c r="A93" s="61" t="str">
        <f t="shared" si="2"/>
        <v>30021_3_92</v>
      </c>
      <c r="B93" s="62" t="s">
        <v>213</v>
      </c>
      <c r="C93" s="63">
        <f>floors!$C$2</f>
        <v>30021</v>
      </c>
      <c r="D93" s="64" t="s">
        <v>214</v>
      </c>
      <c r="E93" s="64" t="s">
        <v>246</v>
      </c>
      <c r="F93" s="65">
        <v>3</v>
      </c>
      <c r="G93" s="64" t="s">
        <v>216</v>
      </c>
      <c r="H93" s="64" t="s">
        <v>246</v>
      </c>
      <c r="I93" s="66">
        <v>0</v>
      </c>
      <c r="J93" s="72">
        <f t="shared" si="3"/>
        <v>92</v>
      </c>
      <c r="K93">
        <v>16</v>
      </c>
      <c r="L93" s="65" t="s">
        <v>212</v>
      </c>
      <c r="M93" s="322" t="str">
        <f>VLOOKUP(K93,[6]stage_hints!$A:$C,3,FALSE)</f>
        <v>マルチプレイのメリット（その1）</v>
      </c>
      <c r="N93" s="323" t="str">
        <f>VLOOKUP(K93,[6]stage_hints!$A:$D,4,FALSE)</f>
        <v>他のプレイヤーとマルチプレイで遊ぶと_x000D_ポリゴンがもらえます（100人まで）</v>
      </c>
      <c r="O93" s="36" t="s">
        <v>198</v>
      </c>
    </row>
    <row r="94" spans="1:15" x14ac:dyDescent="0.15">
      <c r="A94" s="61" t="str">
        <f t="shared" si="2"/>
        <v>30021_3_93</v>
      </c>
      <c r="B94" s="62" t="s">
        <v>213</v>
      </c>
      <c r="C94" s="63">
        <f>floors!$C$2</f>
        <v>30021</v>
      </c>
      <c r="D94" s="64" t="s">
        <v>214</v>
      </c>
      <c r="E94" s="64" t="s">
        <v>247</v>
      </c>
      <c r="F94" s="65">
        <v>3</v>
      </c>
      <c r="G94" s="64" t="s">
        <v>216</v>
      </c>
      <c r="H94" s="64" t="s">
        <v>247</v>
      </c>
      <c r="I94" s="66">
        <v>0</v>
      </c>
      <c r="J94" s="72">
        <f t="shared" si="3"/>
        <v>93</v>
      </c>
      <c r="K94">
        <v>17</v>
      </c>
      <c r="L94" s="65" t="s">
        <v>212</v>
      </c>
      <c r="M94" s="322" t="str">
        <f>VLOOKUP(K94,[6]stage_hints!$A:$C,3,FALSE)</f>
        <v>リンクガチャ</v>
      </c>
      <c r="N94" s="323" t="str">
        <f>VLOOKUP(K94,[6]stage_hints!$A:$D,4,FALSE)</f>
        <v>無料のリンクガチャを回して_x000D_経験値素材や売却素材を獲得しましょう</v>
      </c>
      <c r="O94" s="36" t="s">
        <v>198</v>
      </c>
    </row>
    <row r="95" spans="1:15" x14ac:dyDescent="0.15">
      <c r="A95" s="61" t="str">
        <f t="shared" si="2"/>
        <v>30021_3_94</v>
      </c>
      <c r="B95" s="62" t="s">
        <v>213</v>
      </c>
      <c r="C95" s="63">
        <f>floors!$C$2</f>
        <v>30021</v>
      </c>
      <c r="D95" s="64" t="s">
        <v>214</v>
      </c>
      <c r="E95" s="64" t="s">
        <v>248</v>
      </c>
      <c r="F95" s="65">
        <v>3</v>
      </c>
      <c r="G95" s="64" t="s">
        <v>216</v>
      </c>
      <c r="H95" s="64" t="s">
        <v>248</v>
      </c>
      <c r="I95" s="66">
        <v>0</v>
      </c>
      <c r="J95" s="72">
        <f t="shared" si="3"/>
        <v>94</v>
      </c>
      <c r="K95">
        <v>18</v>
      </c>
      <c r="L95" s="65" t="s">
        <v>212</v>
      </c>
      <c r="M95" s="322" t="str">
        <f>VLOOKUP(K95,[6]stage_hints!$A:$C,3,FALSE)</f>
        <v>マルチプレイのメリット（その2）</v>
      </c>
      <c r="N95" s="323" t="str">
        <f>VLOOKUP(K95,[6]stage_hints!$A:$D,4,FALSE)</f>
        <v>マルチプレイならリンクが2倍もらえます_x000D_リンクガチャをたくさん回しましょう</v>
      </c>
      <c r="O95" s="36" t="s">
        <v>198</v>
      </c>
    </row>
    <row r="96" spans="1:15" x14ac:dyDescent="0.15">
      <c r="A96" s="61" t="str">
        <f t="shared" si="2"/>
        <v>30021_3_95</v>
      </c>
      <c r="B96" s="62" t="s">
        <v>213</v>
      </c>
      <c r="C96" s="63">
        <f>floors!$C$2</f>
        <v>30021</v>
      </c>
      <c r="D96" s="64" t="s">
        <v>214</v>
      </c>
      <c r="E96" s="64" t="s">
        <v>249</v>
      </c>
      <c r="F96" s="65">
        <v>3</v>
      </c>
      <c r="G96" s="64" t="s">
        <v>216</v>
      </c>
      <c r="H96" s="64" t="s">
        <v>249</v>
      </c>
      <c r="I96" s="66">
        <v>0</v>
      </c>
      <c r="J96" s="72">
        <f t="shared" si="3"/>
        <v>95</v>
      </c>
      <c r="K96">
        <v>19</v>
      </c>
      <c r="L96" s="65" t="s">
        <v>212</v>
      </c>
      <c r="M96" s="322" t="str">
        <f>VLOOKUP(K96,[6]stage_hints!$A:$C,3,FALSE)</f>
        <v>ソロ専用チャレンジタワー</v>
      </c>
      <c r="N96" s="323" t="str">
        <f>VLOOKUP(K96,[6]stage_hints!$A:$D,4,FALSE)</f>
        <v>ソロ専用の「チャレンジタワー」では_x000D_各フロアごとにクリア報酬がもらえます</v>
      </c>
      <c r="O96" s="36" t="s">
        <v>198</v>
      </c>
    </row>
    <row r="97" spans="1:15" x14ac:dyDescent="0.15">
      <c r="A97" s="61" t="str">
        <f t="shared" si="2"/>
        <v>30021_3_96</v>
      </c>
      <c r="B97" s="62" t="s">
        <v>213</v>
      </c>
      <c r="C97" s="63">
        <f>floors!$C$2</f>
        <v>30021</v>
      </c>
      <c r="D97" s="64" t="s">
        <v>214</v>
      </c>
      <c r="E97" s="64" t="s">
        <v>250</v>
      </c>
      <c r="F97" s="65">
        <v>3</v>
      </c>
      <c r="G97" s="64" t="s">
        <v>216</v>
      </c>
      <c r="H97" s="64" t="s">
        <v>250</v>
      </c>
      <c r="I97" s="66">
        <v>0</v>
      </c>
      <c r="J97" s="72">
        <f t="shared" si="3"/>
        <v>96</v>
      </c>
      <c r="K97">
        <v>20</v>
      </c>
      <c r="L97" s="65" t="s">
        <v>212</v>
      </c>
      <c r="M97" s="322" t="str">
        <f>VLOOKUP(K97,[6]stage_hints!$A:$C,3,FALSE)</f>
        <v>マルチプレイのメリット（その3）</v>
      </c>
      <c r="N97" s="323" t="str">
        <f>VLOOKUP(K97,[6]stage_hints!$A:$D,4,FALSE)</f>
        <v>マルチプレイへの参加はエナジー消費ゼロ_x000D_いつでも好きなだけ遊ぶことができます</v>
      </c>
      <c r="O97" s="36" t="s">
        <v>198</v>
      </c>
    </row>
    <row r="98" spans="1:15" x14ac:dyDescent="0.15">
      <c r="A98" s="61" t="str">
        <f t="shared" ref="A98:A115" si="4">C98&amp;"_"&amp;F98&amp;"_"&amp;J98</f>
        <v>30021_3_97</v>
      </c>
      <c r="B98" s="62" t="s">
        <v>213</v>
      </c>
      <c r="C98" s="63">
        <f>floors!$C$2</f>
        <v>30021</v>
      </c>
      <c r="D98" s="64" t="s">
        <v>214</v>
      </c>
      <c r="E98" s="64" t="s">
        <v>251</v>
      </c>
      <c r="F98" s="65">
        <v>3</v>
      </c>
      <c r="G98" s="64" t="s">
        <v>216</v>
      </c>
      <c r="H98" s="64" t="s">
        <v>251</v>
      </c>
      <c r="I98" s="66">
        <v>0</v>
      </c>
      <c r="J98" s="72">
        <f t="shared" si="3"/>
        <v>97</v>
      </c>
      <c r="K98">
        <v>21</v>
      </c>
      <c r="L98" s="65" t="s">
        <v>212</v>
      </c>
      <c r="M98" s="322" t="str">
        <f>VLOOKUP(K98,[6]stage_hints!$A:$C,3,FALSE)</f>
        <v>スキルを有効に</v>
      </c>
      <c r="N98" s="323" t="str">
        <f>VLOOKUP(K98,[6]stage_hints!$A:$D,4,FALSE)</f>
        <v>ターン経過でユニットのスキルが使えます_x000D_強力スキルでバトルを有利に進めましょう</v>
      </c>
      <c r="O98" s="36" t="s">
        <v>198</v>
      </c>
    </row>
    <row r="99" spans="1:15" x14ac:dyDescent="0.15">
      <c r="A99" s="61" t="str">
        <f t="shared" si="4"/>
        <v>30021_3_98</v>
      </c>
      <c r="B99" s="62" t="s">
        <v>213</v>
      </c>
      <c r="C99" s="63">
        <f>floors!$C$2</f>
        <v>30021</v>
      </c>
      <c r="D99" s="64" t="s">
        <v>214</v>
      </c>
      <c r="E99" s="64" t="s">
        <v>252</v>
      </c>
      <c r="F99" s="65">
        <v>3</v>
      </c>
      <c r="G99" s="64" t="s">
        <v>216</v>
      </c>
      <c r="H99" s="64" t="s">
        <v>252</v>
      </c>
      <c r="I99" s="66">
        <v>0</v>
      </c>
      <c r="J99" s="72">
        <f t="shared" si="3"/>
        <v>98</v>
      </c>
      <c r="K99">
        <v>22</v>
      </c>
      <c r="L99" s="65" t="s">
        <v>212</v>
      </c>
      <c r="M99" s="322" t="str">
        <f>VLOOKUP(K99,[6]stage_hints!$A:$C,3,FALSE)</f>
        <v>フィーバーで一発逆転（その1）</v>
      </c>
      <c r="N99" s="323" t="str">
        <f>VLOOKUP(K99,[6]stage_hints!$A:$D,4,FALSE)</f>
        <v>フィーバーは攻撃と回復を兼ね備えます_x000D_ピンチからの一発逆転を狙いましょう</v>
      </c>
      <c r="O99" s="36" t="s">
        <v>198</v>
      </c>
    </row>
    <row r="100" spans="1:15" x14ac:dyDescent="0.15">
      <c r="A100" s="61" t="str">
        <f t="shared" si="4"/>
        <v>30021_3_99</v>
      </c>
      <c r="B100" s="62" t="s">
        <v>213</v>
      </c>
      <c r="C100" s="63">
        <f>floors!$C$2</f>
        <v>30021</v>
      </c>
      <c r="D100" s="64" t="s">
        <v>214</v>
      </c>
      <c r="E100" s="64" t="s">
        <v>253</v>
      </c>
      <c r="F100" s="65">
        <v>3</v>
      </c>
      <c r="G100" s="64" t="s">
        <v>216</v>
      </c>
      <c r="H100" s="64" t="s">
        <v>253</v>
      </c>
      <c r="I100" s="66">
        <v>0</v>
      </c>
      <c r="J100" s="72">
        <f t="shared" si="3"/>
        <v>99</v>
      </c>
      <c r="K100">
        <v>23</v>
      </c>
      <c r="L100" s="65" t="s">
        <v>212</v>
      </c>
      <c r="M100" s="322" t="str">
        <f>VLOOKUP(K100,[6]stage_hints!$A:$C,3,FALSE)</f>
        <v>フィーバーで一発逆転（その2）</v>
      </c>
      <c r="N100" s="323" t="str">
        <f>VLOOKUP(K100,[6]stage_hints!$A:$D,4,FALSE)</f>
        <v>フィーバー中は虹色のボムパネルを狙って_x000D_画面上のパネルを一気に破壊しましょう</v>
      </c>
      <c r="O100" s="36" t="s">
        <v>198</v>
      </c>
    </row>
    <row r="101" spans="1:15" x14ac:dyDescent="0.15">
      <c r="A101" s="61" t="str">
        <f t="shared" si="4"/>
        <v>30021_3_100</v>
      </c>
      <c r="B101" s="62" t="s">
        <v>213</v>
      </c>
      <c r="C101" s="63">
        <f>floors!$C$2</f>
        <v>30021</v>
      </c>
      <c r="D101" s="64" t="s">
        <v>214</v>
      </c>
      <c r="E101" s="64" t="s">
        <v>254</v>
      </c>
      <c r="F101" s="65">
        <v>3</v>
      </c>
      <c r="G101" s="64" t="s">
        <v>216</v>
      </c>
      <c r="H101" s="64" t="s">
        <v>254</v>
      </c>
      <c r="I101" s="66">
        <v>0</v>
      </c>
      <c r="J101" s="72">
        <f t="shared" si="3"/>
        <v>100</v>
      </c>
      <c r="K101">
        <v>24</v>
      </c>
      <c r="L101" s="65" t="s">
        <v>212</v>
      </c>
      <c r="M101" s="322" t="str">
        <f>VLOOKUP(K101,[6]stage_hints!$A:$C,3,FALSE)</f>
        <v>りんごを使って限界突破</v>
      </c>
      <c r="N101" s="323" t="str">
        <f>VLOOKUP(K101,[6]stage_hints!$A:$D,4,FALSE)</f>
        <v>赤りんご(攻撃力) 青りんご(回復力)_x000D_緑りんご(体力)をユニット強化に使うと_x000D_ステータスが限界突破します（計99個迄）</v>
      </c>
      <c r="O101" s="36" t="s">
        <v>198</v>
      </c>
    </row>
    <row r="102" spans="1:15" x14ac:dyDescent="0.15">
      <c r="A102" s="61" t="str">
        <f t="shared" si="4"/>
        <v>30021_3_101</v>
      </c>
      <c r="B102" s="62" t="s">
        <v>213</v>
      </c>
      <c r="C102" s="63">
        <f>floors!$C$2</f>
        <v>30021</v>
      </c>
      <c r="D102" s="64" t="s">
        <v>214</v>
      </c>
      <c r="E102" s="64" t="s">
        <v>255</v>
      </c>
      <c r="F102" s="65">
        <v>3</v>
      </c>
      <c r="G102" s="64" t="s">
        <v>216</v>
      </c>
      <c r="H102" s="64" t="s">
        <v>255</v>
      </c>
      <c r="I102" s="66">
        <v>0</v>
      </c>
      <c r="J102" s="72">
        <f t="shared" si="3"/>
        <v>101</v>
      </c>
      <c r="K102">
        <v>25</v>
      </c>
      <c r="L102" s="65" t="s">
        <v>212</v>
      </c>
      <c r="M102" s="322" t="str">
        <f>VLOOKUP(K102,[6]stage_hints!$A:$C,3,FALSE)</f>
        <v>スキルレベルアップ</v>
      </c>
      <c r="N102" s="323" t="str">
        <f>VLOOKUP(K102,[6]stage_hints!$A:$D,4,FALSE)</f>
        <v>「クリスタルのりんご」を強化に使うと_x000D_スキルレベルを上げることができます</v>
      </c>
      <c r="O102" s="36" t="s">
        <v>198</v>
      </c>
    </row>
    <row r="103" spans="1:15" x14ac:dyDescent="0.15">
      <c r="A103" s="61" t="str">
        <f t="shared" si="4"/>
        <v>30021_3_102</v>
      </c>
      <c r="B103" s="62" t="s">
        <v>213</v>
      </c>
      <c r="C103" s="63">
        <f>floors!$C$2</f>
        <v>30021</v>
      </c>
      <c r="D103" s="64" t="s">
        <v>214</v>
      </c>
      <c r="E103" s="64" t="s">
        <v>256</v>
      </c>
      <c r="F103" s="65">
        <v>3</v>
      </c>
      <c r="G103" s="64" t="s">
        <v>216</v>
      </c>
      <c r="H103" s="64" t="s">
        <v>256</v>
      </c>
      <c r="I103" s="66">
        <v>0</v>
      </c>
      <c r="J103" s="72">
        <f t="shared" si="3"/>
        <v>102</v>
      </c>
      <c r="K103">
        <v>26</v>
      </c>
      <c r="L103" s="65" t="s">
        <v>212</v>
      </c>
      <c r="M103" s="322" t="str">
        <f>VLOOKUP(K103,[6]stage_hints!$A:$C,3,FALSE)</f>
        <v>スキルレベルの効果</v>
      </c>
      <c r="N103" s="323" t="str">
        <f>VLOOKUP(K103,[6]stage_hints!$A:$D,4,FALSE)</f>
        <v>スキルレベルが上がると_x000D_短いターンでスキルを使うことができます</v>
      </c>
      <c r="O103" s="36" t="s">
        <v>198</v>
      </c>
    </row>
    <row r="104" spans="1:15" x14ac:dyDescent="0.15">
      <c r="A104" s="61" t="str">
        <f t="shared" si="4"/>
        <v>30021_3_103</v>
      </c>
      <c r="B104" s="62" t="s">
        <v>213</v>
      </c>
      <c r="C104" s="63">
        <f>floors!$C$2</f>
        <v>30021</v>
      </c>
      <c r="D104" s="64" t="s">
        <v>214</v>
      </c>
      <c r="E104" s="64" t="s">
        <v>257</v>
      </c>
      <c r="F104" s="65">
        <v>3</v>
      </c>
      <c r="G104" s="64" t="s">
        <v>216</v>
      </c>
      <c r="H104" s="64" t="s">
        <v>257</v>
      </c>
      <c r="I104" s="66">
        <v>0</v>
      </c>
      <c r="J104" s="72">
        <f t="shared" si="3"/>
        <v>103</v>
      </c>
      <c r="K104">
        <v>27</v>
      </c>
      <c r="L104" s="65" t="s">
        <v>212</v>
      </c>
      <c r="M104" s="322" t="str">
        <f>VLOOKUP(K104,[6]stage_hints!$A:$C,3,FALSE)</f>
        <v>ホーム画面からデッキを編成</v>
      </c>
      <c r="N104" s="323" t="str">
        <f>VLOOKUP(K104,[6]stage_hints!$A:$D,4,FALSE)</f>
        <v>ホーム画面でユニットを長押しすると_x000D_すぐにパーティ編成に移動できます</v>
      </c>
      <c r="O104" s="36" t="s">
        <v>198</v>
      </c>
    </row>
    <row r="105" spans="1:15" x14ac:dyDescent="0.15">
      <c r="A105" s="61" t="str">
        <f t="shared" si="4"/>
        <v>30021_3_104</v>
      </c>
      <c r="B105" s="62" t="s">
        <v>213</v>
      </c>
      <c r="C105" s="63">
        <f>floors!$C$2</f>
        <v>30021</v>
      </c>
      <c r="D105" s="64" t="s">
        <v>214</v>
      </c>
      <c r="E105" s="64" t="s">
        <v>258</v>
      </c>
      <c r="F105" s="65">
        <v>3</v>
      </c>
      <c r="G105" s="64" t="s">
        <v>216</v>
      </c>
      <c r="H105" s="64" t="s">
        <v>258</v>
      </c>
      <c r="I105" s="66">
        <v>0</v>
      </c>
      <c r="J105" s="72">
        <f t="shared" si="3"/>
        <v>104</v>
      </c>
      <c r="K105">
        <v>28</v>
      </c>
      <c r="L105" s="65" t="s">
        <v>212</v>
      </c>
      <c r="M105" s="322" t="str">
        <f>VLOOKUP(K105,[6]stage_hints!$A:$C,3,FALSE)</f>
        <v>ステータス情報は長押しで</v>
      </c>
      <c r="N105" s="323" t="str">
        <f>VLOOKUP(K105,[6]stage_hints!$A:$D,4,FALSE)</f>
        <v>ユニットのアイコンを長押しすると_x000D_ステータス情報を確認することができます</v>
      </c>
      <c r="O105" s="36" t="s">
        <v>198</v>
      </c>
    </row>
    <row r="106" spans="1:15" x14ac:dyDescent="0.15">
      <c r="A106" s="61" t="str">
        <f t="shared" si="4"/>
        <v>30021_3_105</v>
      </c>
      <c r="B106" s="62" t="s">
        <v>213</v>
      </c>
      <c r="C106" s="63">
        <f>floors!$C$2</f>
        <v>30021</v>
      </c>
      <c r="D106" s="64" t="s">
        <v>214</v>
      </c>
      <c r="E106" s="64" t="s">
        <v>259</v>
      </c>
      <c r="F106" s="65">
        <v>3</v>
      </c>
      <c r="G106" s="64" t="s">
        <v>216</v>
      </c>
      <c r="H106" s="64" t="s">
        <v>259</v>
      </c>
      <c r="I106" s="66">
        <v>0</v>
      </c>
      <c r="J106" s="72">
        <f t="shared" si="3"/>
        <v>105</v>
      </c>
      <c r="K106">
        <v>29</v>
      </c>
      <c r="L106" s="65" t="s">
        <v>212</v>
      </c>
      <c r="M106" s="322" t="str">
        <f>VLOOKUP(K106,[6]stage_hints!$A:$C,3,FALSE)</f>
        <v>「バグ」のメリット</v>
      </c>
      <c r="N106" s="323" t="str">
        <f>VLOOKUP(K106,[6]stage_hints!$A:$D,4,FALSE)</f>
        <v>ユニットの「バグ」を増やすと_x000D_報酬をもらえる確率がアップします</v>
      </c>
      <c r="O106" s="36" t="s">
        <v>198</v>
      </c>
    </row>
    <row r="107" spans="1:15" x14ac:dyDescent="0.15">
      <c r="A107" s="61" t="str">
        <f t="shared" si="4"/>
        <v>30021_3_106</v>
      </c>
      <c r="B107" s="62" t="s">
        <v>213</v>
      </c>
      <c r="C107" s="63">
        <f>floors!$C$2</f>
        <v>30021</v>
      </c>
      <c r="D107" s="64" t="s">
        <v>214</v>
      </c>
      <c r="E107" s="64" t="s">
        <v>260</v>
      </c>
      <c r="F107" s="65">
        <v>3</v>
      </c>
      <c r="G107" s="64" t="s">
        <v>216</v>
      </c>
      <c r="H107" s="64" t="s">
        <v>260</v>
      </c>
      <c r="I107" s="66">
        <v>0</v>
      </c>
      <c r="J107" s="72">
        <f t="shared" si="3"/>
        <v>106</v>
      </c>
      <c r="K107">
        <v>30</v>
      </c>
      <c r="L107" s="65" t="s">
        <v>212</v>
      </c>
      <c r="M107" s="322" t="str">
        <f>VLOOKUP(K107,[6]stage_hints!$A:$C,3,FALSE)</f>
        <v>「バグ」の増やし方</v>
      </c>
      <c r="N107" s="323" t="str">
        <f>VLOOKUP(K107,[6]stage_hints!$A:$D,4,FALSE)</f>
        <v>同じユニット同士を強化で合成すると_x000D_「バグ」を増やすことができます</v>
      </c>
      <c r="O107" s="36" t="s">
        <v>198</v>
      </c>
    </row>
    <row r="108" spans="1:15" x14ac:dyDescent="0.15">
      <c r="A108" s="61" t="str">
        <f t="shared" si="4"/>
        <v>30021_3_107</v>
      </c>
      <c r="B108" s="62" t="s">
        <v>213</v>
      </c>
      <c r="C108" s="63">
        <f>floors!$C$2</f>
        <v>30021</v>
      </c>
      <c r="D108" s="64" t="s">
        <v>214</v>
      </c>
      <c r="E108" s="64" t="s">
        <v>261</v>
      </c>
      <c r="F108" s="65">
        <v>3</v>
      </c>
      <c r="G108" s="64" t="s">
        <v>216</v>
      </c>
      <c r="H108" s="64" t="s">
        <v>261</v>
      </c>
      <c r="I108" s="66">
        <v>0</v>
      </c>
      <c r="J108" s="72">
        <f t="shared" si="3"/>
        <v>107</v>
      </c>
      <c r="K108">
        <v>31</v>
      </c>
      <c r="L108" s="65" t="s">
        <v>212</v>
      </c>
      <c r="M108" s="322" t="str">
        <f>VLOOKUP(K108,[6]stage_hints!$A:$C,3,FALSE)</f>
        <v>イベントはお知らせでチェック</v>
      </c>
      <c r="N108" s="323" t="str">
        <f>VLOOKUP(K108,[6]stage_hints!$A:$D,4,FALSE)</f>
        <v>イベント限定ユニットを取り忘れないように_x000D_お知らせをこまめにチェックしましょう</v>
      </c>
      <c r="O108" s="36" t="s">
        <v>198</v>
      </c>
    </row>
    <row r="109" spans="1:15" x14ac:dyDescent="0.15">
      <c r="A109" s="61" t="str">
        <f t="shared" si="4"/>
        <v>30021_3_108</v>
      </c>
      <c r="B109" s="62" t="s">
        <v>213</v>
      </c>
      <c r="C109" s="63">
        <f>floors!$C$2</f>
        <v>30021</v>
      </c>
      <c r="D109" s="64" t="s">
        <v>214</v>
      </c>
      <c r="E109" s="64" t="s">
        <v>262</v>
      </c>
      <c r="F109" s="65">
        <v>3</v>
      </c>
      <c r="G109" s="64" t="s">
        <v>216</v>
      </c>
      <c r="H109" s="64" t="s">
        <v>262</v>
      </c>
      <c r="I109" s="66">
        <v>0</v>
      </c>
      <c r="J109" s="72">
        <f t="shared" si="3"/>
        <v>108</v>
      </c>
      <c r="K109">
        <v>38</v>
      </c>
      <c r="L109" s="65" t="s">
        <v>212</v>
      </c>
      <c r="M109" s="322" t="str">
        <f>VLOOKUP(K109,[6]stage_hints!$A:$C,3,FALSE)</f>
        <v>お邪魔パネルはフィーバーで</v>
      </c>
      <c r="N109" s="323" t="str">
        <f>VLOOKUP(K109,[6]stage_hints!$A:$D,4,FALSE)</f>
        <v>つなげて消せない「お邪魔パネル」は_x000D_フィーバーで下へ落としてしまいましょう</v>
      </c>
      <c r="O109" s="36" t="s">
        <v>198</v>
      </c>
    </row>
    <row r="110" spans="1:15" x14ac:dyDescent="0.15">
      <c r="A110" s="61" t="str">
        <f t="shared" si="4"/>
        <v>30021_3_109</v>
      </c>
      <c r="B110" s="62" t="s">
        <v>213</v>
      </c>
      <c r="C110" s="63">
        <f>floors!$C$2</f>
        <v>30021</v>
      </c>
      <c r="D110" s="64" t="s">
        <v>214</v>
      </c>
      <c r="E110" s="64" t="s">
        <v>263</v>
      </c>
      <c r="F110" s="65">
        <v>3</v>
      </c>
      <c r="G110" s="64" t="s">
        <v>216</v>
      </c>
      <c r="H110" s="64" t="s">
        <v>263</v>
      </c>
      <c r="I110" s="66">
        <v>0</v>
      </c>
      <c r="J110" s="72">
        <f t="shared" si="3"/>
        <v>109</v>
      </c>
      <c r="K110">
        <v>32</v>
      </c>
      <c r="L110" s="65" t="s">
        <v>212</v>
      </c>
      <c r="M110" s="322" t="str">
        <f>VLOOKUP(K110,[6]stage_hints!$A:$C,3,FALSE)</f>
        <v>敵の連続攻撃には</v>
      </c>
      <c r="N110" s="323" t="str">
        <f>VLOOKUP(K110,[6]stage_hints!$A:$D,4,FALSE)</f>
        <v>カウンタースキルを持つユニットがいれば_x000D_ダメージ回数分の反撃ができます</v>
      </c>
      <c r="O110" s="36" t="s">
        <v>198</v>
      </c>
    </row>
    <row r="111" spans="1:15" x14ac:dyDescent="0.15">
      <c r="A111" s="61" t="str">
        <f t="shared" si="4"/>
        <v>30021_3_110</v>
      </c>
      <c r="B111" s="62" t="s">
        <v>213</v>
      </c>
      <c r="C111" s="63">
        <f>floors!$C$2</f>
        <v>30021</v>
      </c>
      <c r="D111" s="64" t="s">
        <v>214</v>
      </c>
      <c r="E111" s="64" t="s">
        <v>264</v>
      </c>
      <c r="F111" s="65">
        <v>3</v>
      </c>
      <c r="G111" s="64" t="s">
        <v>216</v>
      </c>
      <c r="H111" s="64" t="s">
        <v>264</v>
      </c>
      <c r="I111" s="66">
        <v>0</v>
      </c>
      <c r="J111" s="72">
        <f t="shared" si="3"/>
        <v>110</v>
      </c>
      <c r="K111">
        <v>33</v>
      </c>
      <c r="L111" s="65" t="s">
        <v>212</v>
      </c>
      <c r="M111" s="322" t="str">
        <f>VLOOKUP(K111,[6]stage_hints!$A:$C,3,FALSE)</f>
        <v>敵のカウンター攻撃には</v>
      </c>
      <c r="N111" s="323" t="str">
        <f>VLOOKUP(K111,[6]stage_hints!$A:$D,4,FALSE)</f>
        <v>カウンターブレイクスキルを持っていれば_x000D_敵のカウンターを解除して攻撃ができます</v>
      </c>
      <c r="O111" s="36" t="s">
        <v>198</v>
      </c>
    </row>
    <row r="112" spans="1:15" x14ac:dyDescent="0.15">
      <c r="A112" s="61" t="str">
        <f t="shared" si="4"/>
        <v>30021_3_111</v>
      </c>
      <c r="B112" s="62" t="s">
        <v>213</v>
      </c>
      <c r="C112" s="63">
        <f>floors!$C$2</f>
        <v>30021</v>
      </c>
      <c r="D112" s="64" t="s">
        <v>214</v>
      </c>
      <c r="E112" s="64" t="s">
        <v>265</v>
      </c>
      <c r="F112" s="65">
        <v>3</v>
      </c>
      <c r="G112" s="64" t="s">
        <v>216</v>
      </c>
      <c r="H112" s="64" t="s">
        <v>265</v>
      </c>
      <c r="I112" s="66">
        <v>0</v>
      </c>
      <c r="J112" s="72">
        <f t="shared" si="3"/>
        <v>111</v>
      </c>
      <c r="K112">
        <v>34</v>
      </c>
      <c r="L112" s="65" t="s">
        <v>212</v>
      </c>
      <c r="M112" s="322" t="str">
        <f>VLOOKUP(K112,[6]stage_hints!$A:$C,3,FALSE)</f>
        <v>ステータスをスキルで下げられたら</v>
      </c>
      <c r="N112" s="323" t="str">
        <f>VLOOKUP(K112,[6]stage_hints!$A:$D,4,FALSE)</f>
        <v>ステータスダウンのスキルを受けたら_x000D_ステータスアップスキルで上書きしましょう</v>
      </c>
      <c r="O112" s="36" t="s">
        <v>198</v>
      </c>
    </row>
    <row r="113" spans="1:15" x14ac:dyDescent="0.15">
      <c r="A113" s="61" t="str">
        <f t="shared" si="4"/>
        <v>30021_3_112</v>
      </c>
      <c r="B113" s="62" t="s">
        <v>213</v>
      </c>
      <c r="C113" s="63">
        <f>floors!$C$2</f>
        <v>30021</v>
      </c>
      <c r="D113" s="64" t="s">
        <v>214</v>
      </c>
      <c r="E113" s="64" t="s">
        <v>266</v>
      </c>
      <c r="F113" s="65">
        <v>3</v>
      </c>
      <c r="G113" s="64" t="s">
        <v>216</v>
      </c>
      <c r="H113" s="64" t="s">
        <v>266</v>
      </c>
      <c r="I113" s="66">
        <v>0</v>
      </c>
      <c r="J113" s="72">
        <f t="shared" si="3"/>
        <v>112</v>
      </c>
      <c r="K113">
        <v>35</v>
      </c>
      <c r="L113" s="65" t="s">
        <v>212</v>
      </c>
      <c r="M113" s="322" t="str">
        <f>VLOOKUP(K113,[6]stage_hints!$A:$C,3,FALSE)</f>
        <v>敵のステータスがスキルで上がったら</v>
      </c>
      <c r="N113" s="323" t="str">
        <f>VLOOKUP(K113,[6]stage_hints!$A:$D,4,FALSE)</f>
        <v>敵のステータスがスキルでアップしたときは_x000D_ステータスダウンスキルで上書きしましょう</v>
      </c>
      <c r="O113" s="36" t="s">
        <v>198</v>
      </c>
    </row>
    <row r="114" spans="1:15" x14ac:dyDescent="0.15">
      <c r="A114" s="61" t="str">
        <f t="shared" si="4"/>
        <v>30021_3_113</v>
      </c>
      <c r="B114" s="62" t="s">
        <v>213</v>
      </c>
      <c r="C114" s="63">
        <f>floors!$C$2</f>
        <v>30021</v>
      </c>
      <c r="D114" s="64" t="s">
        <v>214</v>
      </c>
      <c r="E114" s="64" t="s">
        <v>267</v>
      </c>
      <c r="F114" s="65">
        <v>3</v>
      </c>
      <c r="G114" s="64" t="s">
        <v>216</v>
      </c>
      <c r="H114" s="64" t="s">
        <v>267</v>
      </c>
      <c r="I114" s="66">
        <v>0</v>
      </c>
      <c r="J114" s="72">
        <f t="shared" si="3"/>
        <v>113</v>
      </c>
      <c r="K114">
        <v>36</v>
      </c>
      <c r="L114" s="65" t="s">
        <v>212</v>
      </c>
      <c r="M114" s="322" t="str">
        <f>VLOOKUP(K114,[6]stage_hints!$A:$C,3,FALSE)</f>
        <v>チャレンジタワーのボス</v>
      </c>
      <c r="N114" s="323" t="str">
        <f>VLOOKUP(K114,[6]stage_hints!$A:$D,4,FALSE)</f>
        <v>チャレンジタワーでのみ登場するボスは_x000D_一定確率で獲得することができます</v>
      </c>
      <c r="O114" s="36" t="s">
        <v>198</v>
      </c>
    </row>
    <row r="115" spans="1:15" x14ac:dyDescent="0.15">
      <c r="A115" s="61" t="str">
        <f t="shared" si="4"/>
        <v>30021_3_114</v>
      </c>
      <c r="B115" s="62" t="s">
        <v>213</v>
      </c>
      <c r="C115" s="63">
        <f>floors!$C$2</f>
        <v>30021</v>
      </c>
      <c r="D115" s="64" t="s">
        <v>214</v>
      </c>
      <c r="E115" s="64" t="s">
        <v>268</v>
      </c>
      <c r="F115" s="65">
        <v>3</v>
      </c>
      <c r="G115" s="64" t="s">
        <v>216</v>
      </c>
      <c r="H115" s="64" t="s">
        <v>268</v>
      </c>
      <c r="I115" s="66">
        <v>0</v>
      </c>
      <c r="J115" s="72">
        <f t="shared" si="3"/>
        <v>114</v>
      </c>
      <c r="K115">
        <v>37</v>
      </c>
      <c r="L115" s="65" t="s">
        <v>212</v>
      </c>
      <c r="M115" s="322" t="str">
        <f>VLOOKUP(K115,[6]stage_hints!$A:$C,3,FALSE)</f>
        <v>限界突破値の引き継ぎ</v>
      </c>
      <c r="N115" s="323" t="str">
        <f>VLOOKUP(K115,[6]stage_hints!$A:$D,4,FALSE)</f>
        <v>同じユニットを強化で合成すると_x000D_限界突破値を引き継げます（覚醒前後も可）</v>
      </c>
      <c r="O115" s="36" t="s">
        <v>198</v>
      </c>
    </row>
    <row r="116" spans="1:15" x14ac:dyDescent="0.15">
      <c r="F116" s="252"/>
    </row>
  </sheetData>
  <phoneticPr fontId="5"/>
  <dataValidations count="1">
    <dataValidation type="list" allowBlank="1" showInputMessage="1" showErrorMessage="1" sqref="B2:B115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13"/>
  <sheetViews>
    <sheetView showGridLines="0" workbookViewId="0">
      <pane ySplit="1" topLeftCell="A2" activePane="bottomLeft" state="frozen"/>
      <selection pane="bottomLeft" activeCell="L12" sqref="L12"/>
    </sheetView>
  </sheetViews>
  <sheetFormatPr baseColWidth="12" defaultColWidth="13" defaultRowHeight="15" outlineLevelCol="1" x14ac:dyDescent="0.15"/>
  <cols>
    <col min="2" max="2" width="13" style="70"/>
    <col min="3" max="3" width="13" collapsed="1"/>
    <col min="4" max="4" width="17" hidden="1" customWidth="1" outlineLevel="1"/>
    <col min="5" max="5" width="18.83203125" hidden="1" customWidth="1" outlineLevel="1"/>
    <col min="6" max="6" width="13" collapsed="1"/>
    <col min="7" max="7" width="22.5" hidden="1" customWidth="1" outlineLevel="1"/>
    <col min="8" max="8" width="22" hidden="1" customWidth="1" outlineLevel="1"/>
    <col min="9" max="9" width="22" customWidth="1"/>
    <col min="10" max="10" width="11.1640625" bestFit="1" customWidth="1"/>
    <col min="11" max="13" width="11.1640625" customWidth="1"/>
    <col min="14" max="14" width="42.6640625" customWidth="1"/>
  </cols>
  <sheetData>
    <row r="1" spans="1:15" x14ac:dyDescent="0.15">
      <c r="A1" s="54" t="s">
        <v>60</v>
      </c>
      <c r="B1" s="55" t="s">
        <v>182</v>
      </c>
      <c r="C1" s="48" t="s">
        <v>181</v>
      </c>
      <c r="D1" s="56" t="s">
        <v>188</v>
      </c>
      <c r="E1" s="56" t="s">
        <v>33</v>
      </c>
      <c r="F1" s="48" t="s">
        <v>189</v>
      </c>
      <c r="G1" s="56" t="s">
        <v>16</v>
      </c>
      <c r="H1" s="56" t="s">
        <v>33</v>
      </c>
      <c r="I1" s="48" t="s">
        <v>191</v>
      </c>
      <c r="J1" s="71" t="s">
        <v>192</v>
      </c>
      <c r="K1" s="57" t="s">
        <v>193</v>
      </c>
      <c r="L1" s="58" t="s">
        <v>127</v>
      </c>
      <c r="M1" s="58" t="s">
        <v>185</v>
      </c>
      <c r="N1" s="59" t="s">
        <v>183</v>
      </c>
      <c r="O1" s="60" t="s">
        <v>194</v>
      </c>
    </row>
    <row r="2" spans="1:15" x14ac:dyDescent="0.15">
      <c r="A2" s="61" t="str">
        <f t="shared" ref="A2:A13" si="0">C2&amp;"_"&amp;F2&amp;"_"&amp;J2</f>
        <v>30021_1_1</v>
      </c>
      <c r="B2" s="62" t="s">
        <v>195</v>
      </c>
      <c r="C2" s="63">
        <f>floors!$C$2</f>
        <v>30021</v>
      </c>
      <c r="D2" s="64" t="str">
        <f ca="1">VLOOKUP($C2,OFFSET([2]quests!$A$1,0,0,COUNTA([2]quests!$A:$A),MATCH(D$1,[2]quests!$1:$1,0)-MATCH($C$1,[2]quests!$1:$1,0)+1),MATCH(D$1,[2]quests!$1:$1,0)-MATCH($C$1,[2]quests!$1:$1,0)+1,FALSE)</f>
        <v>野獣死すべしっ！</v>
      </c>
      <c r="E2" s="64" t="str">
        <f ca="1">VLOOKUP($C2,OFFSET([2]quests!$A$1,0,0,COUNTA([2]quests!$A:$A),MATCH(E$1,[2]quests!$1:$1,0)-MATCH($C$1,[2]quests!$1:$1,0)+1),MATCH(E$1,[2]quests!$1:$1,0)-MATCH($C$1,[2]quests!$1:$1,0)+1,FALSE)</f>
        <v>ドロップイベント6（マルチ専用）</v>
      </c>
      <c r="F2" s="65">
        <v>1</v>
      </c>
      <c r="G2" s="64" t="str">
        <f ca="1">VLOOKUP($C2&amp;"_"&amp;$F2,OFFSET([2]stages!$A$1,0,0,COUNTA([2]stages!$A:$A),MATCH(G$1,[2]stages!$2:$2,0)-MATCH("temp_stage",[2]stages!$2:$2,0)+1),MATCH(G$1,[2]stages!$2:$2,0)-MATCH("temp_stage",[2]stages!$2:$2,0)+1,FALSE)</f>
        <v>【中級】野獣死すべしっ！</v>
      </c>
      <c r="H2" s="64" t="str">
        <f ca="1">VLOOKUP($C2&amp;"_"&amp;$F2,OFFSET([2]stages!$A$1,0,0,COUNTA([2]stages!$A:$A),MATCH(H$1,[2]stages!$2:$2,0)-MATCH("temp_stage",[2]stages!$2:$2,0)+1),MATCH(H$1,[2]stages!$2:$2,0)-MATCH("temp_stage",[2]stages!$2:$2,0)+1,FALSE)</f>
        <v>ドロップイベント6（マルチ専用）</v>
      </c>
      <c r="I2" s="66">
        <v>1</v>
      </c>
      <c r="J2" s="72">
        <f>ROW()-1</f>
        <v>1</v>
      </c>
      <c r="K2" s="67" t="str">
        <f>C2&amp;TEXT(J2,"00")</f>
        <v>3002101</v>
      </c>
      <c r="L2" s="65" t="s">
        <v>196</v>
      </c>
      <c r="M2" s="68" t="s">
        <v>197</v>
      </c>
      <c r="N2" s="69" t="s">
        <v>410</v>
      </c>
      <c r="O2" s="36" t="s">
        <v>198</v>
      </c>
    </row>
    <row r="3" spans="1:15" ht="28" x14ac:dyDescent="0.15">
      <c r="A3" s="61" t="str">
        <f t="shared" si="0"/>
        <v>30021_1_2</v>
      </c>
      <c r="B3" s="62" t="s">
        <v>195</v>
      </c>
      <c r="C3" s="63">
        <f>floors!$C$2</f>
        <v>30021</v>
      </c>
      <c r="D3" s="64" t="str">
        <f ca="1">VLOOKUP($C3,OFFSET([2]quests!$A$1,0,0,COUNTA([2]quests!$A:$A),MATCH(D$1,[2]quests!$1:$1,0)-MATCH($C$1,[2]quests!$1:$1,0)+1),MATCH(D$1,[2]quests!$1:$1,0)-MATCH($C$1,[2]quests!$1:$1,0)+1,FALSE)</f>
        <v>野獣死すべしっ！</v>
      </c>
      <c r="E3" s="64" t="str">
        <f ca="1">VLOOKUP($C3,OFFSET([2]quests!$A$1,0,0,COUNTA([2]quests!$A:$A),MATCH(E$1,[2]quests!$1:$1,0)-MATCH($C$1,[2]quests!$1:$1,0)+1),MATCH(E$1,[2]quests!$1:$1,0)-MATCH($C$1,[2]quests!$1:$1,0)+1,FALSE)</f>
        <v>ドロップイベント6（マルチ専用）</v>
      </c>
      <c r="F3" s="65">
        <v>1</v>
      </c>
      <c r="G3" s="64" t="str">
        <f ca="1">VLOOKUP($C3&amp;"_"&amp;$F3,OFFSET([2]stages!$A$1,0,0,COUNTA([2]stages!$A:$A),MATCH(G$1,[2]stages!$2:$2,0)-MATCH("temp_stage",[2]stages!$2:$2,0)+1),MATCH(G$1,[2]stages!$2:$2,0)-MATCH("temp_stage",[2]stages!$2:$2,0)+1,FALSE)</f>
        <v>【中級】野獣死すべしっ！</v>
      </c>
      <c r="H3" s="64" t="str">
        <f ca="1">VLOOKUP($C3&amp;"_"&amp;$F3,OFFSET([2]stages!$A$1,0,0,COUNTA([2]stages!$A:$A),MATCH(H$1,[2]stages!$2:$2,0)-MATCH("temp_stage",[2]stages!$2:$2,0)+1),MATCH(H$1,[2]stages!$2:$2,0)-MATCH("temp_stage",[2]stages!$2:$2,0)+1,FALSE)</f>
        <v>ドロップイベント6（マルチ専用）</v>
      </c>
      <c r="I3" s="66">
        <v>2</v>
      </c>
      <c r="J3" s="72">
        <f t="shared" ref="J3:J13" si="1">ROW()-1</f>
        <v>2</v>
      </c>
      <c r="K3" s="67" t="str">
        <f>C3&amp;TEXT(J3,"00")</f>
        <v>3002102</v>
      </c>
      <c r="L3" s="65" t="s">
        <v>269</v>
      </c>
      <c r="M3" s="68" t="s">
        <v>197</v>
      </c>
      <c r="N3" s="251" t="s">
        <v>411</v>
      </c>
      <c r="O3" s="36" t="s">
        <v>198</v>
      </c>
    </row>
    <row r="4" spans="1:15" ht="56" x14ac:dyDescent="0.15">
      <c r="A4" s="61" t="str">
        <f t="shared" si="0"/>
        <v>30021_1_3</v>
      </c>
      <c r="B4" s="62" t="s">
        <v>195</v>
      </c>
      <c r="C4" s="63">
        <f>floors!$C$2</f>
        <v>30021</v>
      </c>
      <c r="D4" s="64" t="str">
        <f ca="1">VLOOKUP($C4,OFFSET([2]quests!$A$1,0,0,COUNTA([2]quests!$A:$A),MATCH(D$1,[2]quests!$1:$1,0)-MATCH($C$1,[2]quests!$1:$1,0)+1),MATCH(D$1,[2]quests!$1:$1,0)-MATCH($C$1,[2]quests!$1:$1,0)+1,FALSE)</f>
        <v>野獣死すべしっ！</v>
      </c>
      <c r="E4" s="64" t="str">
        <f ca="1">VLOOKUP($C4,OFFSET([2]quests!$A$1,0,0,COUNTA([2]quests!$A:$A),MATCH(E$1,[2]quests!$1:$1,0)-MATCH($C$1,[2]quests!$1:$1,0)+1),MATCH(E$1,[2]quests!$1:$1,0)-MATCH($C$1,[2]quests!$1:$1,0)+1,FALSE)</f>
        <v>ドロップイベント6（マルチ専用）</v>
      </c>
      <c r="F4" s="65">
        <v>1</v>
      </c>
      <c r="G4" s="64" t="str">
        <f ca="1">VLOOKUP($C4&amp;"_"&amp;$F4,OFFSET([2]stages!$A$1,0,0,COUNTA([2]stages!$A:$A),MATCH(G$1,[2]stages!$2:$2,0)-MATCH("temp_stage",[2]stages!$2:$2,0)+1),MATCH(G$1,[2]stages!$2:$2,0)-MATCH("temp_stage",[2]stages!$2:$2,0)+1,FALSE)</f>
        <v>【中級】野獣死すべしっ！</v>
      </c>
      <c r="H4" s="64" t="str">
        <f ca="1">VLOOKUP($C4&amp;"_"&amp;$F4,OFFSET([2]stages!$A$1,0,0,COUNTA([2]stages!$A:$A),MATCH(H$1,[2]stages!$2:$2,0)-MATCH("temp_stage",[2]stages!$2:$2,0)+1),MATCH(H$1,[2]stages!$2:$2,0)-MATCH("temp_stage",[2]stages!$2:$2,0)+1,FALSE)</f>
        <v>ドロップイベント6（マルチ専用）</v>
      </c>
      <c r="I4" s="66">
        <v>3</v>
      </c>
      <c r="J4" s="72">
        <f t="shared" si="1"/>
        <v>3</v>
      </c>
      <c r="K4" s="67" t="str">
        <f t="shared" ref="K4:K5" si="2">C4&amp;TEXT(J4,"00")</f>
        <v>3002103</v>
      </c>
      <c r="L4" s="65" t="s">
        <v>128</v>
      </c>
      <c r="M4" s="68" t="s">
        <v>197</v>
      </c>
      <c r="N4" s="251" t="s">
        <v>413</v>
      </c>
      <c r="O4" s="36" t="s">
        <v>198</v>
      </c>
    </row>
    <row r="5" spans="1:15" ht="42" x14ac:dyDescent="0.15">
      <c r="A5" s="61" t="str">
        <f t="shared" si="0"/>
        <v>30021_1_4</v>
      </c>
      <c r="B5" s="62" t="s">
        <v>195</v>
      </c>
      <c r="C5" s="63">
        <f>floors!$C$2</f>
        <v>30021</v>
      </c>
      <c r="D5" s="64" t="str">
        <f ca="1">VLOOKUP($C5,OFFSET([2]quests!$A$1,0,0,COUNTA([2]quests!$A:$A),MATCH(D$1,[2]quests!$1:$1,0)-MATCH($C$1,[2]quests!$1:$1,0)+1),MATCH(D$1,[2]quests!$1:$1,0)-MATCH($C$1,[2]quests!$1:$1,0)+1,FALSE)</f>
        <v>野獣死すべしっ！</v>
      </c>
      <c r="E5" s="64" t="str">
        <f ca="1">VLOOKUP($C5,OFFSET([2]quests!$A$1,0,0,COUNTA([2]quests!$A:$A),MATCH(E$1,[2]quests!$1:$1,0)-MATCH($C$1,[2]quests!$1:$1,0)+1),MATCH(E$1,[2]quests!$1:$1,0)-MATCH($C$1,[2]quests!$1:$1,0)+1,FALSE)</f>
        <v>ドロップイベント6（マルチ専用）</v>
      </c>
      <c r="F5" s="65">
        <v>1</v>
      </c>
      <c r="G5" s="64" t="str">
        <f ca="1">VLOOKUP($C5&amp;"_"&amp;$F5,OFFSET([2]stages!$A$1,0,0,COUNTA([2]stages!$A:$A),MATCH(G$1,[2]stages!$2:$2,0)-MATCH("temp_stage",[2]stages!$2:$2,0)+1),MATCH(G$1,[2]stages!$2:$2,0)-MATCH("temp_stage",[2]stages!$2:$2,0)+1,FALSE)</f>
        <v>【中級】野獣死すべしっ！</v>
      </c>
      <c r="H5" s="64" t="str">
        <f ca="1">VLOOKUP($C5&amp;"_"&amp;$F5,OFFSET([2]stages!$A$1,0,0,COUNTA([2]stages!$A:$A),MATCH(H$1,[2]stages!$2:$2,0)-MATCH("temp_stage",[2]stages!$2:$2,0)+1),MATCH(H$1,[2]stages!$2:$2,0)-MATCH("temp_stage",[2]stages!$2:$2,0)+1,FALSE)</f>
        <v>ドロップイベント6（マルチ専用）</v>
      </c>
      <c r="I5" s="66">
        <v>4</v>
      </c>
      <c r="J5" s="72">
        <f t="shared" si="1"/>
        <v>4</v>
      </c>
      <c r="K5" s="67" t="str">
        <f t="shared" si="2"/>
        <v>3002104</v>
      </c>
      <c r="L5" s="65" t="s">
        <v>128</v>
      </c>
      <c r="M5" s="68" t="s">
        <v>197</v>
      </c>
      <c r="N5" s="251" t="s">
        <v>412</v>
      </c>
      <c r="O5" s="36" t="s">
        <v>198</v>
      </c>
    </row>
    <row r="6" spans="1:15" x14ac:dyDescent="0.15">
      <c r="A6" s="61" t="str">
        <f t="shared" si="0"/>
        <v>30021_2_5</v>
      </c>
      <c r="B6" s="62" t="s">
        <v>195</v>
      </c>
      <c r="C6" s="63">
        <f>floors!$C$2</f>
        <v>30021</v>
      </c>
      <c r="D6" s="64" t="str">
        <f ca="1">VLOOKUP($C6,OFFSET([2]quests!$A$1,0,0,COUNTA([2]quests!$A:$A),MATCH(D$1,[2]quests!$1:$1,0)-MATCH($C$1,[2]quests!$1:$1,0)+1),MATCH(D$1,[2]quests!$1:$1,0)-MATCH($C$1,[2]quests!$1:$1,0)+1,FALSE)</f>
        <v>野獣死すべしっ！</v>
      </c>
      <c r="E6" s="64" t="str">
        <f ca="1">VLOOKUP($C6,OFFSET([2]quests!$A$1,0,0,COUNTA([2]quests!$A:$A),MATCH(E$1,[2]quests!$1:$1,0)-MATCH($C$1,[2]quests!$1:$1,0)+1),MATCH(E$1,[2]quests!$1:$1,0)-MATCH($C$1,[2]quests!$1:$1,0)+1,FALSE)</f>
        <v>ドロップイベント6（マルチ専用）</v>
      </c>
      <c r="F6" s="65">
        <v>2</v>
      </c>
      <c r="G6" s="64" t="str">
        <f ca="1">VLOOKUP($C6&amp;"_"&amp;$F6,OFFSET([2]stages!$A$1,0,0,COUNTA([2]stages!$A:$A),MATCH(G$1,[2]stages!$2:$2,0)-MATCH("temp_stage",[2]stages!$2:$2,0)+1),MATCH(G$1,[2]stages!$2:$2,0)-MATCH("temp_stage",[2]stages!$2:$2,0)+1,FALSE)</f>
        <v>【上級】野獣死すべしっ！</v>
      </c>
      <c r="H6" s="64" t="str">
        <f ca="1">VLOOKUP($C6&amp;"_"&amp;$F6,OFFSET([2]stages!$A$1,0,0,COUNTA([2]stages!$A:$A),MATCH(H$1,[2]stages!$2:$2,0)-MATCH("temp_stage",[2]stages!$2:$2,0)+1),MATCH(H$1,[2]stages!$2:$2,0)-MATCH("temp_stage",[2]stages!$2:$2,0)+1,FALSE)</f>
        <v>ドロップイベント6（マルチ専用）</v>
      </c>
      <c r="I6" s="66">
        <v>1</v>
      </c>
      <c r="J6" s="72">
        <f>ROW()-1</f>
        <v>5</v>
      </c>
      <c r="K6" s="67" t="str">
        <f>C6&amp;TEXT(J6,"00")</f>
        <v>3002105</v>
      </c>
      <c r="L6" s="65" t="s">
        <v>128</v>
      </c>
      <c r="M6" s="68" t="s">
        <v>197</v>
      </c>
      <c r="N6" s="69" t="s">
        <v>410</v>
      </c>
      <c r="O6" s="36" t="s">
        <v>198</v>
      </c>
    </row>
    <row r="7" spans="1:15" ht="28" x14ac:dyDescent="0.15">
      <c r="A7" s="61" t="str">
        <f t="shared" si="0"/>
        <v>30021_2_6</v>
      </c>
      <c r="B7" s="62" t="s">
        <v>195</v>
      </c>
      <c r="C7" s="63">
        <f>floors!$C$2</f>
        <v>30021</v>
      </c>
      <c r="D7" s="64" t="str">
        <f ca="1">VLOOKUP($C7,OFFSET([2]quests!$A$1,0,0,COUNTA([2]quests!$A:$A),MATCH(D$1,[2]quests!$1:$1,0)-MATCH($C$1,[2]quests!$1:$1,0)+1),MATCH(D$1,[2]quests!$1:$1,0)-MATCH($C$1,[2]quests!$1:$1,0)+1,FALSE)</f>
        <v>野獣死すべしっ！</v>
      </c>
      <c r="E7" s="64" t="str">
        <f ca="1">VLOOKUP($C7,OFFSET([2]quests!$A$1,0,0,COUNTA([2]quests!$A:$A),MATCH(E$1,[2]quests!$1:$1,0)-MATCH($C$1,[2]quests!$1:$1,0)+1),MATCH(E$1,[2]quests!$1:$1,0)-MATCH($C$1,[2]quests!$1:$1,0)+1,FALSE)</f>
        <v>ドロップイベント6（マルチ専用）</v>
      </c>
      <c r="F7" s="65">
        <v>2</v>
      </c>
      <c r="G7" s="64" t="str">
        <f ca="1">VLOOKUP($C7&amp;"_"&amp;$F7,OFFSET([2]stages!$A$1,0,0,COUNTA([2]stages!$A:$A),MATCH(G$1,[2]stages!$2:$2,0)-MATCH("temp_stage",[2]stages!$2:$2,0)+1),MATCH(G$1,[2]stages!$2:$2,0)-MATCH("temp_stage",[2]stages!$2:$2,0)+1,FALSE)</f>
        <v>【上級】野獣死すべしっ！</v>
      </c>
      <c r="H7" s="64" t="str">
        <f ca="1">VLOOKUP($C7&amp;"_"&amp;$F7,OFFSET([2]stages!$A$1,0,0,COUNTA([2]stages!$A:$A),MATCH(H$1,[2]stages!$2:$2,0)-MATCH("temp_stage",[2]stages!$2:$2,0)+1),MATCH(H$1,[2]stages!$2:$2,0)-MATCH("temp_stage",[2]stages!$2:$2,0)+1,FALSE)</f>
        <v>ドロップイベント6（マルチ専用）</v>
      </c>
      <c r="I7" s="66">
        <v>2</v>
      </c>
      <c r="J7" s="72">
        <f t="shared" si="1"/>
        <v>6</v>
      </c>
      <c r="K7" s="67" t="str">
        <f>C7&amp;TEXT(J7,"00")</f>
        <v>3002106</v>
      </c>
      <c r="L7" s="65" t="s">
        <v>128</v>
      </c>
      <c r="M7" s="68" t="s">
        <v>197</v>
      </c>
      <c r="N7" s="251" t="s">
        <v>411</v>
      </c>
      <c r="O7" s="36" t="s">
        <v>198</v>
      </c>
    </row>
    <row r="8" spans="1:15" ht="56" x14ac:dyDescent="0.15">
      <c r="A8" s="61" t="str">
        <f t="shared" si="0"/>
        <v>30021_2_7</v>
      </c>
      <c r="B8" s="62" t="s">
        <v>195</v>
      </c>
      <c r="C8" s="63">
        <f>floors!$C$2</f>
        <v>30021</v>
      </c>
      <c r="D8" s="64" t="str">
        <f ca="1">VLOOKUP($C8,OFFSET([2]quests!$A$1,0,0,COUNTA([2]quests!$A:$A),MATCH(D$1,[2]quests!$1:$1,0)-MATCH($C$1,[2]quests!$1:$1,0)+1),MATCH(D$1,[2]quests!$1:$1,0)-MATCH($C$1,[2]quests!$1:$1,0)+1,FALSE)</f>
        <v>野獣死すべしっ！</v>
      </c>
      <c r="E8" s="64" t="str">
        <f ca="1">VLOOKUP($C8,OFFSET([2]quests!$A$1,0,0,COUNTA([2]quests!$A:$A),MATCH(E$1,[2]quests!$1:$1,0)-MATCH($C$1,[2]quests!$1:$1,0)+1),MATCH(E$1,[2]quests!$1:$1,0)-MATCH($C$1,[2]quests!$1:$1,0)+1,FALSE)</f>
        <v>ドロップイベント6（マルチ専用）</v>
      </c>
      <c r="F8" s="65">
        <v>2</v>
      </c>
      <c r="G8" s="64" t="str">
        <f ca="1">VLOOKUP($C8&amp;"_"&amp;$F8,OFFSET([2]stages!$A$1,0,0,COUNTA([2]stages!$A:$A),MATCH(G$1,[2]stages!$2:$2,0)-MATCH("temp_stage",[2]stages!$2:$2,0)+1),MATCH(G$1,[2]stages!$2:$2,0)-MATCH("temp_stage",[2]stages!$2:$2,0)+1,FALSE)</f>
        <v>【上級】野獣死すべしっ！</v>
      </c>
      <c r="H8" s="64" t="str">
        <f ca="1">VLOOKUP($C8&amp;"_"&amp;$F8,OFFSET([2]stages!$A$1,0,0,COUNTA([2]stages!$A:$A),MATCH(H$1,[2]stages!$2:$2,0)-MATCH("temp_stage",[2]stages!$2:$2,0)+1),MATCH(H$1,[2]stages!$2:$2,0)-MATCH("temp_stage",[2]stages!$2:$2,0)+1,FALSE)</f>
        <v>ドロップイベント6（マルチ専用）</v>
      </c>
      <c r="I8" s="66">
        <v>3</v>
      </c>
      <c r="J8" s="72">
        <f t="shared" si="1"/>
        <v>7</v>
      </c>
      <c r="K8" s="67" t="str">
        <f t="shared" ref="K8:K9" si="3">C8&amp;TEXT(J8,"00")</f>
        <v>3002107</v>
      </c>
      <c r="L8" s="65" t="s">
        <v>128</v>
      </c>
      <c r="M8" s="68" t="s">
        <v>197</v>
      </c>
      <c r="N8" s="251" t="s">
        <v>413</v>
      </c>
      <c r="O8" s="36" t="s">
        <v>198</v>
      </c>
    </row>
    <row r="9" spans="1:15" ht="42" x14ac:dyDescent="0.15">
      <c r="A9" s="61" t="str">
        <f t="shared" si="0"/>
        <v>30021_2_8</v>
      </c>
      <c r="B9" s="62" t="s">
        <v>195</v>
      </c>
      <c r="C9" s="63">
        <f>floors!$C$2</f>
        <v>30021</v>
      </c>
      <c r="D9" s="64" t="str">
        <f ca="1">VLOOKUP($C9,OFFSET([2]quests!$A$1,0,0,COUNTA([2]quests!$A:$A),MATCH(D$1,[2]quests!$1:$1,0)-MATCH($C$1,[2]quests!$1:$1,0)+1),MATCH(D$1,[2]quests!$1:$1,0)-MATCH($C$1,[2]quests!$1:$1,0)+1,FALSE)</f>
        <v>野獣死すべしっ！</v>
      </c>
      <c r="E9" s="64" t="str">
        <f ca="1">VLOOKUP($C9,OFFSET([2]quests!$A$1,0,0,COUNTA([2]quests!$A:$A),MATCH(E$1,[2]quests!$1:$1,0)-MATCH($C$1,[2]quests!$1:$1,0)+1),MATCH(E$1,[2]quests!$1:$1,0)-MATCH($C$1,[2]quests!$1:$1,0)+1,FALSE)</f>
        <v>ドロップイベント6（マルチ専用）</v>
      </c>
      <c r="F9" s="65">
        <v>2</v>
      </c>
      <c r="G9" s="64" t="str">
        <f ca="1">VLOOKUP($C9&amp;"_"&amp;$F9,OFFSET([2]stages!$A$1,0,0,COUNTA([2]stages!$A:$A),MATCH(G$1,[2]stages!$2:$2,0)-MATCH("temp_stage",[2]stages!$2:$2,0)+1),MATCH(G$1,[2]stages!$2:$2,0)-MATCH("temp_stage",[2]stages!$2:$2,0)+1,FALSE)</f>
        <v>【上級】野獣死すべしっ！</v>
      </c>
      <c r="H9" s="64" t="str">
        <f ca="1">VLOOKUP($C9&amp;"_"&amp;$F9,OFFSET([2]stages!$A$1,0,0,COUNTA([2]stages!$A:$A),MATCH(H$1,[2]stages!$2:$2,0)-MATCH("temp_stage",[2]stages!$2:$2,0)+1),MATCH(H$1,[2]stages!$2:$2,0)-MATCH("temp_stage",[2]stages!$2:$2,0)+1,FALSE)</f>
        <v>ドロップイベント6（マルチ専用）</v>
      </c>
      <c r="I9" s="66">
        <v>4</v>
      </c>
      <c r="J9" s="72">
        <f t="shared" si="1"/>
        <v>8</v>
      </c>
      <c r="K9" s="67" t="str">
        <f t="shared" si="3"/>
        <v>3002108</v>
      </c>
      <c r="L9" s="65" t="s">
        <v>128</v>
      </c>
      <c r="M9" s="68" t="s">
        <v>197</v>
      </c>
      <c r="N9" s="251" t="s">
        <v>412</v>
      </c>
      <c r="O9" s="36" t="s">
        <v>198</v>
      </c>
    </row>
    <row r="10" spans="1:15" x14ac:dyDescent="0.15">
      <c r="A10" s="61" t="str">
        <f t="shared" si="0"/>
        <v>30021_3_9</v>
      </c>
      <c r="B10" s="62" t="s">
        <v>195</v>
      </c>
      <c r="C10" s="63">
        <f>floors!$C$2</f>
        <v>30021</v>
      </c>
      <c r="D10" s="64" t="str">
        <f ca="1">VLOOKUP($C10,OFFSET([2]quests!$A$1,0,0,COUNTA([2]quests!$A:$A),MATCH(D$1,[2]quests!$1:$1,0)-MATCH($C$1,[2]quests!$1:$1,0)+1),MATCH(D$1,[2]quests!$1:$1,0)-MATCH($C$1,[2]quests!$1:$1,0)+1,FALSE)</f>
        <v>野獣死すべしっ！</v>
      </c>
      <c r="E10" s="64" t="str">
        <f ca="1">VLOOKUP($C10,OFFSET([2]quests!$A$1,0,0,COUNTA([2]quests!$A:$A),MATCH(E$1,[2]quests!$1:$1,0)-MATCH($C$1,[2]quests!$1:$1,0)+1),MATCH(E$1,[2]quests!$1:$1,0)-MATCH($C$1,[2]quests!$1:$1,0)+1,FALSE)</f>
        <v>ドロップイベント6（マルチ専用）</v>
      </c>
      <c r="F10" s="65">
        <v>3</v>
      </c>
      <c r="G10" s="64" t="str">
        <f ca="1">VLOOKUP($C10&amp;"_"&amp;$F10,OFFSET([2]stages!$A$1,0,0,COUNTA([2]stages!$A:$A),MATCH(G$1,[2]stages!$2:$2,0)-MATCH("temp_stage",[2]stages!$2:$2,0)+1),MATCH(G$1,[2]stages!$2:$2,0)-MATCH("temp_stage",[2]stages!$2:$2,0)+1,FALSE)</f>
        <v>【超級】野獣死すべしっ！</v>
      </c>
      <c r="H10" s="64" t="str">
        <f ca="1">VLOOKUP($C10&amp;"_"&amp;$F10,OFFSET([2]stages!$A$1,0,0,COUNTA([2]stages!$A:$A),MATCH(H$1,[2]stages!$2:$2,0)-MATCH("temp_stage",[2]stages!$2:$2,0)+1),MATCH(H$1,[2]stages!$2:$2,0)-MATCH("temp_stage",[2]stages!$2:$2,0)+1,FALSE)</f>
        <v>ドロップイベント6（マルチ専用）</v>
      </c>
      <c r="I10" s="66">
        <v>1</v>
      </c>
      <c r="J10" s="72">
        <f>ROW()-1</f>
        <v>9</v>
      </c>
      <c r="K10" s="67" t="str">
        <f>C10&amp;TEXT(J10,"00")</f>
        <v>3002109</v>
      </c>
      <c r="L10" s="65" t="s">
        <v>128</v>
      </c>
      <c r="M10" s="68" t="s">
        <v>197</v>
      </c>
      <c r="N10" s="69" t="s">
        <v>410</v>
      </c>
      <c r="O10" s="36" t="s">
        <v>198</v>
      </c>
    </row>
    <row r="11" spans="1:15" ht="28" x14ac:dyDescent="0.15">
      <c r="A11" s="61" t="str">
        <f t="shared" si="0"/>
        <v>30021_3_10</v>
      </c>
      <c r="B11" s="62" t="s">
        <v>195</v>
      </c>
      <c r="C11" s="63">
        <f>floors!$C$2</f>
        <v>30021</v>
      </c>
      <c r="D11" s="64" t="str">
        <f ca="1">VLOOKUP($C11,OFFSET([2]quests!$A$1,0,0,COUNTA([2]quests!$A:$A),MATCH(D$1,[2]quests!$1:$1,0)-MATCH($C$1,[2]quests!$1:$1,0)+1),MATCH(D$1,[2]quests!$1:$1,0)-MATCH($C$1,[2]quests!$1:$1,0)+1,FALSE)</f>
        <v>野獣死すべしっ！</v>
      </c>
      <c r="E11" s="64" t="str">
        <f ca="1">VLOOKUP($C11,OFFSET([2]quests!$A$1,0,0,COUNTA([2]quests!$A:$A),MATCH(E$1,[2]quests!$1:$1,0)-MATCH($C$1,[2]quests!$1:$1,0)+1),MATCH(E$1,[2]quests!$1:$1,0)-MATCH($C$1,[2]quests!$1:$1,0)+1,FALSE)</f>
        <v>ドロップイベント6（マルチ専用）</v>
      </c>
      <c r="F11" s="65">
        <v>3</v>
      </c>
      <c r="G11" s="64" t="str">
        <f ca="1">VLOOKUP($C11&amp;"_"&amp;$F11,OFFSET([2]stages!$A$1,0,0,COUNTA([2]stages!$A:$A),MATCH(G$1,[2]stages!$2:$2,0)-MATCH("temp_stage",[2]stages!$2:$2,0)+1),MATCH(G$1,[2]stages!$2:$2,0)-MATCH("temp_stage",[2]stages!$2:$2,0)+1,FALSE)</f>
        <v>【超級】野獣死すべしっ！</v>
      </c>
      <c r="H11" s="64" t="str">
        <f ca="1">VLOOKUP($C11&amp;"_"&amp;$F11,OFFSET([2]stages!$A$1,0,0,COUNTA([2]stages!$A:$A),MATCH(H$1,[2]stages!$2:$2,0)-MATCH("temp_stage",[2]stages!$2:$2,0)+1),MATCH(H$1,[2]stages!$2:$2,0)-MATCH("temp_stage",[2]stages!$2:$2,0)+1,FALSE)</f>
        <v>ドロップイベント6（マルチ専用）</v>
      </c>
      <c r="I11" s="66">
        <v>2</v>
      </c>
      <c r="J11" s="72">
        <f t="shared" si="1"/>
        <v>10</v>
      </c>
      <c r="K11" s="67" t="str">
        <f>C11&amp;TEXT(J11,"00")</f>
        <v>3002110</v>
      </c>
      <c r="L11" s="65" t="s">
        <v>128</v>
      </c>
      <c r="M11" s="68" t="s">
        <v>197</v>
      </c>
      <c r="N11" s="251" t="s">
        <v>411</v>
      </c>
      <c r="O11" s="36" t="s">
        <v>198</v>
      </c>
    </row>
    <row r="12" spans="1:15" ht="56" x14ac:dyDescent="0.15">
      <c r="A12" s="61" t="str">
        <f t="shared" si="0"/>
        <v>30021_3_11</v>
      </c>
      <c r="B12" s="62" t="s">
        <v>195</v>
      </c>
      <c r="C12" s="63">
        <f>floors!$C$2</f>
        <v>30021</v>
      </c>
      <c r="D12" s="64" t="str">
        <f ca="1">VLOOKUP($C12,OFFSET([2]quests!$A$1,0,0,COUNTA([2]quests!$A:$A),MATCH(D$1,[2]quests!$1:$1,0)-MATCH($C$1,[2]quests!$1:$1,0)+1),MATCH(D$1,[2]quests!$1:$1,0)-MATCH($C$1,[2]quests!$1:$1,0)+1,FALSE)</f>
        <v>野獣死すべしっ！</v>
      </c>
      <c r="E12" s="64" t="str">
        <f ca="1">VLOOKUP($C12,OFFSET([2]quests!$A$1,0,0,COUNTA([2]quests!$A:$A),MATCH(E$1,[2]quests!$1:$1,0)-MATCH($C$1,[2]quests!$1:$1,0)+1),MATCH(E$1,[2]quests!$1:$1,0)-MATCH($C$1,[2]quests!$1:$1,0)+1,FALSE)</f>
        <v>ドロップイベント6（マルチ専用）</v>
      </c>
      <c r="F12" s="65">
        <v>3</v>
      </c>
      <c r="G12" s="64" t="str">
        <f ca="1">VLOOKUP($C12&amp;"_"&amp;$F12,OFFSET([2]stages!$A$1,0,0,COUNTA([2]stages!$A:$A),MATCH(G$1,[2]stages!$2:$2,0)-MATCH("temp_stage",[2]stages!$2:$2,0)+1),MATCH(G$1,[2]stages!$2:$2,0)-MATCH("temp_stage",[2]stages!$2:$2,0)+1,FALSE)</f>
        <v>【超級】野獣死すべしっ！</v>
      </c>
      <c r="H12" s="64" t="str">
        <f ca="1">VLOOKUP($C12&amp;"_"&amp;$F12,OFFSET([2]stages!$A$1,0,0,COUNTA([2]stages!$A:$A),MATCH(H$1,[2]stages!$2:$2,0)-MATCH("temp_stage",[2]stages!$2:$2,0)+1),MATCH(H$1,[2]stages!$2:$2,0)-MATCH("temp_stage",[2]stages!$2:$2,0)+1,FALSE)</f>
        <v>ドロップイベント6（マルチ専用）</v>
      </c>
      <c r="I12" s="66">
        <v>3</v>
      </c>
      <c r="J12" s="72">
        <f t="shared" si="1"/>
        <v>11</v>
      </c>
      <c r="K12" s="67" t="str">
        <f t="shared" ref="K12:K13" si="4">C12&amp;TEXT(J12,"00")</f>
        <v>3002111</v>
      </c>
      <c r="L12" s="65" t="s">
        <v>128</v>
      </c>
      <c r="M12" s="68" t="s">
        <v>197</v>
      </c>
      <c r="N12" s="251" t="s">
        <v>413</v>
      </c>
      <c r="O12" s="36" t="s">
        <v>198</v>
      </c>
    </row>
    <row r="13" spans="1:15" ht="42" x14ac:dyDescent="0.15">
      <c r="A13" s="61" t="str">
        <f t="shared" si="0"/>
        <v>30021_3_12</v>
      </c>
      <c r="B13" s="62" t="s">
        <v>195</v>
      </c>
      <c r="C13" s="63">
        <f>floors!$C$2</f>
        <v>30021</v>
      </c>
      <c r="D13" s="64" t="str">
        <f ca="1">VLOOKUP($C13,OFFSET([2]quests!$A$1,0,0,COUNTA([2]quests!$A:$A),MATCH(D$1,[2]quests!$1:$1,0)-MATCH($C$1,[2]quests!$1:$1,0)+1),MATCH(D$1,[2]quests!$1:$1,0)-MATCH($C$1,[2]quests!$1:$1,0)+1,FALSE)</f>
        <v>野獣死すべしっ！</v>
      </c>
      <c r="E13" s="64" t="str">
        <f ca="1">VLOOKUP($C13,OFFSET([2]quests!$A$1,0,0,COUNTA([2]quests!$A:$A),MATCH(E$1,[2]quests!$1:$1,0)-MATCH($C$1,[2]quests!$1:$1,0)+1),MATCH(E$1,[2]quests!$1:$1,0)-MATCH($C$1,[2]quests!$1:$1,0)+1,FALSE)</f>
        <v>ドロップイベント6（マルチ専用）</v>
      </c>
      <c r="F13" s="65">
        <v>3</v>
      </c>
      <c r="G13" s="64" t="str">
        <f ca="1">VLOOKUP($C13&amp;"_"&amp;$F13,OFFSET([2]stages!$A$1,0,0,COUNTA([2]stages!$A:$A),MATCH(G$1,[2]stages!$2:$2,0)-MATCH("temp_stage",[2]stages!$2:$2,0)+1),MATCH(G$1,[2]stages!$2:$2,0)-MATCH("temp_stage",[2]stages!$2:$2,0)+1,FALSE)</f>
        <v>【超級】野獣死すべしっ！</v>
      </c>
      <c r="H13" s="64" t="str">
        <f ca="1">VLOOKUP($C13&amp;"_"&amp;$F13,OFFSET([2]stages!$A$1,0,0,COUNTA([2]stages!$A:$A),MATCH(H$1,[2]stages!$2:$2,0)-MATCH("temp_stage",[2]stages!$2:$2,0)+1),MATCH(H$1,[2]stages!$2:$2,0)-MATCH("temp_stage",[2]stages!$2:$2,0)+1,FALSE)</f>
        <v>ドロップイベント6（マルチ専用）</v>
      </c>
      <c r="I13" s="66">
        <v>4</v>
      </c>
      <c r="J13" s="72">
        <f t="shared" si="1"/>
        <v>12</v>
      </c>
      <c r="K13" s="67" t="str">
        <f t="shared" si="4"/>
        <v>3002112</v>
      </c>
      <c r="L13" s="65" t="s">
        <v>128</v>
      </c>
      <c r="M13" s="68" t="s">
        <v>197</v>
      </c>
      <c r="N13" s="251" t="s">
        <v>412</v>
      </c>
      <c r="O13" s="36" t="s">
        <v>198</v>
      </c>
    </row>
  </sheetData>
  <phoneticPr fontId="5"/>
  <dataValidations count="1">
    <dataValidation type="list" allowBlank="1" showInputMessage="1" showErrorMessage="1" sqref="B2:B13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2017-03-08T05:29:36Z</dcterms:modified>
</cp:coreProperties>
</file>