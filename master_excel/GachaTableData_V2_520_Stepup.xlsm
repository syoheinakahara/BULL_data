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8"/>
  </bookViews>
  <sheets>
    <sheet name="確率の考え方" sheetId="110" r:id="rId1"/>
    <sheet name="Sheet1" sheetId="107" r:id="rId2"/>
    <sheet name="output" sheetId="103" r:id="rId3"/>
    <sheet name="input_520101" sheetId="157" r:id="rId4"/>
    <sheet name="tables_520101" sheetId="158" r:id="rId5"/>
    <sheet name="input_520100" sheetId="153" r:id="rId6"/>
    <sheet name="tables_520100" sheetId="154" r:id="rId7"/>
    <sheet name="tables_settle_520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tables_520100!$A$1:$V$294</definedName>
    <definedName name="_xlnm._FilterDatabase" localSheetId="4" hidden="1">tables_520101!$A$1:$V$294</definedName>
    <definedName name="_xlnm._FilterDatabase" localSheetId="7" hidden="1">tables_settle_520105!$A$1:$V$84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98" l="1"/>
  <c r="B5" i="98"/>
  <c r="B6" i="98"/>
  <c r="B4" i="98"/>
  <c r="B3" i="98"/>
  <c r="I341" i="158"/>
  <c r="D341" i="158"/>
  <c r="J341" i="158"/>
  <c r="E341" i="158"/>
  <c r="F341" i="158"/>
  <c r="C341" i="158"/>
  <c r="H341" i="158"/>
  <c r="K341" i="158"/>
  <c r="L341" i="158"/>
  <c r="M341" i="158"/>
  <c r="N341" i="158"/>
  <c r="A2" i="157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1" i="158"/>
  <c r="E17" i="157"/>
  <c r="B10" i="157"/>
  <c r="E6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5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B23" i="157"/>
  <c r="G23" i="157"/>
  <c r="E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2" i="158"/>
  <c r="O343" i="158"/>
  <c r="O344" i="158"/>
  <c r="O345" i="158"/>
  <c r="O346" i="158"/>
  <c r="O347" i="158"/>
  <c r="O348" i="158"/>
  <c r="O349" i="158"/>
  <c r="O350" i="158"/>
  <c r="P341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B6" i="153"/>
  <c r="B3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B10" i="153"/>
  <c r="F6" i="153"/>
  <c r="E6" i="153"/>
  <c r="E26" i="153"/>
  <c r="B26" i="153"/>
  <c r="E25" i="153"/>
  <c r="B25" i="153"/>
  <c r="E24" i="153"/>
  <c r="B24" i="153"/>
  <c r="E21" i="153"/>
  <c r="B21" i="153"/>
  <c r="B23" i="153"/>
  <c r="E22" i="153"/>
  <c r="B22" i="153"/>
  <c r="E20" i="153"/>
  <c r="B20" i="153"/>
  <c r="E19" i="153"/>
  <c r="B19" i="153"/>
  <c r="E18" i="153"/>
  <c r="B18" i="153"/>
  <c r="E17" i="153"/>
  <c r="B17" i="153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H348" i="154"/>
  <c r="K348" i="154"/>
  <c r="L348" i="154"/>
  <c r="M348" i="154"/>
  <c r="N348" i="154"/>
  <c r="A2" i="153"/>
  <c r="A36" i="153"/>
  <c r="G29" i="153"/>
  <c r="H29" i="153"/>
  <c r="O348" i="154"/>
  <c r="G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3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48" i="154"/>
  <c r="A349" i="154"/>
  <c r="A350" i="154"/>
  <c r="A341" i="154"/>
  <c r="H341" i="154"/>
  <c r="K341" i="154"/>
  <c r="L341" i="154"/>
  <c r="M341" i="154"/>
  <c r="N341" i="154"/>
  <c r="P341" i="154"/>
  <c r="A342" i="154"/>
  <c r="H342" i="154"/>
  <c r="K342" i="154"/>
  <c r="L342" i="154"/>
  <c r="M342" i="154"/>
  <c r="N342" i="154"/>
  <c r="P342" i="154"/>
  <c r="A343" i="154"/>
  <c r="H343" i="154"/>
  <c r="K343" i="154"/>
  <c r="L343" i="154"/>
  <c r="M343" i="154"/>
  <c r="N343" i="154"/>
  <c r="P343" i="154"/>
  <c r="A344" i="154"/>
  <c r="H344" i="154"/>
  <c r="K344" i="154"/>
  <c r="L344" i="154"/>
  <c r="M344" i="154"/>
  <c r="N344" i="154"/>
  <c r="P344" i="154"/>
  <c r="A345" i="154"/>
  <c r="H345" i="154"/>
  <c r="K345" i="154"/>
  <c r="L345" i="154"/>
  <c r="M345" i="154"/>
  <c r="N345" i="154"/>
  <c r="P345" i="154"/>
  <c r="A346" i="154"/>
  <c r="H346" i="154"/>
  <c r="K346" i="154"/>
  <c r="L346" i="154"/>
  <c r="M346" i="154"/>
  <c r="N346" i="154"/>
  <c r="P346" i="154"/>
  <c r="A347" i="154"/>
  <c r="H347" i="154"/>
  <c r="K347" i="154"/>
  <c r="L347" i="154"/>
  <c r="M347" i="154"/>
  <c r="N347" i="154"/>
  <c r="P347" i="154"/>
  <c r="A339" i="158"/>
  <c r="A340" i="158"/>
  <c r="A341" i="158"/>
  <c r="A342" i="158"/>
  <c r="A343" i="158"/>
  <c r="A344" i="158"/>
  <c r="A345" i="158"/>
  <c r="A346" i="158"/>
  <c r="A347" i="158"/>
  <c r="A348" i="158"/>
  <c r="A349" i="158"/>
  <c r="A350" i="158"/>
  <c r="S3" i="98"/>
  <c r="T3" i="98"/>
  <c r="R3" i="98"/>
  <c r="S4" i="98"/>
  <c r="T4" i="98"/>
  <c r="R4" i="98"/>
  <c r="S5" i="98"/>
  <c r="T5" i="98"/>
  <c r="R5" i="98"/>
  <c r="S6" i="98"/>
  <c r="T6" i="98"/>
  <c r="R6" i="98"/>
  <c r="S7" i="98"/>
  <c r="T7" i="98"/>
  <c r="R7" i="98"/>
  <c r="S2" i="98"/>
  <c r="T2" i="98"/>
  <c r="R2" i="98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I3" i="159"/>
  <c r="D3" i="159"/>
  <c r="E3" i="159"/>
  <c r="F3" i="159"/>
  <c r="H3" i="159"/>
  <c r="J3" i="159"/>
  <c r="K3" i="159"/>
  <c r="L3" i="159"/>
  <c r="M3" i="159"/>
  <c r="N3" i="159"/>
  <c r="P3" i="159"/>
  <c r="I6" i="159"/>
  <c r="D6" i="159"/>
  <c r="E6" i="159"/>
  <c r="F6" i="159"/>
  <c r="H6" i="159"/>
  <c r="J6" i="159"/>
  <c r="K6" i="159"/>
  <c r="L6" i="159"/>
  <c r="M6" i="159"/>
  <c r="N6" i="159"/>
  <c r="P6" i="159"/>
  <c r="I7" i="159"/>
  <c r="D7" i="159"/>
  <c r="E7" i="159"/>
  <c r="F7" i="159"/>
  <c r="H7" i="159"/>
  <c r="J7" i="159"/>
  <c r="K7" i="159"/>
  <c r="L7" i="159"/>
  <c r="M7" i="159"/>
  <c r="N7" i="159"/>
  <c r="P7" i="159"/>
  <c r="I10" i="159"/>
  <c r="D10" i="159"/>
  <c r="E10" i="159"/>
  <c r="F10" i="159"/>
  <c r="H10" i="159"/>
  <c r="J10" i="159"/>
  <c r="K10" i="159"/>
  <c r="L10" i="159"/>
  <c r="M10" i="159"/>
  <c r="N10" i="159"/>
  <c r="P10" i="159"/>
  <c r="I11" i="159"/>
  <c r="D11" i="159"/>
  <c r="E11" i="159"/>
  <c r="F11" i="159"/>
  <c r="H11" i="159"/>
  <c r="J11" i="159"/>
  <c r="K11" i="159"/>
  <c r="L11" i="159"/>
  <c r="M11" i="159"/>
  <c r="N11" i="159"/>
  <c r="P11" i="159"/>
  <c r="I12" i="159"/>
  <c r="D12" i="159"/>
  <c r="E12" i="159"/>
  <c r="F12" i="159"/>
  <c r="H12" i="159"/>
  <c r="J12" i="159"/>
  <c r="K12" i="159"/>
  <c r="L12" i="159"/>
  <c r="M12" i="159"/>
  <c r="N12" i="159"/>
  <c r="P12" i="159"/>
  <c r="I13" i="159"/>
  <c r="D13" i="159"/>
  <c r="E13" i="159"/>
  <c r="F13" i="159"/>
  <c r="H13" i="159"/>
  <c r="J13" i="159"/>
  <c r="K13" i="159"/>
  <c r="L13" i="159"/>
  <c r="M13" i="159"/>
  <c r="N13" i="159"/>
  <c r="P13" i="159"/>
  <c r="I14" i="159"/>
  <c r="D14" i="159"/>
  <c r="E14" i="159"/>
  <c r="F14" i="159"/>
  <c r="H14" i="159"/>
  <c r="J14" i="159"/>
  <c r="K14" i="159"/>
  <c r="L14" i="159"/>
  <c r="M14" i="159"/>
  <c r="N14" i="159"/>
  <c r="P14" i="159"/>
  <c r="I15" i="159"/>
  <c r="D15" i="159"/>
  <c r="E15" i="159"/>
  <c r="F15" i="159"/>
  <c r="H15" i="159"/>
  <c r="J15" i="159"/>
  <c r="K15" i="159"/>
  <c r="L15" i="159"/>
  <c r="M15" i="159"/>
  <c r="N15" i="159"/>
  <c r="P15" i="159"/>
  <c r="I16" i="159"/>
  <c r="D16" i="159"/>
  <c r="E16" i="159"/>
  <c r="F16" i="159"/>
  <c r="H16" i="159"/>
  <c r="J16" i="159"/>
  <c r="K16" i="159"/>
  <c r="L16" i="159"/>
  <c r="M16" i="159"/>
  <c r="N16" i="159"/>
  <c r="P16" i="159"/>
  <c r="I17" i="159"/>
  <c r="D17" i="159"/>
  <c r="E17" i="159"/>
  <c r="F17" i="159"/>
  <c r="H17" i="159"/>
  <c r="J17" i="159"/>
  <c r="K17" i="159"/>
  <c r="L17" i="159"/>
  <c r="M17" i="159"/>
  <c r="N17" i="159"/>
  <c r="P17" i="159"/>
  <c r="I18" i="159"/>
  <c r="D18" i="159"/>
  <c r="E18" i="159"/>
  <c r="F18" i="159"/>
  <c r="H18" i="159"/>
  <c r="J18" i="159"/>
  <c r="K18" i="159"/>
  <c r="L18" i="159"/>
  <c r="M18" i="159"/>
  <c r="N18" i="159"/>
  <c r="P18" i="159"/>
  <c r="I19" i="159"/>
  <c r="D19" i="159"/>
  <c r="E19" i="159"/>
  <c r="F19" i="159"/>
  <c r="H19" i="159"/>
  <c r="J19" i="159"/>
  <c r="K19" i="159"/>
  <c r="L19" i="159"/>
  <c r="M19" i="159"/>
  <c r="N19" i="159"/>
  <c r="P19" i="159"/>
  <c r="I20" i="159"/>
  <c r="D20" i="159"/>
  <c r="E20" i="159"/>
  <c r="F20" i="159"/>
  <c r="H20" i="159"/>
  <c r="J20" i="159"/>
  <c r="K20" i="159"/>
  <c r="L20" i="159"/>
  <c r="M20" i="159"/>
  <c r="N20" i="159"/>
  <c r="P20" i="159"/>
  <c r="I21" i="159"/>
  <c r="D21" i="159"/>
  <c r="E21" i="159"/>
  <c r="F21" i="159"/>
  <c r="H21" i="159"/>
  <c r="J21" i="159"/>
  <c r="K21" i="159"/>
  <c r="L21" i="159"/>
  <c r="M21" i="159"/>
  <c r="N21" i="159"/>
  <c r="P21" i="159"/>
  <c r="I22" i="159"/>
  <c r="D22" i="159"/>
  <c r="E22" i="159"/>
  <c r="F22" i="159"/>
  <c r="H22" i="159"/>
  <c r="J22" i="159"/>
  <c r="K22" i="159"/>
  <c r="L22" i="159"/>
  <c r="M22" i="159"/>
  <c r="N22" i="159"/>
  <c r="P22" i="159"/>
  <c r="I23" i="159"/>
  <c r="D23" i="159"/>
  <c r="E23" i="159"/>
  <c r="F23" i="159"/>
  <c r="H23" i="159"/>
  <c r="J23" i="159"/>
  <c r="K23" i="159"/>
  <c r="L23" i="159"/>
  <c r="M23" i="159"/>
  <c r="N23" i="159"/>
  <c r="P23" i="159"/>
  <c r="I24" i="159"/>
  <c r="D24" i="159"/>
  <c r="E24" i="159"/>
  <c r="F24" i="159"/>
  <c r="H24" i="159"/>
  <c r="J24" i="159"/>
  <c r="K24" i="159"/>
  <c r="L24" i="159"/>
  <c r="M24" i="159"/>
  <c r="N24" i="159"/>
  <c r="P24" i="159"/>
  <c r="I25" i="159"/>
  <c r="D25" i="159"/>
  <c r="E25" i="159"/>
  <c r="F25" i="159"/>
  <c r="H25" i="159"/>
  <c r="J25" i="159"/>
  <c r="K25" i="159"/>
  <c r="L25" i="159"/>
  <c r="M25" i="159"/>
  <c r="N25" i="159"/>
  <c r="P25" i="159"/>
  <c r="I26" i="159"/>
  <c r="D26" i="159"/>
  <c r="E26" i="159"/>
  <c r="F26" i="159"/>
  <c r="H26" i="159"/>
  <c r="J26" i="159"/>
  <c r="K26" i="159"/>
  <c r="L26" i="159"/>
  <c r="M26" i="159"/>
  <c r="N26" i="159"/>
  <c r="P26" i="159"/>
  <c r="I27" i="159"/>
  <c r="D27" i="159"/>
  <c r="E27" i="159"/>
  <c r="F27" i="159"/>
  <c r="H27" i="159"/>
  <c r="J27" i="159"/>
  <c r="K27" i="159"/>
  <c r="L27" i="159"/>
  <c r="M27" i="159"/>
  <c r="N27" i="159"/>
  <c r="P27" i="159"/>
  <c r="I28" i="159"/>
  <c r="D28" i="159"/>
  <c r="E28" i="159"/>
  <c r="F28" i="159"/>
  <c r="H28" i="159"/>
  <c r="J28" i="159"/>
  <c r="K28" i="159"/>
  <c r="L28" i="159"/>
  <c r="M28" i="159"/>
  <c r="N28" i="159"/>
  <c r="P28" i="159"/>
  <c r="I29" i="159"/>
  <c r="D29" i="159"/>
  <c r="E29" i="159"/>
  <c r="F29" i="159"/>
  <c r="H29" i="159"/>
  <c r="J29" i="159"/>
  <c r="K29" i="159"/>
  <c r="L29" i="159"/>
  <c r="M29" i="159"/>
  <c r="N29" i="159"/>
  <c r="P29" i="159"/>
  <c r="I30" i="159"/>
  <c r="D30" i="159"/>
  <c r="E30" i="159"/>
  <c r="F30" i="159"/>
  <c r="H30" i="159"/>
  <c r="J30" i="159"/>
  <c r="K30" i="159"/>
  <c r="L30" i="159"/>
  <c r="M30" i="159"/>
  <c r="N30" i="159"/>
  <c r="P30" i="159"/>
  <c r="I31" i="159"/>
  <c r="D31" i="159"/>
  <c r="E31" i="159"/>
  <c r="F31" i="159"/>
  <c r="H31" i="159"/>
  <c r="J31" i="159"/>
  <c r="K31" i="159"/>
  <c r="L31" i="159"/>
  <c r="M31" i="159"/>
  <c r="N31" i="159"/>
  <c r="P31" i="159"/>
  <c r="I32" i="159"/>
  <c r="D32" i="159"/>
  <c r="E32" i="159"/>
  <c r="F32" i="159"/>
  <c r="H32" i="159"/>
  <c r="J32" i="159"/>
  <c r="K32" i="159"/>
  <c r="L32" i="159"/>
  <c r="M32" i="159"/>
  <c r="N32" i="159"/>
  <c r="P32" i="159"/>
  <c r="I33" i="159"/>
  <c r="D33" i="159"/>
  <c r="E33" i="159"/>
  <c r="F33" i="159"/>
  <c r="H33" i="159"/>
  <c r="J33" i="159"/>
  <c r="K33" i="159"/>
  <c r="L33" i="159"/>
  <c r="M33" i="159"/>
  <c r="N33" i="159"/>
  <c r="P33" i="159"/>
  <c r="I34" i="159"/>
  <c r="D34" i="159"/>
  <c r="E34" i="159"/>
  <c r="F34" i="159"/>
  <c r="H34" i="159"/>
  <c r="J34" i="159"/>
  <c r="K34" i="159"/>
  <c r="L34" i="159"/>
  <c r="M34" i="159"/>
  <c r="N34" i="159"/>
  <c r="P34" i="159"/>
  <c r="I35" i="159"/>
  <c r="D35" i="159"/>
  <c r="E35" i="159"/>
  <c r="F35" i="159"/>
  <c r="H35" i="159"/>
  <c r="J35" i="159"/>
  <c r="K35" i="159"/>
  <c r="L35" i="159"/>
  <c r="M35" i="159"/>
  <c r="N35" i="159"/>
  <c r="P35" i="159"/>
  <c r="I36" i="159"/>
  <c r="D36" i="159"/>
  <c r="E36" i="159"/>
  <c r="F36" i="159"/>
  <c r="H36" i="159"/>
  <c r="J36" i="159"/>
  <c r="K36" i="159"/>
  <c r="L36" i="159"/>
  <c r="M36" i="159"/>
  <c r="N36" i="159"/>
  <c r="P36" i="159"/>
  <c r="I37" i="159"/>
  <c r="D37" i="159"/>
  <c r="E37" i="159"/>
  <c r="F37" i="159"/>
  <c r="H37" i="159"/>
  <c r="J37" i="159"/>
  <c r="K37" i="159"/>
  <c r="L37" i="159"/>
  <c r="M37" i="159"/>
  <c r="N37" i="159"/>
  <c r="P37" i="159"/>
  <c r="I38" i="159"/>
  <c r="D38" i="159"/>
  <c r="E38" i="159"/>
  <c r="F38" i="159"/>
  <c r="H38" i="159"/>
  <c r="J38" i="159"/>
  <c r="K38" i="159"/>
  <c r="L38" i="159"/>
  <c r="M38" i="159"/>
  <c r="N38" i="159"/>
  <c r="P38" i="159"/>
  <c r="I39" i="159"/>
  <c r="D39" i="159"/>
  <c r="E39" i="159"/>
  <c r="F39" i="159"/>
  <c r="H39" i="159"/>
  <c r="J39" i="159"/>
  <c r="K39" i="159"/>
  <c r="L39" i="159"/>
  <c r="M39" i="159"/>
  <c r="N39" i="159"/>
  <c r="P39" i="159"/>
  <c r="I40" i="159"/>
  <c r="D40" i="159"/>
  <c r="E40" i="159"/>
  <c r="F40" i="159"/>
  <c r="H40" i="159"/>
  <c r="J40" i="159"/>
  <c r="K40" i="159"/>
  <c r="L40" i="159"/>
  <c r="M40" i="159"/>
  <c r="N40" i="159"/>
  <c r="P40" i="159"/>
  <c r="I41" i="159"/>
  <c r="D41" i="159"/>
  <c r="E41" i="159"/>
  <c r="F41" i="159"/>
  <c r="H41" i="159"/>
  <c r="J41" i="159"/>
  <c r="K41" i="159"/>
  <c r="L41" i="159"/>
  <c r="M41" i="159"/>
  <c r="N41" i="159"/>
  <c r="P41" i="159"/>
  <c r="I42" i="159"/>
  <c r="D42" i="159"/>
  <c r="E42" i="159"/>
  <c r="F42" i="159"/>
  <c r="H42" i="159"/>
  <c r="J42" i="159"/>
  <c r="K42" i="159"/>
  <c r="L42" i="159"/>
  <c r="M42" i="159"/>
  <c r="N42" i="159"/>
  <c r="P42" i="159"/>
  <c r="I43" i="159"/>
  <c r="D43" i="159"/>
  <c r="E43" i="159"/>
  <c r="F43" i="159"/>
  <c r="H43" i="159"/>
  <c r="J43" i="159"/>
  <c r="K43" i="159"/>
  <c r="L43" i="159"/>
  <c r="M43" i="159"/>
  <c r="N43" i="159"/>
  <c r="P43" i="159"/>
  <c r="I44" i="159"/>
  <c r="D44" i="159"/>
  <c r="E44" i="159"/>
  <c r="F44" i="159"/>
  <c r="H44" i="159"/>
  <c r="J44" i="159"/>
  <c r="K44" i="159"/>
  <c r="L44" i="159"/>
  <c r="M44" i="159"/>
  <c r="N44" i="159"/>
  <c r="P44" i="159"/>
  <c r="I45" i="159"/>
  <c r="D45" i="159"/>
  <c r="E45" i="159"/>
  <c r="F45" i="159"/>
  <c r="H45" i="159"/>
  <c r="J45" i="159"/>
  <c r="K45" i="159"/>
  <c r="L45" i="159"/>
  <c r="M45" i="159"/>
  <c r="N45" i="159"/>
  <c r="P45" i="159"/>
  <c r="I46" i="159"/>
  <c r="D46" i="159"/>
  <c r="E46" i="159"/>
  <c r="F46" i="159"/>
  <c r="H46" i="159"/>
  <c r="J46" i="159"/>
  <c r="K46" i="159"/>
  <c r="L46" i="159"/>
  <c r="M46" i="159"/>
  <c r="N46" i="159"/>
  <c r="P46" i="159"/>
  <c r="I47" i="159"/>
  <c r="D47" i="159"/>
  <c r="E47" i="159"/>
  <c r="F47" i="159"/>
  <c r="H47" i="159"/>
  <c r="J47" i="159"/>
  <c r="K47" i="159"/>
  <c r="L47" i="159"/>
  <c r="M47" i="159"/>
  <c r="N47" i="159"/>
  <c r="P47" i="159"/>
  <c r="I48" i="159"/>
  <c r="D48" i="159"/>
  <c r="E48" i="159"/>
  <c r="F48" i="159"/>
  <c r="H48" i="159"/>
  <c r="J48" i="159"/>
  <c r="K48" i="159"/>
  <c r="L48" i="159"/>
  <c r="M48" i="159"/>
  <c r="N48" i="159"/>
  <c r="P48" i="159"/>
  <c r="I49" i="159"/>
  <c r="D49" i="159"/>
  <c r="E49" i="159"/>
  <c r="F49" i="159"/>
  <c r="H49" i="159"/>
  <c r="J49" i="159"/>
  <c r="K49" i="159"/>
  <c r="L49" i="159"/>
  <c r="M49" i="159"/>
  <c r="N49" i="159"/>
  <c r="P49" i="159"/>
  <c r="I50" i="159"/>
  <c r="D50" i="159"/>
  <c r="E50" i="159"/>
  <c r="F50" i="159"/>
  <c r="H50" i="159"/>
  <c r="J50" i="159"/>
  <c r="K50" i="159"/>
  <c r="L50" i="159"/>
  <c r="M50" i="159"/>
  <c r="N50" i="159"/>
  <c r="P50" i="159"/>
  <c r="I51" i="159"/>
  <c r="D51" i="159"/>
  <c r="E51" i="159"/>
  <c r="F51" i="159"/>
  <c r="H51" i="159"/>
  <c r="J51" i="159"/>
  <c r="K51" i="159"/>
  <c r="L51" i="159"/>
  <c r="M51" i="159"/>
  <c r="N51" i="159"/>
  <c r="P51" i="159"/>
  <c r="I52" i="159"/>
  <c r="D52" i="159"/>
  <c r="E52" i="159"/>
  <c r="F52" i="159"/>
  <c r="H52" i="159"/>
  <c r="J52" i="159"/>
  <c r="K52" i="159"/>
  <c r="L52" i="159"/>
  <c r="M52" i="159"/>
  <c r="N52" i="159"/>
  <c r="P52" i="159"/>
  <c r="I53" i="159"/>
  <c r="D53" i="159"/>
  <c r="E53" i="159"/>
  <c r="F53" i="159"/>
  <c r="H53" i="159"/>
  <c r="J53" i="159"/>
  <c r="K53" i="159"/>
  <c r="L53" i="159"/>
  <c r="M53" i="159"/>
  <c r="N53" i="159"/>
  <c r="P53" i="159"/>
  <c r="I54" i="159"/>
  <c r="D54" i="159"/>
  <c r="E54" i="159"/>
  <c r="F54" i="159"/>
  <c r="H54" i="159"/>
  <c r="J54" i="159"/>
  <c r="K54" i="159"/>
  <c r="L54" i="159"/>
  <c r="M54" i="159"/>
  <c r="N54" i="159"/>
  <c r="P54" i="159"/>
  <c r="I55" i="159"/>
  <c r="D55" i="159"/>
  <c r="E55" i="159"/>
  <c r="F55" i="159"/>
  <c r="H55" i="159"/>
  <c r="J55" i="159"/>
  <c r="K55" i="159"/>
  <c r="L55" i="159"/>
  <c r="M55" i="159"/>
  <c r="N55" i="159"/>
  <c r="P55" i="159"/>
  <c r="I56" i="159"/>
  <c r="D56" i="159"/>
  <c r="E56" i="159"/>
  <c r="F56" i="159"/>
  <c r="H56" i="159"/>
  <c r="J56" i="159"/>
  <c r="K56" i="159"/>
  <c r="L56" i="159"/>
  <c r="M56" i="159"/>
  <c r="N56" i="159"/>
  <c r="P56" i="159"/>
  <c r="I57" i="159"/>
  <c r="D57" i="159"/>
  <c r="E57" i="159"/>
  <c r="F57" i="159"/>
  <c r="H57" i="159"/>
  <c r="J57" i="159"/>
  <c r="K57" i="159"/>
  <c r="L57" i="159"/>
  <c r="M57" i="159"/>
  <c r="N57" i="159"/>
  <c r="P57" i="159"/>
  <c r="I58" i="159"/>
  <c r="D58" i="159"/>
  <c r="E58" i="159"/>
  <c r="F58" i="159"/>
  <c r="H58" i="159"/>
  <c r="J58" i="159"/>
  <c r="K58" i="159"/>
  <c r="L58" i="159"/>
  <c r="M58" i="159"/>
  <c r="N58" i="159"/>
  <c r="P58" i="159"/>
  <c r="I59" i="159"/>
  <c r="D59" i="159"/>
  <c r="E59" i="159"/>
  <c r="F59" i="159"/>
  <c r="H59" i="159"/>
  <c r="J59" i="159"/>
  <c r="K59" i="159"/>
  <c r="L59" i="159"/>
  <c r="M59" i="159"/>
  <c r="N59" i="159"/>
  <c r="P59" i="159"/>
  <c r="I60" i="159"/>
  <c r="D60" i="159"/>
  <c r="E60" i="159"/>
  <c r="F60" i="159"/>
  <c r="H60" i="159"/>
  <c r="J60" i="159"/>
  <c r="K60" i="159"/>
  <c r="L60" i="159"/>
  <c r="M60" i="159"/>
  <c r="N60" i="159"/>
  <c r="P60" i="159"/>
  <c r="I61" i="159"/>
  <c r="D61" i="159"/>
  <c r="E61" i="159"/>
  <c r="F61" i="159"/>
  <c r="H61" i="159"/>
  <c r="J61" i="159"/>
  <c r="K61" i="159"/>
  <c r="L61" i="159"/>
  <c r="M61" i="159"/>
  <c r="N61" i="159"/>
  <c r="P61" i="159"/>
  <c r="I62" i="159"/>
  <c r="D62" i="159"/>
  <c r="E62" i="159"/>
  <c r="F62" i="159"/>
  <c r="H62" i="159"/>
  <c r="J62" i="159"/>
  <c r="K62" i="159"/>
  <c r="L62" i="159"/>
  <c r="M62" i="159"/>
  <c r="N62" i="159"/>
  <c r="P62" i="159"/>
  <c r="I63" i="159"/>
  <c r="D63" i="159"/>
  <c r="E63" i="159"/>
  <c r="F63" i="159"/>
  <c r="H63" i="159"/>
  <c r="J63" i="159"/>
  <c r="K63" i="159"/>
  <c r="L63" i="159"/>
  <c r="M63" i="159"/>
  <c r="N63" i="159"/>
  <c r="P63" i="159"/>
  <c r="I64" i="159"/>
  <c r="D64" i="159"/>
  <c r="E64" i="159"/>
  <c r="F64" i="159"/>
  <c r="H64" i="159"/>
  <c r="J64" i="159"/>
  <c r="K64" i="159"/>
  <c r="L64" i="159"/>
  <c r="M64" i="159"/>
  <c r="N64" i="159"/>
  <c r="P64" i="159"/>
  <c r="I65" i="159"/>
  <c r="D65" i="159"/>
  <c r="E65" i="159"/>
  <c r="F65" i="159"/>
  <c r="H65" i="159"/>
  <c r="J65" i="159"/>
  <c r="K65" i="159"/>
  <c r="L65" i="159"/>
  <c r="M65" i="159"/>
  <c r="N65" i="159"/>
  <c r="P65" i="159"/>
  <c r="I66" i="159"/>
  <c r="D66" i="159"/>
  <c r="E66" i="159"/>
  <c r="F66" i="159"/>
  <c r="H66" i="159"/>
  <c r="J66" i="159"/>
  <c r="K66" i="159"/>
  <c r="L66" i="159"/>
  <c r="M66" i="159"/>
  <c r="N66" i="159"/>
  <c r="P66" i="159"/>
  <c r="I67" i="159"/>
  <c r="D67" i="159"/>
  <c r="E67" i="159"/>
  <c r="F67" i="159"/>
  <c r="H67" i="159"/>
  <c r="J67" i="159"/>
  <c r="K67" i="159"/>
  <c r="L67" i="159"/>
  <c r="M67" i="159"/>
  <c r="N67" i="159"/>
  <c r="P67" i="159"/>
  <c r="I68" i="159"/>
  <c r="D68" i="159"/>
  <c r="E68" i="159"/>
  <c r="F68" i="159"/>
  <c r="H68" i="159"/>
  <c r="J68" i="159"/>
  <c r="K68" i="159"/>
  <c r="L68" i="159"/>
  <c r="M68" i="159"/>
  <c r="N68" i="159"/>
  <c r="P68" i="159"/>
  <c r="I69" i="159"/>
  <c r="D69" i="159"/>
  <c r="E69" i="159"/>
  <c r="F69" i="159"/>
  <c r="H69" i="159"/>
  <c r="J69" i="159"/>
  <c r="K69" i="159"/>
  <c r="L69" i="159"/>
  <c r="M69" i="159"/>
  <c r="N69" i="159"/>
  <c r="P69" i="159"/>
  <c r="I70" i="159"/>
  <c r="D70" i="159"/>
  <c r="E70" i="159"/>
  <c r="F70" i="159"/>
  <c r="H70" i="159"/>
  <c r="J70" i="159"/>
  <c r="K70" i="159"/>
  <c r="L70" i="159"/>
  <c r="M70" i="159"/>
  <c r="N70" i="159"/>
  <c r="P70" i="159"/>
  <c r="I71" i="159"/>
  <c r="D71" i="159"/>
  <c r="E71" i="159"/>
  <c r="F71" i="159"/>
  <c r="H71" i="159"/>
  <c r="J71" i="159"/>
  <c r="K71" i="159"/>
  <c r="L71" i="159"/>
  <c r="M71" i="159"/>
  <c r="N71" i="159"/>
  <c r="P71" i="159"/>
  <c r="I72" i="159"/>
  <c r="D72" i="159"/>
  <c r="E72" i="159"/>
  <c r="F72" i="159"/>
  <c r="H72" i="159"/>
  <c r="J72" i="159"/>
  <c r="K72" i="159"/>
  <c r="L72" i="159"/>
  <c r="M72" i="159"/>
  <c r="N72" i="159"/>
  <c r="P72" i="159"/>
  <c r="I73" i="159"/>
  <c r="D73" i="159"/>
  <c r="E73" i="159"/>
  <c r="F73" i="159"/>
  <c r="H73" i="159"/>
  <c r="J73" i="159"/>
  <c r="K73" i="159"/>
  <c r="L73" i="159"/>
  <c r="M73" i="159"/>
  <c r="N73" i="159"/>
  <c r="P73" i="159"/>
  <c r="I74" i="159"/>
  <c r="D74" i="159"/>
  <c r="E74" i="159"/>
  <c r="F74" i="159"/>
  <c r="H74" i="159"/>
  <c r="J74" i="159"/>
  <c r="K74" i="159"/>
  <c r="L74" i="159"/>
  <c r="M74" i="159"/>
  <c r="N74" i="159"/>
  <c r="P74" i="159"/>
  <c r="I75" i="159"/>
  <c r="D75" i="159"/>
  <c r="E75" i="159"/>
  <c r="F75" i="159"/>
  <c r="H75" i="159"/>
  <c r="J75" i="159"/>
  <c r="K75" i="159"/>
  <c r="L75" i="159"/>
  <c r="M75" i="159"/>
  <c r="N75" i="159"/>
  <c r="P75" i="159"/>
  <c r="I76" i="159"/>
  <c r="D76" i="159"/>
  <c r="E76" i="159"/>
  <c r="F76" i="159"/>
  <c r="H76" i="159"/>
  <c r="J76" i="159"/>
  <c r="K76" i="159"/>
  <c r="L76" i="159"/>
  <c r="M76" i="159"/>
  <c r="N76" i="159"/>
  <c r="P76" i="159"/>
  <c r="I77" i="159"/>
  <c r="D77" i="159"/>
  <c r="E77" i="159"/>
  <c r="F77" i="159"/>
  <c r="H77" i="159"/>
  <c r="J77" i="159"/>
  <c r="K77" i="159"/>
  <c r="L77" i="159"/>
  <c r="M77" i="159"/>
  <c r="N77" i="159"/>
  <c r="P77" i="159"/>
  <c r="I78" i="159"/>
  <c r="D78" i="159"/>
  <c r="E78" i="159"/>
  <c r="F78" i="159"/>
  <c r="H78" i="159"/>
  <c r="J78" i="159"/>
  <c r="K78" i="159"/>
  <c r="L78" i="159"/>
  <c r="M78" i="159"/>
  <c r="N78" i="159"/>
  <c r="P78" i="159"/>
  <c r="I79" i="159"/>
  <c r="D79" i="159"/>
  <c r="E79" i="159"/>
  <c r="F79" i="159"/>
  <c r="H79" i="159"/>
  <c r="J79" i="159"/>
  <c r="K79" i="159"/>
  <c r="L79" i="159"/>
  <c r="M79" i="159"/>
  <c r="N79" i="159"/>
  <c r="P79" i="159"/>
  <c r="I80" i="159"/>
  <c r="D80" i="159"/>
  <c r="E80" i="159"/>
  <c r="F80" i="159"/>
  <c r="H80" i="159"/>
  <c r="J80" i="159"/>
  <c r="K80" i="159"/>
  <c r="L80" i="159"/>
  <c r="M80" i="159"/>
  <c r="N80" i="159"/>
  <c r="P80" i="159"/>
  <c r="I81" i="159"/>
  <c r="D81" i="159"/>
  <c r="E81" i="159"/>
  <c r="F81" i="159"/>
  <c r="H81" i="159"/>
  <c r="J81" i="159"/>
  <c r="K81" i="159"/>
  <c r="L81" i="159"/>
  <c r="M81" i="159"/>
  <c r="N81" i="159"/>
  <c r="P81" i="159"/>
  <c r="I82" i="159"/>
  <c r="D82" i="159"/>
  <c r="E82" i="159"/>
  <c r="F82" i="159"/>
  <c r="H82" i="159"/>
  <c r="J82" i="159"/>
  <c r="K82" i="159"/>
  <c r="L82" i="159"/>
  <c r="M82" i="159"/>
  <c r="N82" i="159"/>
  <c r="P82" i="159"/>
  <c r="I83" i="159"/>
  <c r="D83" i="159"/>
  <c r="E83" i="159"/>
  <c r="F83" i="159"/>
  <c r="H83" i="159"/>
  <c r="J83" i="159"/>
  <c r="K83" i="159"/>
  <c r="L83" i="159"/>
  <c r="M83" i="159"/>
  <c r="N83" i="159"/>
  <c r="P83" i="159"/>
  <c r="I84" i="159"/>
  <c r="D84" i="159"/>
  <c r="E84" i="159"/>
  <c r="F84" i="159"/>
  <c r="H84" i="159"/>
  <c r="J84" i="159"/>
  <c r="K84" i="159"/>
  <c r="L84" i="159"/>
  <c r="M84" i="159"/>
  <c r="N84" i="159"/>
  <c r="P84" i="159"/>
  <c r="C6" i="159"/>
  <c r="C7" i="159"/>
  <c r="C10" i="159"/>
  <c r="C11" i="159"/>
  <c r="C12" i="159"/>
  <c r="C13" i="159"/>
  <c r="C14" i="159"/>
  <c r="C15" i="159"/>
  <c r="C16" i="159"/>
  <c r="C17" i="159"/>
  <c r="C18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C33" i="159"/>
  <c r="C34" i="159"/>
  <c r="C35" i="159"/>
  <c r="C36" i="159"/>
  <c r="C37" i="159"/>
  <c r="C38" i="159"/>
  <c r="C39" i="159"/>
  <c r="C40" i="159"/>
  <c r="C41" i="159"/>
  <c r="C42" i="159"/>
  <c r="C43" i="159"/>
  <c r="C44" i="159"/>
  <c r="C45" i="159"/>
  <c r="C46" i="159"/>
  <c r="C47" i="159"/>
  <c r="C48" i="159"/>
  <c r="C49" i="159"/>
  <c r="C50" i="159"/>
  <c r="C51" i="159"/>
  <c r="C52" i="159"/>
  <c r="C53" i="159"/>
  <c r="C54" i="159"/>
  <c r="C55" i="159"/>
  <c r="C56" i="159"/>
  <c r="C57" i="159"/>
  <c r="C58" i="159"/>
  <c r="C59" i="159"/>
  <c r="C60" i="159"/>
  <c r="C61" i="159"/>
  <c r="C62" i="159"/>
  <c r="C63" i="159"/>
  <c r="C64" i="159"/>
  <c r="C65" i="159"/>
  <c r="C66" i="159"/>
  <c r="C67" i="159"/>
  <c r="C68" i="159"/>
  <c r="C69" i="159"/>
  <c r="C70" i="159"/>
  <c r="C71" i="159"/>
  <c r="C72" i="159"/>
  <c r="C73" i="159"/>
  <c r="C74" i="159"/>
  <c r="C75" i="159"/>
  <c r="C76" i="159"/>
  <c r="C77" i="159"/>
  <c r="C78" i="159"/>
  <c r="C79" i="159"/>
  <c r="C80" i="159"/>
  <c r="C81" i="159"/>
  <c r="C82" i="159"/>
  <c r="C83" i="159"/>
  <c r="C84" i="159"/>
  <c r="I2" i="159"/>
  <c r="D2" i="159"/>
  <c r="J2" i="159"/>
  <c r="E2" i="159"/>
  <c r="F2" i="159"/>
  <c r="C2" i="159"/>
  <c r="H2" i="159"/>
  <c r="K2" i="159"/>
  <c r="L2" i="159"/>
  <c r="M2" i="159"/>
  <c r="N2" i="159"/>
  <c r="P2" i="159"/>
  <c r="C3" i="159"/>
  <c r="F41" i="153"/>
  <c r="G41" i="153"/>
  <c r="R5" i="153"/>
  <c r="R6" i="153"/>
  <c r="R3" i="153"/>
  <c r="R4" i="153"/>
  <c r="R7" i="153"/>
  <c r="R8" i="153"/>
  <c r="F42" i="153"/>
  <c r="G42" i="153"/>
  <c r="R5" i="157"/>
  <c r="R6" i="157"/>
  <c r="R3" i="157"/>
  <c r="R4" i="157"/>
  <c r="R7" i="157"/>
  <c r="R8" i="157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D22" i="157"/>
  <c r="F22" i="157"/>
  <c r="I22" i="157"/>
  <c r="J22" i="157"/>
  <c r="F41" i="157"/>
  <c r="G41" i="157"/>
  <c r="F42" i="157"/>
  <c r="G42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F48" i="157"/>
  <c r="F49" i="157"/>
  <c r="F47" i="157"/>
  <c r="B44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23" i="157"/>
  <c r="J23" i="157"/>
  <c r="F23" i="157"/>
  <c r="D23" i="157"/>
  <c r="I21" i="157"/>
  <c r="J21" i="157"/>
  <c r="F21" i="157"/>
  <c r="D2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<sst xmlns="http://schemas.openxmlformats.org/spreadsheetml/2006/main" count="565" uniqueCount="272">
  <si>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</si>
  <si>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</si>
  <si>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</si>
  <si>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</si>
  <si>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</si>
  <si>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</si>
  <si>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</si>
  <si>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</si>
  <si>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</si>
  <si>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</si>
  <si>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</si>
  <si>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</si>
  <si>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</si>
  <si>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</si>
  <si>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</si>
  <si>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</si>
  <si>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</si>
  <si>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</si>
  <si>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</si>
  <si>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</si>
  <si>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</si>
  <si>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</si>
  <si>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</si>
  <si>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</si>
  <si>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</si>
  <si>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</si>
  <si>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</si>
  <si>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</si>
  <si>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</si>
  <si>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</si>
  <si>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</si>
  <si>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</si>
  <si>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</si>
  <si>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</si>
  <si>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</si>
  <si>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</si>
  <si>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</si>
  <si>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</si>
  <si>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</si>
  <si>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</si>
  <si>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</si>
  <si>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</si>
  <si>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</si>
  <si>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</si>
  <si>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</si>
  <si>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</si>
  <si>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</si>
  <si>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</si>
  <si>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</si>
  <si>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</si>
  <si>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</si>
  <si>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</si>
  <si>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</si>
  <si>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</si>
  <si>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</si>
  <si>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</si>
  <si>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</si>
  <si>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</si>
  <si>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</si>
  <si>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</si>
  <si>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</si>
  <si>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</si>
  <si>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</si>
  <si>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</si>
  <si>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</si>
  <si>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</si>
  <si>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</si>
  <si>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</si>
  <si>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</si>
  <si>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</si>
  <si>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</si>
  <si>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</si>
  <si>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</si>
  <si>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</si>
  <si>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</si>
  <si>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</si>
  <si>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</si>
  <si>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</si>
  <si>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</si>
  <si>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</si>
  <si>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</si>
  <si>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</si>
  <si>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</si>
  <si>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</si>
  <si>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</si>
  <si>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</si>
  <si>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</si>
  <si>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</si>
  <si>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</si>
  <si>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</si>
  <si>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</si>
  <si>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</si>
  <si>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</si>
  <si>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</si>
  <si>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</si>
  <si>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</si>
  <si>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</si>
  <si>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</si>
  <si>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</si>
  <si>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</si>
  <si>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</si>
  <si>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</si>
  <si>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</si>
  <si>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</si>
  <si>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</si>
  <si>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</si>
  <si>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</si>
  <si>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</si>
  <si>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</si>
  <si>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</si>
  <si>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</si>
  <si>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</si>
  <si>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</si>
  <si>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</si>
  <si>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</si>
  <si>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</si>
  <si>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</si>
  <si>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</si>
  <si>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</si>
  <si>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</si>
  <si>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</si>
  <si>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</si>
  <si>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</si>
  <si>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</si>
  <si>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</si>
  <si>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</si>
  <si>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</si>
  <si>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</si>
  <si>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</si>
  <si>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</si>
  <si>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</si>
  <si>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</si>
  <si>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</si>
  <si>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</si>
  <si>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</si>
  <si>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</si>
  <si>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</si>
  <si>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</si>
  <si>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</si>
  <si>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</si>
  <si>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</si>
  <si>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</si>
  <si>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</si>
  <si>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</si>
  <si>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</si>
  <si>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</si>
  <si>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</si>
  <si>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</si>
  <si>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</si>
  <si>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</si>
  <si>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</si>
  <si>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</si>
  <si>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</si>
  <si>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</si>
  <si>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</si>
  <si>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</si>
  <si>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</si>
  <si>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</si>
  <si>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</si>
  <si>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</si>
  <si>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</si>
  <si>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</si>
  <si>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</si>
  <si>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</si>
  <si>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</si>
  <si>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</si>
  <si>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</si>
  <si>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</si>
  <si>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</si>
  <si>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</si>
  <si>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</si>
  <si>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</si>
  <si>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</si>
  <si>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</si>
  <si>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</si>
  <si>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</si>
  <si>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</si>
  <si>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</si>
  <si>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</si>
  <si>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</si>
  <si>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</si>
  <si>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</si>
  <si>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</si>
  <si>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</si>
  <si>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</si>
  <si>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</si>
  <si>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</si>
  <si>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</si>
  <si>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</si>
  <si>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</si>
  <si>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</si>
  <si>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</si>
  <si>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</si>
  <si>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</si>
  <si>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</si>
  <si>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</si>
  <si>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</si>
  <si>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</si>
  <si>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</si>
  <si>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</si>
  <si>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</si>
  <si>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</si>
  <si>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</si>
  <si>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</si>
  <si>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</si>
  <si>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</si>
  <si>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</si>
  <si>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</si>
  <si>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</si>
  <si>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</si>
  <si>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</si>
  <si>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</si>
  <si>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</si>
  <si>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</si>
  <si>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</si>
  <si>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</si>
  <si>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</si>
  <si>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</si>
  <si>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</si>
  <si>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</si>
  <si>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</si>
  <si>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</si>
  <si>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</si>
  <si>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</si>
  <si>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</si>
  <si>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</si>
  <si>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</si>
  <si>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</si>
  <si>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</si>
  <si>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</si>
  <si>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</si>
  <si>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</si>
  <si>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</si>
  <si>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</si>
  <si>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</si>
  <si>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</si>
  <si>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</si>
  <si>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</si>
  <si>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</si>
  <si>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</si>
  <si>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</si>
  <si>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</si>
  <si>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</si>
  <si>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</si>
  <si>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</si>
  <si>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</si>
  <si>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</si>
  <si>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</si>
  <si>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</si>
  <si>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</si>
  <si>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</si>
  <si>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</si>
  <si>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unit</t>
  </si>
  <si>
    <t>ja</t>
  </si>
  <si>
    <t>確定ステップアップガチャ特典</t>
  </si>
  <si>
    <t>炎のメタルジェントル × 10</t>
  </si>
  <si>
    <t>STEP3特典として炎のメタルジェントルを10体プレゼント！</t>
  </si>
  <si>
    <t>森のメタルジェントル × 10</t>
  </si>
  <si>
    <t>STEP3特典として森のメタルジェントルを10体プレゼント！</t>
  </si>
  <si>
    <t>水のメタルジェントル × 10</t>
  </si>
  <si>
    <t>雷のメタルジェントル × 10</t>
  </si>
  <si>
    <t>STEP3特典として水のメタルジェントルを10体プレゼント！</t>
    <phoneticPr fontId="22"/>
  </si>
  <si>
    <t>STEP3特典として雷のメタルジェントルを10体プレゼント！</t>
    <phoneticPr fontId="22"/>
  </si>
  <si>
    <t>old</t>
    <phoneticPr fontId="22"/>
  </si>
  <si>
    <t>item</t>
    <phoneticPr fontId="22"/>
  </si>
  <si>
    <t>経験値キー × 3</t>
    <phoneticPr fontId="22"/>
  </si>
  <si>
    <t>STEP2特典として経験値キーを3本プレゼント！</t>
    <phoneticPr fontId="22"/>
  </si>
  <si>
    <t>リトルハンプティ × 1</t>
    <phoneticPr fontId="22"/>
  </si>
  <si>
    <t>STEP4特典としてリトルハンプティを1体プレゼント！</t>
    <phoneticPr fontId="22"/>
  </si>
  <si>
    <t>tables_520100</t>
    <phoneticPr fontId="22"/>
  </si>
  <si>
    <t>tables_520101</t>
    <phoneticPr fontId="22"/>
  </si>
  <si>
    <t>tables_settle_520105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</si>
</sst>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1" xfId="2" applyFont="1" applyFill="1" applyBorder="1" applyAlignment="1">
      <alignment vertical="center"/>
    </xf>
    <xf numFmtId="184" fontId="27" fillId="4" borderId="1" xfId="3663" quotePrefix="1" applyNumberFormat="1" applyFont="1" applyFill="1" applyBorder="1" applyAlignment="1">
      <alignment vertical="center"/>
    </xf>
    <xf numFmtId="0" fontId="26" fillId="4" borderId="16" xfId="0" applyFont="1" applyFill="1" applyBorder="1" applyAlignment="1">
      <alignment horizontal="right"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0" fontId="27" fillId="2" borderId="0" xfId="2" applyFont="1" applyFill="1" applyBorder="1" applyAlignment="1">
      <alignment horizontal="left"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5005</v>
          </cell>
          <cell r="B1385" t="str">
            <v>ja</v>
          </cell>
          <cell r="C1385" t="str">
            <v>カーミラ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green</v>
          </cell>
          <cell r="I1385">
            <v>5</v>
          </cell>
          <cell r="J1385" t="str">
            <v>PremiumSSw</v>
          </cell>
          <cell r="K1385" t="str">
            <v>balance</v>
          </cell>
          <cell r="L1385" t="str">
            <v>バランスタイプ</v>
          </cell>
          <cell r="M1385" t="str">
            <v>demon</v>
          </cell>
        </row>
        <row r="1386">
          <cell r="A1386">
            <v>5006</v>
          </cell>
          <cell r="B1386" t="str">
            <v>ja</v>
          </cell>
          <cell r="C1386" t="str">
            <v>カーミラ★６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green</v>
          </cell>
          <cell r="I1386">
            <v>6</v>
          </cell>
          <cell r="J1386" t="str">
            <v>PremiumSSw</v>
          </cell>
          <cell r="K1386" t="str">
            <v>balance</v>
          </cell>
          <cell r="L1386" t="str">
            <v>バランスタイプ</v>
          </cell>
          <cell r="M1386" t="str">
            <v>demon</v>
          </cell>
        </row>
        <row r="1387">
          <cell r="A1387">
            <v>5007</v>
          </cell>
          <cell r="B1387" t="str">
            <v>ja</v>
          </cell>
          <cell r="C1387" t="str">
            <v>ヘルシング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5</v>
          </cell>
          <cell r="J1387" t="str">
            <v>DropWizS</v>
          </cell>
          <cell r="K1387" t="str">
            <v>attack</v>
          </cell>
          <cell r="L1387" t="str">
            <v>攻撃タイプ</v>
          </cell>
          <cell r="M1387" t="str">
            <v>human</v>
          </cell>
        </row>
        <row r="1388">
          <cell r="A1388">
            <v>5008</v>
          </cell>
          <cell r="B1388" t="str">
            <v>ja</v>
          </cell>
          <cell r="C1388" t="str">
            <v>ヘルシング★６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yellow</v>
          </cell>
          <cell r="I1388">
            <v>6</v>
          </cell>
          <cell r="J1388" t="str">
            <v>DropWizS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6001</v>
          </cell>
          <cell r="B1389" t="str">
            <v>ja</v>
          </cell>
          <cell r="C1389" t="str">
            <v>ジェリー</v>
          </cell>
          <cell r="D1389" t="str">
            <v>ノーマルクエスト</v>
          </cell>
          <cell r="E1389" t="str">
            <v>QoH</v>
          </cell>
          <cell r="F1389" t="str">
            <v>世界観</v>
          </cell>
          <cell r="G1389" t="str">
            <v>不明</v>
          </cell>
          <cell r="H1389" t="str">
            <v>red</v>
          </cell>
          <cell r="I1389">
            <v>1</v>
          </cell>
          <cell r="J1389" t="str">
            <v>Drop1T</v>
          </cell>
          <cell r="K1389" t="str">
            <v>ra</v>
          </cell>
          <cell r="L1389" t="str">
            <v>ラグランジュチャレンジ</v>
          </cell>
          <cell r="M1389" t="str">
            <v>unknown</v>
          </cell>
        </row>
        <row r="1390">
          <cell r="A1390">
            <v>6002</v>
          </cell>
          <cell r="B1390" t="str">
            <v>ja</v>
          </cell>
          <cell r="C1390" t="str">
            <v>ヨシタカ</v>
          </cell>
          <cell r="D1390" t="str">
            <v>ノーマルクエスト</v>
          </cell>
          <cell r="E1390" t="str">
            <v>アバター</v>
          </cell>
          <cell r="F1390" t="str">
            <v>世界観</v>
          </cell>
          <cell r="G1390" t="str">
            <v>男性</v>
          </cell>
          <cell r="H1390" t="str">
            <v>red</v>
          </cell>
          <cell r="I1390">
            <v>2</v>
          </cell>
          <cell r="J1390" t="str">
            <v>Drop1N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6003</v>
          </cell>
          <cell r="B1391" t="str">
            <v>ja</v>
          </cell>
          <cell r="C1391" t="str">
            <v>朱雀</v>
          </cell>
          <cell r="D1391" t="str">
            <v>リンクガチャ:4神</v>
          </cell>
          <cell r="E1391" t="str">
            <v>守護神</v>
          </cell>
          <cell r="F1391" t="str">
            <v>格好いい</v>
          </cell>
          <cell r="G1391" t="str">
            <v>不明</v>
          </cell>
          <cell r="H1391" t="str">
            <v>red</v>
          </cell>
          <cell r="I1391">
            <v>3</v>
          </cell>
          <cell r="J1391" t="str">
            <v>Drop2N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6004</v>
          </cell>
          <cell r="B1392" t="str">
            <v>ja</v>
          </cell>
          <cell r="C1392" t="str">
            <v>ブレット</v>
          </cell>
          <cell r="D1392" t="str">
            <v>ノーマルクエスト</v>
          </cell>
          <cell r="E1392" t="str">
            <v>アバター</v>
          </cell>
          <cell r="F1392" t="str">
            <v>世界観</v>
          </cell>
          <cell r="G1392" t="str">
            <v>不明</v>
          </cell>
          <cell r="H1392" t="str">
            <v>red</v>
          </cell>
          <cell r="I1392">
            <v>1</v>
          </cell>
          <cell r="J1392" t="str">
            <v>Drop1W</v>
          </cell>
          <cell r="K1392" t="str">
            <v>ra</v>
          </cell>
          <cell r="L1392" t="str">
            <v>ラグランジュチャレンジ</v>
          </cell>
          <cell r="M1392" t="str">
            <v>animal</v>
          </cell>
        </row>
        <row r="1393">
          <cell r="A1393">
            <v>6005</v>
          </cell>
          <cell r="B1393" t="str">
            <v>ja</v>
          </cell>
          <cell r="C1393" t="str">
            <v>孤神 テティス</v>
          </cell>
          <cell r="D1393" t="str">
            <v>初期ガチャ</v>
          </cell>
          <cell r="E1393" t="str">
            <v>管理者</v>
          </cell>
          <cell r="F1393" t="str">
            <v>美しい</v>
          </cell>
          <cell r="G1393" t="str">
            <v>女性</v>
          </cell>
          <cell r="H1393" t="str">
            <v>blue</v>
          </cell>
          <cell r="I1393">
            <v>4</v>
          </cell>
          <cell r="J1393" t="str">
            <v>PremiumN</v>
          </cell>
          <cell r="K1393" t="str">
            <v>ra</v>
          </cell>
          <cell r="L1393" t="str">
            <v>ラグランジュチャレンジ</v>
          </cell>
          <cell r="M1393" t="str">
            <v>god</v>
          </cell>
        </row>
        <row r="1394">
          <cell r="A1394">
            <v>6006</v>
          </cell>
          <cell r="B1394" t="str">
            <v>ja</v>
          </cell>
          <cell r="C1394" t="str">
            <v>海底の孤高神 テティス</v>
          </cell>
          <cell r="D1394" t="str">
            <v>初期ガチャ</v>
          </cell>
          <cell r="E1394" t="str">
            <v>管理者</v>
          </cell>
          <cell r="F1394" t="str">
            <v>美しい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PremiumN</v>
          </cell>
          <cell r="K1394" t="str">
            <v>ra</v>
          </cell>
          <cell r="L1394" t="str">
            <v>ラグランジュチャレンジ</v>
          </cell>
          <cell r="M1394" t="str">
            <v>god</v>
          </cell>
        </row>
        <row r="1395">
          <cell r="A1395">
            <v>6007</v>
          </cell>
          <cell r="B1395" t="str">
            <v>ja</v>
          </cell>
          <cell r="C1395" t="str">
            <v>番犬 ケルベロス</v>
          </cell>
          <cell r="D1395" t="str">
            <v>初期ガチャ</v>
          </cell>
          <cell r="E1395" t="str">
            <v>破界者</v>
          </cell>
          <cell r="F1395" t="str">
            <v>可愛い</v>
          </cell>
          <cell r="G1395" t="str">
            <v>女性</v>
          </cell>
          <cell r="H1395" t="str">
            <v>red</v>
          </cell>
          <cell r="I1395">
            <v>4</v>
          </cell>
          <cell r="J1395" t="str">
            <v>PremiumN</v>
          </cell>
          <cell r="K1395" t="str">
            <v>ra</v>
          </cell>
          <cell r="L1395" t="str">
            <v>ラグランジュチャレンジ</v>
          </cell>
          <cell r="M1395" t="str">
            <v>animal</v>
          </cell>
        </row>
        <row r="1396">
          <cell r="A1396">
            <v>6008</v>
          </cell>
          <cell r="B1396" t="str">
            <v>ja</v>
          </cell>
          <cell r="C1396" t="str">
            <v>焔神 プロメテウス</v>
          </cell>
          <cell r="D1396" t="str">
            <v>初期ガチャ</v>
          </cell>
          <cell r="E1396" t="str">
            <v>管理者</v>
          </cell>
          <cell r="F1396" t="str">
            <v>格好いい</v>
          </cell>
          <cell r="G1396" t="str">
            <v>男性</v>
          </cell>
          <cell r="H1396" t="str">
            <v>red</v>
          </cell>
          <cell r="I1396">
            <v>4</v>
          </cell>
          <cell r="J1396" t="str">
            <v>PremiumN</v>
          </cell>
          <cell r="K1396" t="str">
            <v>ra</v>
          </cell>
          <cell r="L1396" t="str">
            <v>ラグランジュチャレンジ</v>
          </cell>
          <cell r="M1396" t="str">
            <v>god</v>
          </cell>
        </row>
        <row r="1397">
          <cell r="A1397">
            <v>6009</v>
          </cell>
          <cell r="B1397" t="str">
            <v>ja</v>
          </cell>
          <cell r="C1397" t="str">
            <v>超越自我 ラグランジュ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5</v>
          </cell>
          <cell r="J1397" t="str">
            <v>PremiumSSS</v>
          </cell>
          <cell r="K1397" t="str">
            <v>ra</v>
          </cell>
          <cell r="L1397" t="str">
            <v>ラグランジュチャレンジ</v>
          </cell>
          <cell r="M1397" t="str">
            <v>human</v>
          </cell>
        </row>
        <row r="1398">
          <cell r="A1398">
            <v>6010</v>
          </cell>
          <cell r="B1398" t="str">
            <v>ja</v>
          </cell>
          <cell r="C1398" t="str">
            <v>超越凌駕 ラグランジュ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女性</v>
          </cell>
          <cell r="H1398" t="str">
            <v>red</v>
          </cell>
          <cell r="I1398">
            <v>6</v>
          </cell>
          <cell r="J1398" t="str">
            <v>PremiumSSS</v>
          </cell>
          <cell r="K1398" t="str">
            <v>ra</v>
          </cell>
          <cell r="L1398" t="str">
            <v>ラグランジュチャレンジ</v>
          </cell>
          <cell r="M1398" t="str">
            <v>human</v>
          </cell>
        </row>
        <row r="1399">
          <cell r="A1399">
            <v>6011</v>
          </cell>
          <cell r="B1399" t="str">
            <v>ja</v>
          </cell>
          <cell r="C1399" t="str">
            <v>パトドッグリーダー ポチ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2</v>
          </cell>
          <cell r="J1399" t="str">
            <v>Drop1T</v>
          </cell>
          <cell r="K1399" t="str">
            <v>ra002</v>
          </cell>
          <cell r="L1399" t="str">
            <v>ユークリッドチャレンジ</v>
          </cell>
          <cell r="M1399" t="str">
            <v>unknown</v>
          </cell>
        </row>
        <row r="1400">
          <cell r="A1400">
            <v>6012</v>
          </cell>
          <cell r="B1400" t="str">
            <v>ja</v>
          </cell>
          <cell r="C1400" t="str">
            <v>ミミ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yellow</v>
          </cell>
          <cell r="I1400">
            <v>1</v>
          </cell>
          <cell r="J1400" t="str">
            <v>Drop1W</v>
          </cell>
          <cell r="K1400" t="str">
            <v>ra002</v>
          </cell>
          <cell r="L1400" t="str">
            <v>ユークリッドチャレンジ</v>
          </cell>
          <cell r="M1400" t="str">
            <v>animal</v>
          </cell>
        </row>
        <row r="1401">
          <cell r="A1401">
            <v>6013</v>
          </cell>
          <cell r="B1401" t="str">
            <v>ja</v>
          </cell>
          <cell r="C1401" t="str">
            <v>護衛機人 スケアクロウ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2</v>
          </cell>
          <cell r="J1401" t="str">
            <v>Drop1N</v>
          </cell>
          <cell r="K1401" t="str">
            <v>ra002</v>
          </cell>
          <cell r="L1401" t="str">
            <v>ユークリッドチャレンジ</v>
          </cell>
          <cell r="M1401" t="str">
            <v>machine</v>
          </cell>
        </row>
        <row r="1402">
          <cell r="A1402">
            <v>6014</v>
          </cell>
          <cell r="B1402" t="str">
            <v>ja</v>
          </cell>
          <cell r="C1402" t="str">
            <v>月下の人狼 ローレンス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blue</v>
          </cell>
          <cell r="I1402">
            <v>4</v>
          </cell>
          <cell r="J1402" t="str">
            <v>PremiumW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6015</v>
          </cell>
          <cell r="B1403" t="str">
            <v>ja</v>
          </cell>
          <cell r="C1403" t="str">
            <v>フレイヤ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blue</v>
          </cell>
          <cell r="I1403">
            <v>4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6016</v>
          </cell>
          <cell r="B1404" t="str">
            <v>ja</v>
          </cell>
          <cell r="C1404" t="str">
            <v>根原論理 ユークリッド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5</v>
          </cell>
          <cell r="J1404" t="str">
            <v>PremiumSSS</v>
          </cell>
          <cell r="K1404" t="str">
            <v>ra002</v>
          </cell>
          <cell r="L1404" t="str">
            <v>ユークリッドチャレンジ</v>
          </cell>
          <cell r="M1404" t="str">
            <v>human</v>
          </cell>
        </row>
        <row r="1405">
          <cell r="A1405">
            <v>6017</v>
          </cell>
          <cell r="B1405" t="str">
            <v>ja</v>
          </cell>
          <cell r="C1405" t="str">
            <v>不朽の極論 ユークリッド</v>
          </cell>
          <cell r="D1405" t="str">
            <v>ガチャ:フィーバーフェス02</v>
          </cell>
          <cell r="E1405" t="str">
            <v>執行者</v>
          </cell>
          <cell r="F1405" t="str">
            <v>格好いい</v>
          </cell>
          <cell r="G1405" t="str">
            <v>男性</v>
          </cell>
          <cell r="H1405" t="str">
            <v>blue</v>
          </cell>
          <cell r="I1405">
            <v>6</v>
          </cell>
          <cell r="J1405" t="str">
            <v>PremiumSSS</v>
          </cell>
          <cell r="K1405" t="str">
            <v>ra002</v>
          </cell>
          <cell r="L1405" t="str">
            <v>ユークリッドチャレンジ</v>
          </cell>
          <cell r="M1405" t="str">
            <v>human</v>
          </cell>
        </row>
        <row r="1406">
          <cell r="A1406">
            <v>6018</v>
          </cell>
          <cell r="B1406" t="str">
            <v>ja</v>
          </cell>
          <cell r="C1406" t="str">
            <v>ハヅル</v>
          </cell>
          <cell r="D1406" t="str">
            <v>ガチャ:フィーバーフェス02</v>
          </cell>
          <cell r="E1406" t="str">
            <v>執行者</v>
          </cell>
          <cell r="F1406" t="str">
            <v>格好いい</v>
          </cell>
          <cell r="G1406" t="str">
            <v>男性</v>
          </cell>
          <cell r="H1406" t="str">
            <v>red</v>
          </cell>
          <cell r="I1406">
            <v>4</v>
          </cell>
          <cell r="J1406" t="str">
            <v>PremiumSS</v>
          </cell>
          <cell r="K1406" t="str">
            <v>ra002</v>
          </cell>
          <cell r="L1406" t="str">
            <v>ユークリッドチャレンジ</v>
          </cell>
          <cell r="M1406" t="str">
            <v>animal</v>
          </cell>
        </row>
        <row r="1407">
          <cell r="A1407">
            <v>6019</v>
          </cell>
          <cell r="B1407" t="str">
            <v>ja</v>
          </cell>
          <cell r="C1407" t="str">
            <v>天織羽鶴 ハヅル</v>
          </cell>
          <cell r="D1407" t="str">
            <v>ガチャ:フィーバーフェス02</v>
          </cell>
          <cell r="E1407" t="str">
            <v>執行者</v>
          </cell>
          <cell r="F1407" t="str">
            <v>格好いい</v>
          </cell>
          <cell r="G1407" t="str">
            <v>男性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ra002</v>
          </cell>
          <cell r="L1407" t="str">
            <v>ユークリッドチャレンジ</v>
          </cell>
          <cell r="M1407" t="str">
            <v>animal</v>
          </cell>
        </row>
        <row r="1408">
          <cell r="A1408">
            <v>6020</v>
          </cell>
          <cell r="B1408" t="str">
            <v>ja</v>
          </cell>
          <cell r="C1408" t="str">
            <v>ミズチ</v>
          </cell>
          <cell r="D1408" t="str">
            <v>ガチャ:フィーバーフェス02</v>
          </cell>
          <cell r="E1408" t="str">
            <v>執行者</v>
          </cell>
          <cell r="F1408" t="str">
            <v>格好いい</v>
          </cell>
          <cell r="G1408" t="str">
            <v>男性</v>
          </cell>
          <cell r="H1408" t="str">
            <v>blue</v>
          </cell>
          <cell r="I1408">
            <v>4</v>
          </cell>
          <cell r="J1408" t="str">
            <v>PremiumS</v>
          </cell>
          <cell r="K1408" t="str">
            <v>ra002</v>
          </cell>
          <cell r="L1408" t="str">
            <v>ユークリッドチャレンジ</v>
          </cell>
          <cell r="M1408" t="str">
            <v>dragon</v>
          </cell>
        </row>
        <row r="1409">
          <cell r="A1409">
            <v>8001</v>
          </cell>
          <cell r="B1409" t="str">
            <v>ja</v>
          </cell>
          <cell r="C1409" t="str">
            <v>媽祖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8002</v>
          </cell>
          <cell r="B1410" t="str">
            <v>ja</v>
          </cell>
          <cell r="C1410" t="str">
            <v>宣導する天海妃 媽祖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8003</v>
          </cell>
          <cell r="B1411" t="str">
            <v>ja</v>
          </cell>
          <cell r="C1411" t="str">
            <v>蛟龍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hp</v>
          </cell>
          <cell r="L1411" t="str">
            <v>体力タイプ</v>
          </cell>
          <cell r="M1411" t="str">
            <v>dragon</v>
          </cell>
        </row>
        <row r="1412">
          <cell r="A1412">
            <v>8004</v>
          </cell>
          <cell r="B1412" t="str">
            <v>ja</v>
          </cell>
          <cell r="C1412" t="str">
            <v>呼嵐の蒼棲龍 蛟龍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hp</v>
          </cell>
          <cell r="L1412" t="str">
            <v>体力タイプ</v>
          </cell>
          <cell r="M1412" t="str">
            <v>dragon</v>
          </cell>
        </row>
        <row r="1413">
          <cell r="A1413">
            <v>8005</v>
          </cell>
          <cell r="B1413" t="str">
            <v>ja</v>
          </cell>
          <cell r="C1413" t="str">
            <v>三蔵法師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blue</v>
          </cell>
          <cell r="I1413">
            <v>5</v>
          </cell>
          <cell r="J1413" t="str">
            <v>PremiumSS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8006</v>
          </cell>
          <cell r="B1414" t="str">
            <v>ja</v>
          </cell>
          <cell r="C1414" t="str">
            <v>慈戒の呪封使 三蔵法師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blue</v>
          </cell>
          <cell r="I1414">
            <v>6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8007</v>
          </cell>
          <cell r="B1415" t="str">
            <v>ja</v>
          </cell>
          <cell r="C1415" t="str">
            <v>孫悟空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不明</v>
          </cell>
          <cell r="H1415" t="str">
            <v>red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8008</v>
          </cell>
          <cell r="B1416" t="str">
            <v>ja</v>
          </cell>
          <cell r="C1416" t="str">
            <v>花果の天猿仙人 孫悟空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不明</v>
          </cell>
          <cell r="H1416" t="str">
            <v>red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8009</v>
          </cell>
          <cell r="B1417" t="str">
            <v>ja</v>
          </cell>
          <cell r="C1417" t="str">
            <v>西王娘娘</v>
          </cell>
          <cell r="D1417" t="str">
            <v>イベント:ミクコラボ01</v>
          </cell>
          <cell r="E1417" t="str">
            <v>執行者</v>
          </cell>
          <cell r="F1417" t="str">
            <v>格好いい</v>
          </cell>
          <cell r="G1417" t="str">
            <v>不明</v>
          </cell>
          <cell r="H1417" t="str">
            <v>green</v>
          </cell>
          <cell r="I1417">
            <v>5</v>
          </cell>
          <cell r="J1417" t="str">
            <v>PremiumSS</v>
          </cell>
          <cell r="K1417" t="str">
            <v>attack</v>
          </cell>
          <cell r="L1417" t="str">
            <v>攻撃タイプ</v>
          </cell>
          <cell r="M1417" t="str">
            <v>god</v>
          </cell>
        </row>
        <row r="1418">
          <cell r="A1418">
            <v>8010</v>
          </cell>
          <cell r="B1418" t="str">
            <v>ja</v>
          </cell>
          <cell r="C1418" t="str">
            <v>極楽瑶池の聖母 西王娘娘</v>
          </cell>
          <cell r="D1418" t="str">
            <v>イベント:ミクコラボ01</v>
          </cell>
          <cell r="E1418" t="str">
            <v>執行者</v>
          </cell>
          <cell r="F1418" t="str">
            <v>格好いい</v>
          </cell>
          <cell r="G1418" t="str">
            <v>不明</v>
          </cell>
          <cell r="H1418" t="str">
            <v>green</v>
          </cell>
          <cell r="I1418">
            <v>6</v>
          </cell>
          <cell r="J1418" t="str">
            <v>PremiumSS</v>
          </cell>
          <cell r="K1418" t="str">
            <v>attack</v>
          </cell>
          <cell r="L1418" t="str">
            <v>攻撃タイプ</v>
          </cell>
          <cell r="M1418" t="str">
            <v>god</v>
          </cell>
        </row>
        <row r="1419">
          <cell r="A1419">
            <v>8011</v>
          </cell>
          <cell r="B1419" t="str">
            <v>ja</v>
          </cell>
          <cell r="C1419" t="str">
            <v>月下老人</v>
          </cell>
          <cell r="D1419" t="str">
            <v>イベント:ミクコラボ01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yellow</v>
          </cell>
          <cell r="I1419">
            <v>5</v>
          </cell>
          <cell r="J1419" t="str">
            <v>DropWizS</v>
          </cell>
          <cell r="K1419" t="str">
            <v>balance</v>
          </cell>
          <cell r="L1419" t="str">
            <v>バランスタイプ</v>
          </cell>
          <cell r="M1419" t="str">
            <v>god</v>
          </cell>
        </row>
        <row r="1420">
          <cell r="A1420">
            <v>8012</v>
          </cell>
          <cell r="B1420" t="str">
            <v>ja</v>
          </cell>
          <cell r="C1420" t="str">
            <v>破戀斬る縁剣 月下老人</v>
          </cell>
          <cell r="D1420" t="str">
            <v>イベント:ミクコラボ01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yellow</v>
          </cell>
          <cell r="I1420">
            <v>6</v>
          </cell>
          <cell r="J1420" t="str">
            <v>DropWizS</v>
          </cell>
          <cell r="K1420" t="str">
            <v>balance</v>
          </cell>
          <cell r="L1420" t="str">
            <v>バランスタイプ</v>
          </cell>
          <cell r="M1420" t="str">
            <v>god</v>
          </cell>
        </row>
        <row r="1421">
          <cell r="A1421">
            <v>8013</v>
          </cell>
          <cell r="B1421" t="str">
            <v>ja</v>
          </cell>
          <cell r="C1421" t="str">
            <v>初音ミクV3</v>
          </cell>
          <cell r="D1421" t="str">
            <v>初音ミクV3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DropWizS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8014</v>
          </cell>
          <cell r="B1422" t="str">
            <v>ja</v>
          </cell>
          <cell r="C1422" t="str">
            <v>初音ミクV3</v>
          </cell>
          <cell r="D1422" t="str">
            <v>初音ミクV3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8015</v>
          </cell>
          <cell r="B1423" t="str">
            <v>ja</v>
          </cell>
          <cell r="C1423" t="str">
            <v>初音ミク・アペンド</v>
          </cell>
          <cell r="D1423" t="str">
            <v>初音ミク・アペンド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green</v>
          </cell>
          <cell r="I1423">
            <v>4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8016</v>
          </cell>
          <cell r="B1424" t="str">
            <v>ja</v>
          </cell>
          <cell r="C1424" t="str">
            <v>初音ミク・アペンド</v>
          </cell>
          <cell r="D1424" t="str">
            <v>初音ミク・アペンド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8017</v>
          </cell>
          <cell r="B1425" t="str">
            <v>ja</v>
          </cell>
          <cell r="C1425" t="str">
            <v>初音ミク</v>
          </cell>
          <cell r="D1425" t="str">
            <v>初音ミク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4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8018</v>
          </cell>
          <cell r="B1426" t="str">
            <v>ja</v>
          </cell>
          <cell r="C1426" t="str">
            <v>初音ミク</v>
          </cell>
          <cell r="D1426" t="str">
            <v>初音ミク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8019</v>
          </cell>
          <cell r="B1427" t="str">
            <v>ja</v>
          </cell>
          <cell r="C1427" t="str">
            <v>鏡音リン</v>
          </cell>
          <cell r="D1427" t="str">
            <v>鏡音リン</v>
          </cell>
          <cell r="E1427" t="str">
            <v>執行者</v>
          </cell>
          <cell r="F1427" t="str">
            <v>格好いい</v>
          </cell>
          <cell r="G1427" t="str">
            <v>男性</v>
          </cell>
          <cell r="H1427" t="str">
            <v>yellow</v>
          </cell>
          <cell r="I1427">
            <v>4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unknown</v>
          </cell>
        </row>
        <row r="1428">
          <cell r="A1428">
            <v>8020</v>
          </cell>
          <cell r="B1428" t="str">
            <v>ja</v>
          </cell>
          <cell r="C1428" t="str">
            <v>鏡音リン</v>
          </cell>
          <cell r="D1428" t="str">
            <v>鏡音リン</v>
          </cell>
          <cell r="E1428" t="str">
            <v>執行者</v>
          </cell>
          <cell r="F1428" t="str">
            <v>格好いい</v>
          </cell>
          <cell r="G1428" t="str">
            <v>男性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balance</v>
          </cell>
          <cell r="L1428" t="str">
            <v>バランスタイプ</v>
          </cell>
          <cell r="M1428" t="str">
            <v>unknown</v>
          </cell>
        </row>
        <row r="1429">
          <cell r="A1429">
            <v>8021</v>
          </cell>
          <cell r="B1429" t="str">
            <v>ja</v>
          </cell>
          <cell r="C1429" t="str">
            <v>鏡音レン</v>
          </cell>
          <cell r="D1429" t="str">
            <v>鏡音レン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yellow</v>
          </cell>
          <cell r="I1429">
            <v>4</v>
          </cell>
          <cell r="J1429" t="str">
            <v>PremiumSS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8022</v>
          </cell>
          <cell r="B1430" t="str">
            <v>ja</v>
          </cell>
          <cell r="C1430" t="str">
            <v>鏡音レン</v>
          </cell>
          <cell r="D1430" t="str">
            <v>鏡音レン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8023</v>
          </cell>
          <cell r="B1431" t="str">
            <v>ja</v>
          </cell>
          <cell r="C1431" t="str">
            <v>巡音ルカ</v>
          </cell>
          <cell r="D1431" t="str">
            <v>巡音ルカ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3</v>
          </cell>
          <cell r="J1431" t="str">
            <v>PremiumS</v>
          </cell>
          <cell r="K1431" t="str">
            <v>attack</v>
          </cell>
          <cell r="L1431" t="str">
            <v>攻撃タイプ</v>
          </cell>
          <cell r="M1431" t="str">
            <v>unknown</v>
          </cell>
        </row>
        <row r="1432">
          <cell r="A1432">
            <v>8024</v>
          </cell>
          <cell r="B1432" t="str">
            <v>ja</v>
          </cell>
          <cell r="C1432" t="str">
            <v>巡音ルカ</v>
          </cell>
          <cell r="D1432" t="str">
            <v>巡音ルカ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4</v>
          </cell>
          <cell r="J1432" t="str">
            <v>PremiumS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8025</v>
          </cell>
          <cell r="B1433" t="str">
            <v>ja</v>
          </cell>
          <cell r="C1433" t="str">
            <v>MEIKO</v>
          </cell>
          <cell r="D1433" t="str">
            <v>MEIKO</v>
          </cell>
          <cell r="E1433" t="str">
            <v>執行者</v>
          </cell>
          <cell r="F1433" t="str">
            <v>格好いい</v>
          </cell>
          <cell r="G1433" t="str">
            <v>男性</v>
          </cell>
          <cell r="H1433" t="str">
            <v>red</v>
          </cell>
          <cell r="I1433">
            <v>3</v>
          </cell>
          <cell r="J1433" t="str">
            <v>PremiumS</v>
          </cell>
          <cell r="K1433" t="str">
            <v>hp</v>
          </cell>
          <cell r="L1433" t="str">
            <v>体力タイプ</v>
          </cell>
          <cell r="M1433" t="str">
            <v>unknown</v>
          </cell>
        </row>
        <row r="1434">
          <cell r="A1434">
            <v>8026</v>
          </cell>
          <cell r="B1434" t="str">
            <v>ja</v>
          </cell>
          <cell r="C1434" t="str">
            <v>MEIKO</v>
          </cell>
          <cell r="D1434" t="str">
            <v>MEIKO</v>
          </cell>
          <cell r="E1434" t="str">
            <v>執行者</v>
          </cell>
          <cell r="F1434" t="str">
            <v>格好いい</v>
          </cell>
          <cell r="G1434" t="str">
            <v>男性</v>
          </cell>
          <cell r="H1434" t="str">
            <v>red</v>
          </cell>
          <cell r="I1434">
            <v>4</v>
          </cell>
          <cell r="J1434" t="str">
            <v>PremiumS</v>
          </cell>
          <cell r="K1434" t="str">
            <v>hp</v>
          </cell>
          <cell r="L1434" t="str">
            <v>体力タイプ</v>
          </cell>
          <cell r="M1434" t="str">
            <v>unknown</v>
          </cell>
        </row>
        <row r="1435">
          <cell r="A1435">
            <v>8027</v>
          </cell>
          <cell r="B1435" t="str">
            <v>ja</v>
          </cell>
          <cell r="C1435" t="str">
            <v>KAITO</v>
          </cell>
          <cell r="D1435" t="str">
            <v>KAITO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3</v>
          </cell>
          <cell r="J1435" t="str">
            <v>PremiumS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</row>
        <row r="1436">
          <cell r="A1436">
            <v>8028</v>
          </cell>
          <cell r="B1436" t="str">
            <v>ja</v>
          </cell>
          <cell r="C1436" t="str">
            <v>KAITO</v>
          </cell>
          <cell r="D1436" t="str">
            <v>KAITO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4</v>
          </cell>
          <cell r="J1436" t="str">
            <v>PremiumS</v>
          </cell>
          <cell r="K1436" t="str">
            <v>technical</v>
          </cell>
          <cell r="L1436" t="str">
            <v>テクニカルタイプ</v>
          </cell>
          <cell r="M1436" t="str">
            <v>unknown</v>
          </cell>
        </row>
        <row r="1437">
          <cell r="A1437">
            <v>8029</v>
          </cell>
          <cell r="B1437" t="str">
            <v>ja</v>
          </cell>
          <cell r="C1437" t="str">
            <v>Expoミク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4</v>
          </cell>
          <cell r="J1437" t="str">
            <v>Drop2N</v>
          </cell>
          <cell r="K1437" t="str">
            <v>heal</v>
          </cell>
          <cell r="L1437" t="str">
            <v>回復タイプ</v>
          </cell>
          <cell r="M1437" t="str">
            <v>unknown</v>
          </cell>
        </row>
        <row r="1438">
          <cell r="A1438">
            <v>8030</v>
          </cell>
          <cell r="B1438" t="str">
            <v>ja</v>
          </cell>
          <cell r="C1438" t="str">
            <v>Expoミク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blue</v>
          </cell>
          <cell r="I1438">
            <v>5</v>
          </cell>
          <cell r="J1438" t="str">
            <v>Drop2N</v>
          </cell>
          <cell r="K1438" t="str">
            <v>heal</v>
          </cell>
          <cell r="L1438" t="str">
            <v>回復タイプ</v>
          </cell>
          <cell r="M1438" t="str">
            <v>unknown</v>
          </cell>
        </row>
        <row r="1439">
          <cell r="A1439">
            <v>8031</v>
          </cell>
          <cell r="B1439" t="str">
            <v>ja</v>
          </cell>
          <cell r="C1439" t="str">
            <v>閻羅王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PremiumSS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</row>
        <row r="1440">
          <cell r="A1440">
            <v>8032</v>
          </cell>
          <cell r="B1440" t="str">
            <v>ja</v>
          </cell>
          <cell r="C1440" t="str">
            <v>六道輪廻の絶獄 閻羅王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6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</row>
        <row r="1441">
          <cell r="A1441">
            <v>8033</v>
          </cell>
          <cell r="B1441" t="str">
            <v>ja</v>
          </cell>
          <cell r="C1441" t="str">
            <v>牛頭馬面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green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god</v>
          </cell>
        </row>
        <row r="1442">
          <cell r="A1442">
            <v>8034</v>
          </cell>
          <cell r="B1442" t="str">
            <v>ja</v>
          </cell>
          <cell r="C1442" t="str">
            <v>冥府狩る魂使 牛頭馬面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green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8035</v>
          </cell>
          <cell r="B1443" t="str">
            <v>ja</v>
          </cell>
          <cell r="C1443" t="str">
            <v>飛衛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blue</v>
          </cell>
          <cell r="I1443">
            <v>5</v>
          </cell>
          <cell r="J1443" t="str">
            <v>PremiumSS</v>
          </cell>
          <cell r="K1443" t="str">
            <v>heal</v>
          </cell>
          <cell r="L1443" t="str">
            <v>回復タイプ</v>
          </cell>
          <cell r="M1443" t="str">
            <v>human</v>
          </cell>
        </row>
        <row r="1444">
          <cell r="A1444">
            <v>8036</v>
          </cell>
          <cell r="B1444" t="str">
            <v>ja</v>
          </cell>
          <cell r="C1444" t="str">
            <v>レア６飛衛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blue</v>
          </cell>
          <cell r="I1444">
            <v>6</v>
          </cell>
          <cell r="J1444" t="str">
            <v>PremiumSS</v>
          </cell>
          <cell r="K1444" t="str">
            <v>heal</v>
          </cell>
          <cell r="L1444" t="str">
            <v>回復タイプ</v>
          </cell>
          <cell r="M1444" t="str">
            <v>human</v>
          </cell>
        </row>
        <row r="1445">
          <cell r="A1445">
            <v>8037</v>
          </cell>
          <cell r="B1445" t="str">
            <v>ja</v>
          </cell>
          <cell r="C1445" t="str">
            <v>紀昌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DropWizS</v>
          </cell>
          <cell r="K1445" t="str">
            <v>attack</v>
          </cell>
          <cell r="L1445" t="str">
            <v>攻撃タイプ</v>
          </cell>
          <cell r="M1445" t="str">
            <v>human</v>
          </cell>
        </row>
        <row r="1446">
          <cell r="A1446">
            <v>8038</v>
          </cell>
          <cell r="B1446" t="str">
            <v>ja</v>
          </cell>
          <cell r="C1446" t="str">
            <v>レア６紀昌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6</v>
          </cell>
          <cell r="J1446" t="str">
            <v>DropWizS</v>
          </cell>
          <cell r="K1446" t="str">
            <v>attack</v>
          </cell>
          <cell r="L1446" t="str">
            <v>攻撃タイプ</v>
          </cell>
          <cell r="M1446" t="str">
            <v>human</v>
          </cell>
        </row>
        <row r="1447">
          <cell r="A1447">
            <v>8039</v>
          </cell>
          <cell r="B1447" t="str">
            <v>ja</v>
          </cell>
          <cell r="C1447" t="str">
            <v>何仙姑</v>
          </cell>
          <cell r="D1447" t="str">
            <v>Expoミク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yellow</v>
          </cell>
          <cell r="I1447">
            <v>5</v>
          </cell>
          <cell r="J1447" t="str">
            <v>PremiumSSw</v>
          </cell>
          <cell r="K1447" t="str">
            <v>hp</v>
          </cell>
          <cell r="L1447" t="str">
            <v>体力タイプ</v>
          </cell>
          <cell r="M1447" t="str">
            <v>god</v>
          </cell>
        </row>
        <row r="1448">
          <cell r="A1448">
            <v>8040</v>
          </cell>
          <cell r="B1448" t="str">
            <v>ja</v>
          </cell>
          <cell r="C1448" t="str">
            <v>レア６何仙姑</v>
          </cell>
          <cell r="D1448" t="str">
            <v>Expoミク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yellow</v>
          </cell>
          <cell r="I1448">
            <v>6</v>
          </cell>
          <cell r="J1448" t="str">
            <v>PremiumSSw</v>
          </cell>
          <cell r="K1448" t="str">
            <v>hp</v>
          </cell>
          <cell r="L1448" t="str">
            <v>体力タイプ</v>
          </cell>
          <cell r="M1448" t="str">
            <v>god</v>
          </cell>
        </row>
        <row r="1449">
          <cell r="A1449">
            <v>8041</v>
          </cell>
          <cell r="B1449" t="str">
            <v>ja</v>
          </cell>
          <cell r="C1449" t="str">
            <v>藍采和</v>
          </cell>
          <cell r="D1449" t="str">
            <v>Expoミク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balance</v>
          </cell>
          <cell r="L1449" t="str">
            <v>バランスタイプ</v>
          </cell>
          <cell r="M1449" t="str">
            <v>god</v>
          </cell>
        </row>
        <row r="1450">
          <cell r="A1450">
            <v>8042</v>
          </cell>
          <cell r="B1450" t="str">
            <v>ja</v>
          </cell>
          <cell r="C1450" t="str">
            <v>レア６藍采和</v>
          </cell>
          <cell r="D1450" t="str">
            <v>Expoミク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balance</v>
          </cell>
          <cell r="L1450" t="str">
            <v>バランスタイプ</v>
          </cell>
          <cell r="M1450" t="str">
            <v>god</v>
          </cell>
        </row>
        <row r="1451">
          <cell r="A1451">
            <v>8043</v>
          </cell>
          <cell r="B1451" t="str">
            <v>ja</v>
          </cell>
          <cell r="C1451" t="str">
            <v>サンリオキャラ大集合+アザゼル</v>
          </cell>
          <cell r="D1451" t="str">
            <v>サンリオキャラ大集合+アザゼル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8044</v>
          </cell>
          <cell r="B1452" t="str">
            <v>ja</v>
          </cell>
          <cell r="C1452" t="str">
            <v>サンリオキャラ大集合+アザゼル</v>
          </cell>
          <cell r="D1452" t="str">
            <v>サンリオキャラ大集合+アザゼル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ss</v>
          </cell>
        </row>
        <row r="1453">
          <cell r="A1453">
            <v>8045</v>
          </cell>
          <cell r="B1453" t="str">
            <v>ja</v>
          </cell>
          <cell r="C1453" t="str">
            <v>ニムダ_サンリオキャラ混じり</v>
          </cell>
          <cell r="D1453" t="str">
            <v>ニムダ_サンリオキャラ混じり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yellow</v>
          </cell>
          <cell r="I1453">
            <v>4</v>
          </cell>
          <cell r="J1453" t="str">
            <v>Drop2N</v>
          </cell>
          <cell r="K1453" t="str">
            <v>technical</v>
          </cell>
          <cell r="L1453" t="str">
            <v>テクニカルタイプ</v>
          </cell>
          <cell r="M1453" t="str">
            <v>ss</v>
          </cell>
        </row>
        <row r="1454">
          <cell r="A1454">
            <v>8046</v>
          </cell>
          <cell r="B1454" t="str">
            <v>ja</v>
          </cell>
          <cell r="C1454" t="str">
            <v>ニムダ_サンリオキャラ混じり</v>
          </cell>
          <cell r="D1454" t="str">
            <v>ニムダ_サンリオキャラ混じり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yellow</v>
          </cell>
          <cell r="I1454">
            <v>5</v>
          </cell>
          <cell r="J1454" t="str">
            <v>Drop2N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8047</v>
          </cell>
          <cell r="B1455" t="str">
            <v>ja</v>
          </cell>
          <cell r="C1455" t="str">
            <v>ハローキティ</v>
          </cell>
          <cell r="D1455" t="str">
            <v>ハローキティ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Drop2N</v>
          </cell>
          <cell r="K1455" t="str">
            <v>balance</v>
          </cell>
          <cell r="L1455" t="str">
            <v>バランスタイプ</v>
          </cell>
          <cell r="M1455" t="str">
            <v>ss</v>
          </cell>
        </row>
        <row r="1456">
          <cell r="A1456">
            <v>8048</v>
          </cell>
          <cell r="B1456" t="str">
            <v>ja</v>
          </cell>
          <cell r="C1456" t="str">
            <v>ハローキティ</v>
          </cell>
          <cell r="D1456" t="str">
            <v>ハローキティ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Drop2N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8049</v>
          </cell>
          <cell r="B1457" t="str">
            <v>ja</v>
          </cell>
          <cell r="C1457" t="str">
            <v>KIRIMIちゃん</v>
          </cell>
          <cell r="D1457" t="str">
            <v>KIRIMIちゃん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4</v>
          </cell>
          <cell r="J1457" t="str">
            <v>Drop2N</v>
          </cell>
          <cell r="K1457" t="str">
            <v>hp</v>
          </cell>
          <cell r="L1457" t="str">
            <v>体力タイプ</v>
          </cell>
          <cell r="M1457" t="str">
            <v>ss</v>
          </cell>
        </row>
        <row r="1458">
          <cell r="A1458">
            <v>8050</v>
          </cell>
          <cell r="B1458" t="str">
            <v>ja</v>
          </cell>
          <cell r="C1458" t="str">
            <v>KIRIMIちゃん</v>
          </cell>
          <cell r="D1458" t="str">
            <v>KIRIMIちゃん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Drop2N</v>
          </cell>
          <cell r="K1458" t="str">
            <v>hp</v>
          </cell>
          <cell r="L1458" t="str">
            <v>体力タイプ</v>
          </cell>
          <cell r="M1458" t="str">
            <v>ss</v>
          </cell>
        </row>
        <row r="1459">
          <cell r="A1459">
            <v>8051</v>
          </cell>
          <cell r="B1459" t="str">
            <v>ja</v>
          </cell>
          <cell r="C1459" t="str">
            <v>ハローキティのリボン</v>
          </cell>
          <cell r="D1459" t="str">
            <v>ハローキティのリボン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5</v>
          </cell>
          <cell r="J1459" t="str">
            <v>Drop2N</v>
          </cell>
          <cell r="K1459" t="str">
            <v>evolution</v>
          </cell>
          <cell r="L1459" t="str">
            <v>覚醒素材タイプ</v>
          </cell>
          <cell r="M1459" t="str">
            <v>ss</v>
          </cell>
        </row>
        <row r="1460">
          <cell r="A1460">
            <v>8052</v>
          </cell>
          <cell r="B1460" t="str">
            <v>ja</v>
          </cell>
          <cell r="C1460" t="str">
            <v>ママの作ったアップルパイ</v>
          </cell>
          <cell r="D1460" t="str">
            <v>ママの作ったアップルパイ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4</v>
          </cell>
          <cell r="J1460" t="str">
            <v>Drop2N</v>
          </cell>
          <cell r="K1460" t="str">
            <v>evolution</v>
          </cell>
          <cell r="L1460" t="str">
            <v>覚醒素材タイプ</v>
          </cell>
          <cell r="M1460" t="str">
            <v>ss</v>
          </cell>
        </row>
        <row r="1461">
          <cell r="A1461">
            <v>8053</v>
          </cell>
          <cell r="B1461" t="str">
            <v>ja</v>
          </cell>
          <cell r="C1461" t="str">
            <v>D.R.T.H__キティコスプレ</v>
          </cell>
          <cell r="D1461" t="str">
            <v>D.R.T.H__キティコスプレ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8054</v>
          </cell>
          <cell r="B1462" t="str">
            <v>ja</v>
          </cell>
          <cell r="C1462" t="str">
            <v>D.R.T.H__キティコスプレ</v>
          </cell>
          <cell r="D1462" t="str">
            <v>D.R.T.H__キティコスプレ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8055</v>
          </cell>
          <cell r="B1463" t="str">
            <v>ja</v>
          </cell>
          <cell r="C1463" t="str">
            <v>マイメロディ</v>
          </cell>
          <cell r="D1463" t="str">
            <v>マイメロディ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red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8056</v>
          </cell>
          <cell r="B1464" t="str">
            <v>ja</v>
          </cell>
          <cell r="C1464" t="str">
            <v>マイメロディ</v>
          </cell>
          <cell r="D1464" t="str">
            <v>マイメロディ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red</v>
          </cell>
          <cell r="I1464">
            <v>5</v>
          </cell>
          <cell r="J1464" t="str">
            <v>PremiumS</v>
          </cell>
          <cell r="K1464" t="str">
            <v>attack</v>
          </cell>
          <cell r="L1464" t="str">
            <v>攻撃タイプ</v>
          </cell>
          <cell r="M1464" t="str">
            <v>ss</v>
          </cell>
        </row>
        <row r="1465">
          <cell r="A1465">
            <v>8057</v>
          </cell>
          <cell r="B1465" t="str">
            <v>ja</v>
          </cell>
          <cell r="C1465" t="str">
            <v>ニーベルゲン_シナモロールコスプレ</v>
          </cell>
          <cell r="D1465" t="str">
            <v>ニーベルゲン_シナモロールコスプレ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8058</v>
          </cell>
          <cell r="B1466" t="str">
            <v>ja</v>
          </cell>
          <cell r="C1466" t="str">
            <v>ニーベルゲン_シナモロールコスプレ</v>
          </cell>
          <cell r="D1466" t="str">
            <v>ニーベルゲン_シナモロールコスプレ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8059</v>
          </cell>
          <cell r="B1467" t="str">
            <v>ja</v>
          </cell>
          <cell r="C1467" t="str">
            <v>カカシ_マイメロディコスプレ</v>
          </cell>
          <cell r="D1467" t="str">
            <v>カカシ_マイメロディコスプレ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green</v>
          </cell>
          <cell r="I1467">
            <v>4</v>
          </cell>
          <cell r="J1467" t="str">
            <v>PremiumS</v>
          </cell>
          <cell r="K1467" t="str">
            <v>technical</v>
          </cell>
          <cell r="L1467" t="str">
            <v>テクニカルタイプ</v>
          </cell>
          <cell r="M1467" t="str">
            <v>ss</v>
          </cell>
        </row>
        <row r="1468">
          <cell r="A1468">
            <v>8060</v>
          </cell>
          <cell r="B1468" t="str">
            <v>ja</v>
          </cell>
          <cell r="C1468" t="str">
            <v>カカシ_マイメロディコスプレ</v>
          </cell>
          <cell r="D1468" t="str">
            <v>カカシ_マイメロディコスプレ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green</v>
          </cell>
          <cell r="I1468">
            <v>5</v>
          </cell>
          <cell r="J1468" t="str">
            <v>PremiumS</v>
          </cell>
          <cell r="K1468" t="str">
            <v>technical</v>
          </cell>
          <cell r="L1468" t="str">
            <v>テクニカルタイプ</v>
          </cell>
          <cell r="M1468" t="str">
            <v>ss</v>
          </cell>
        </row>
        <row r="1469">
          <cell r="A1469">
            <v>8061</v>
          </cell>
          <cell r="B1469" t="str">
            <v>ja</v>
          </cell>
          <cell r="C1469" t="str">
            <v>ケロケロけろっぴ</v>
          </cell>
          <cell r="D1469" t="str">
            <v>ケロケロけろっぴ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green</v>
          </cell>
          <cell r="I1469">
            <v>3</v>
          </cell>
          <cell r="J1469" t="str">
            <v>PremiumS</v>
          </cell>
          <cell r="K1469" t="str">
            <v>balance</v>
          </cell>
          <cell r="L1469" t="str">
            <v>バランスタイプ</v>
          </cell>
          <cell r="M1469" t="str">
            <v>ss</v>
          </cell>
        </row>
        <row r="1470">
          <cell r="A1470">
            <v>8062</v>
          </cell>
          <cell r="B1470" t="str">
            <v>ja</v>
          </cell>
          <cell r="C1470" t="str">
            <v>ケロケロけろっぴ</v>
          </cell>
          <cell r="D1470" t="str">
            <v>ケロケロけろっぴ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green</v>
          </cell>
          <cell r="I1470">
            <v>4</v>
          </cell>
          <cell r="J1470" t="str">
            <v>PremiumS</v>
          </cell>
          <cell r="K1470" t="str">
            <v>balance</v>
          </cell>
          <cell r="L1470" t="str">
            <v>バランスタイプ</v>
          </cell>
          <cell r="M1470" t="str">
            <v>ss</v>
          </cell>
        </row>
        <row r="1471">
          <cell r="A1471">
            <v>8063</v>
          </cell>
          <cell r="B1471" t="str">
            <v>ja</v>
          </cell>
          <cell r="C1471" t="str">
            <v>モルドレッド_ポムポムプリンコスプレ</v>
          </cell>
          <cell r="D1471" t="str">
            <v>モルドレッド_ポムポムプリンコスプレ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5</v>
          </cell>
          <cell r="J1471" t="str">
            <v>PremiumSS</v>
          </cell>
          <cell r="K1471" t="str">
            <v>heal</v>
          </cell>
          <cell r="L1471" t="str">
            <v>回復タイプ</v>
          </cell>
          <cell r="M1471" t="str">
            <v>ss</v>
          </cell>
        </row>
        <row r="1472">
          <cell r="A1472">
            <v>8064</v>
          </cell>
          <cell r="B1472" t="str">
            <v>ja</v>
          </cell>
          <cell r="C1472" t="str">
            <v>モルドレッド_ポムポムプリンコスプレ</v>
          </cell>
          <cell r="D1472" t="str">
            <v>モルドレッド_ポムポムプリンコスプレ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6</v>
          </cell>
          <cell r="J1472" t="str">
            <v>PremiumSS</v>
          </cell>
          <cell r="K1472" t="str">
            <v>heal</v>
          </cell>
          <cell r="L1472" t="str">
            <v>回復タイプ</v>
          </cell>
          <cell r="M1472" t="str">
            <v>ss</v>
          </cell>
        </row>
        <row r="1473">
          <cell r="A1473">
            <v>8065</v>
          </cell>
          <cell r="B1473" t="str">
            <v>ja</v>
          </cell>
          <cell r="C1473" t="str">
            <v>クロミ</v>
          </cell>
          <cell r="D1473" t="str">
            <v>クロミ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3</v>
          </cell>
          <cell r="J1473" t="str">
            <v>PremiumS</v>
          </cell>
          <cell r="K1473" t="str">
            <v>technical</v>
          </cell>
          <cell r="L1473" t="str">
            <v>テクニカルタイプ</v>
          </cell>
          <cell r="M1473" t="str">
            <v>ss</v>
          </cell>
        </row>
        <row r="1474">
          <cell r="A1474">
            <v>8066</v>
          </cell>
          <cell r="B1474" t="str">
            <v>ja</v>
          </cell>
          <cell r="C1474" t="str">
            <v>クロミ</v>
          </cell>
          <cell r="D1474" t="str">
            <v>クロミ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4</v>
          </cell>
          <cell r="J1474" t="str">
            <v>PremiumS</v>
          </cell>
          <cell r="K1474" t="str">
            <v>technical</v>
          </cell>
          <cell r="L1474" t="str">
            <v>テクニカルタイプ</v>
          </cell>
          <cell r="M1474" t="str">
            <v>ss</v>
          </cell>
        </row>
        <row r="1475">
          <cell r="A1475">
            <v>8067</v>
          </cell>
          <cell r="B1475" t="str">
            <v>ja</v>
          </cell>
          <cell r="C1475" t="str">
            <v>バッドばつ丸</v>
          </cell>
          <cell r="D1475" t="str">
            <v>バッドばつ丸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3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ss</v>
          </cell>
        </row>
        <row r="1476">
          <cell r="A1476">
            <v>8068</v>
          </cell>
          <cell r="B1476" t="str">
            <v>ja</v>
          </cell>
          <cell r="C1476" t="str">
            <v>バッドばつ丸</v>
          </cell>
          <cell r="D1476" t="str">
            <v>バッドばつ丸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blue</v>
          </cell>
          <cell r="I1476">
            <v>4</v>
          </cell>
          <cell r="J1476" t="str">
            <v>PremiumS</v>
          </cell>
          <cell r="K1476" t="str">
            <v>attack</v>
          </cell>
          <cell r="L1476" t="str">
            <v>攻撃タイプ</v>
          </cell>
          <cell r="M1476" t="str">
            <v>ss</v>
          </cell>
        </row>
        <row r="1477">
          <cell r="A1477">
            <v>8069</v>
          </cell>
          <cell r="B1477" t="str">
            <v>ja</v>
          </cell>
          <cell r="C1477" t="str">
            <v>シナモロール</v>
          </cell>
          <cell r="D1477" t="str">
            <v>シナモロール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4</v>
          </cell>
          <cell r="J1477" t="str">
            <v>PremiumS</v>
          </cell>
          <cell r="K1477" t="str">
            <v>heal</v>
          </cell>
          <cell r="L1477" t="str">
            <v>回復タイプ</v>
          </cell>
          <cell r="M1477" t="str">
            <v>ss</v>
          </cell>
        </row>
        <row r="1478">
          <cell r="A1478">
            <v>8070</v>
          </cell>
          <cell r="B1478" t="str">
            <v>ja</v>
          </cell>
          <cell r="C1478" t="str">
            <v>シナモロール</v>
          </cell>
          <cell r="D1478" t="str">
            <v>シナモロール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yellow</v>
          </cell>
          <cell r="I1478">
            <v>5</v>
          </cell>
          <cell r="J1478" t="str">
            <v>PremiumS</v>
          </cell>
          <cell r="K1478" t="str">
            <v>heal</v>
          </cell>
          <cell r="L1478" t="str">
            <v>回復タイプ</v>
          </cell>
          <cell r="M1478" t="str">
            <v>ss</v>
          </cell>
        </row>
        <row r="1479">
          <cell r="A1479">
            <v>8071</v>
          </cell>
          <cell r="B1479" t="str">
            <v>ja</v>
          </cell>
          <cell r="C1479" t="str">
            <v>ポムポムプリン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yellow</v>
          </cell>
          <cell r="I1479">
            <v>3</v>
          </cell>
          <cell r="J1479" t="str">
            <v>PremiumS</v>
          </cell>
          <cell r="K1479" t="str">
            <v>hp</v>
          </cell>
          <cell r="L1479" t="str">
            <v>体力タイプ</v>
          </cell>
          <cell r="M1479" t="str">
            <v>ss</v>
          </cell>
        </row>
        <row r="1480">
          <cell r="A1480">
            <v>8072</v>
          </cell>
          <cell r="B1480" t="str">
            <v>ja</v>
          </cell>
          <cell r="C1480" t="str">
            <v>ポムポムプリン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4</v>
          </cell>
          <cell r="J1480" t="str">
            <v>PremiumS</v>
          </cell>
          <cell r="K1480" t="str">
            <v>hp</v>
          </cell>
          <cell r="L1480" t="str">
            <v>体力タイプ</v>
          </cell>
          <cell r="M1480" t="str">
            <v>ss</v>
          </cell>
        </row>
        <row r="1481">
          <cell r="A1481">
            <v>8073</v>
          </cell>
          <cell r="B1481" t="str">
            <v>ja</v>
          </cell>
          <cell r="C1481" t="str">
            <v>星海祈る天光妃 媽祖</v>
          </cell>
          <cell r="D1481" t="str">
            <v>Expoミク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8074</v>
          </cell>
          <cell r="B1482" t="str">
            <v>ja</v>
          </cell>
          <cell r="C1482" t="str">
            <v>海戀の絶龍姫 蛟龍</v>
          </cell>
          <cell r="D1482" t="str">
            <v>Expoミク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DropWizS</v>
          </cell>
          <cell r="K1482" t="str">
            <v>hp</v>
          </cell>
          <cell r="L1482" t="str">
            <v>体力タイプ</v>
          </cell>
          <cell r="M1482" t="str">
            <v>dragon</v>
          </cell>
        </row>
        <row r="1483">
          <cell r="A1483">
            <v>8075</v>
          </cell>
          <cell r="B1483" t="str">
            <v>ja</v>
          </cell>
          <cell r="C1483" t="str">
            <v>三蔵法師_超覚醒</v>
          </cell>
          <cell r="D1483" t="str">
            <v>Expoミク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PremiumSS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8076</v>
          </cell>
          <cell r="B1484" t="str">
            <v>ja</v>
          </cell>
          <cell r="C1484" t="str">
            <v>孫悟空_超覚醒</v>
          </cell>
          <cell r="D1484" t="str">
            <v>Expoミク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8077</v>
          </cell>
          <cell r="B1485" t="str">
            <v>ja</v>
          </cell>
          <cell r="C1485" t="str">
            <v>鄭成功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blue</v>
          </cell>
          <cell r="I1485">
            <v>5</v>
          </cell>
          <cell r="J1485" t="str">
            <v>PremiumSS</v>
          </cell>
          <cell r="K1485" t="str">
            <v>attack</v>
          </cell>
          <cell r="L1485" t="str">
            <v>攻撃タイプ</v>
          </cell>
          <cell r="M1485" t="str">
            <v>human</v>
          </cell>
        </row>
        <row r="1486">
          <cell r="A1486">
            <v>8078</v>
          </cell>
          <cell r="B1486" t="str">
            <v>ja</v>
          </cell>
          <cell r="C1486" t="str">
            <v>レア６鄭成功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blue</v>
          </cell>
          <cell r="I1486">
            <v>6</v>
          </cell>
          <cell r="J1486" t="str">
            <v>PremiumSS</v>
          </cell>
          <cell r="K1486" t="str">
            <v>attack</v>
          </cell>
          <cell r="L1486" t="str">
            <v>攻撃タイプ</v>
          </cell>
          <cell r="M1486" t="str">
            <v>human</v>
          </cell>
        </row>
        <row r="1487">
          <cell r="A1487">
            <v>8079</v>
          </cell>
          <cell r="B1487" t="str">
            <v>ja</v>
          </cell>
          <cell r="C1487" t="str">
            <v>赤鬼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red</v>
          </cell>
          <cell r="I1487">
            <v>5</v>
          </cell>
          <cell r="J1487" t="str">
            <v>DropWizS</v>
          </cell>
          <cell r="K1487" t="str">
            <v>hp</v>
          </cell>
          <cell r="L1487" t="str">
            <v>体力タイプ</v>
          </cell>
          <cell r="M1487" t="str">
            <v>dragon</v>
          </cell>
        </row>
        <row r="1488">
          <cell r="A1488">
            <v>8080</v>
          </cell>
          <cell r="B1488" t="str">
            <v>ja</v>
          </cell>
          <cell r="C1488" t="str">
            <v>レア６赤鬼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red</v>
          </cell>
          <cell r="I1488">
            <v>6</v>
          </cell>
          <cell r="J1488" t="str">
            <v>DropWizS</v>
          </cell>
          <cell r="K1488" t="str">
            <v>hp</v>
          </cell>
          <cell r="L1488" t="str">
            <v>体力タイプ</v>
          </cell>
          <cell r="M1488" t="str">
            <v>dragon</v>
          </cell>
        </row>
        <row r="1489">
          <cell r="A1489">
            <v>8081</v>
          </cell>
          <cell r="B1489" t="str">
            <v>ja</v>
          </cell>
          <cell r="C1489" t="str">
            <v>関羽</v>
          </cell>
          <cell r="H1489" t="str">
            <v>green</v>
          </cell>
          <cell r="I1489">
            <v>5</v>
          </cell>
          <cell r="J1489" t="str">
            <v>PremiumSSS</v>
          </cell>
          <cell r="K1489" t="str">
            <v>balance</v>
          </cell>
          <cell r="L1489" t="str">
            <v>バランスタイプ</v>
          </cell>
          <cell r="M1489" t="str">
            <v>samurai</v>
          </cell>
        </row>
        <row r="1490">
          <cell r="A1490">
            <v>8082</v>
          </cell>
          <cell r="B1490" t="str">
            <v>ja</v>
          </cell>
          <cell r="C1490" t="str">
            <v>★６関羽</v>
          </cell>
          <cell r="H1490" t="str">
            <v>green</v>
          </cell>
          <cell r="I1490">
            <v>6</v>
          </cell>
          <cell r="J1490" t="str">
            <v>PremiumSSS</v>
          </cell>
          <cell r="K1490" t="str">
            <v>balance</v>
          </cell>
          <cell r="L1490" t="str">
            <v>バランスタイプ</v>
          </cell>
          <cell r="M1490" t="str">
            <v>samurai</v>
          </cell>
        </row>
        <row r="1491">
          <cell r="A1491">
            <v>8083</v>
          </cell>
          <cell r="B1491" t="str">
            <v>ja</v>
          </cell>
          <cell r="C1491" t="str">
            <v>曹操</v>
          </cell>
          <cell r="H1491" t="str">
            <v>yellow</v>
          </cell>
          <cell r="I1491">
            <v>5</v>
          </cell>
          <cell r="J1491" t="str">
            <v>DropWizSS</v>
          </cell>
          <cell r="K1491" t="str">
            <v>technical</v>
          </cell>
          <cell r="L1491" t="str">
            <v>テクニカルタイプ</v>
          </cell>
          <cell r="M1491" t="str">
            <v>samurai</v>
          </cell>
        </row>
        <row r="1492">
          <cell r="A1492">
            <v>8084</v>
          </cell>
          <cell r="B1492" t="str">
            <v>ja</v>
          </cell>
          <cell r="C1492" t="str">
            <v>★６曹操</v>
          </cell>
          <cell r="H1492" t="str">
            <v>yellow</v>
          </cell>
          <cell r="I1492">
            <v>6</v>
          </cell>
          <cell r="J1492" t="str">
            <v>DropWizSS</v>
          </cell>
          <cell r="K1492" t="str">
            <v>technical</v>
          </cell>
          <cell r="L1492" t="str">
            <v>テクニカルタイプ</v>
          </cell>
          <cell r="M1492" t="str">
            <v>samurai</v>
          </cell>
        </row>
        <row r="1493">
          <cell r="A1493">
            <v>8087</v>
          </cell>
          <cell r="B1493" t="str">
            <v>ja</v>
          </cell>
          <cell r="C1493" t="str">
            <v>財神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technical</v>
          </cell>
          <cell r="L1493" t="str">
            <v>テクニカルタイプ</v>
          </cell>
          <cell r="M1493" t="str">
            <v>god</v>
          </cell>
        </row>
        <row r="1494">
          <cell r="A1494">
            <v>8088</v>
          </cell>
          <cell r="B1494" t="str">
            <v>ja</v>
          </cell>
          <cell r="C1494" t="str">
            <v>★６財神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technical</v>
          </cell>
          <cell r="L1494" t="str">
            <v>テクニカルタイプ</v>
          </cell>
          <cell r="M1494" t="str">
            <v>god</v>
          </cell>
        </row>
        <row r="1495">
          <cell r="A1495">
            <v>8089</v>
          </cell>
          <cell r="B1495" t="str">
            <v>ja</v>
          </cell>
          <cell r="C1495" t="str">
            <v>年獣</v>
          </cell>
          <cell r="H1495" t="str">
            <v>green</v>
          </cell>
          <cell r="I1495">
            <v>5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animal</v>
          </cell>
        </row>
        <row r="1496">
          <cell r="A1496">
            <v>8090</v>
          </cell>
          <cell r="B1496" t="str">
            <v>ja</v>
          </cell>
          <cell r="C1496" t="str">
            <v>★６年獣</v>
          </cell>
          <cell r="H1496" t="str">
            <v>green</v>
          </cell>
          <cell r="I1496">
            <v>6</v>
          </cell>
          <cell r="J1496" t="str">
            <v>DropWizS</v>
          </cell>
          <cell r="K1496" t="str">
            <v>attack</v>
          </cell>
          <cell r="L1496" t="str">
            <v>攻撃タイプ</v>
          </cell>
          <cell r="M1496" t="str">
            <v>animal</v>
          </cell>
        </row>
        <row r="1497">
          <cell r="A1497">
            <v>8095</v>
          </cell>
          <cell r="B1497" t="str">
            <v>ja</v>
          </cell>
          <cell r="C1497" t="str">
            <v>バハムートダック赤</v>
          </cell>
          <cell r="D1497" t="str">
            <v>ポムポムプリン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6</v>
          </cell>
          <cell r="J1497" t="str">
            <v>Material</v>
          </cell>
          <cell r="K1497" t="str">
            <v>exp</v>
          </cell>
          <cell r="L1497" t="str">
            <v>強化素材タイプ</v>
          </cell>
          <cell r="M1497" t="str">
            <v>unknown</v>
          </cell>
        </row>
        <row r="1498">
          <cell r="A1498">
            <v>8096</v>
          </cell>
          <cell r="B1498" t="str">
            <v>ja</v>
          </cell>
          <cell r="C1498" t="str">
            <v>バハムートダック緑</v>
          </cell>
          <cell r="D1498" t="str">
            <v>ポムポムプリン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green</v>
          </cell>
          <cell r="I1498">
            <v>6</v>
          </cell>
          <cell r="J1498" t="str">
            <v>Material</v>
          </cell>
          <cell r="K1498" t="str">
            <v>exp</v>
          </cell>
          <cell r="L1498" t="str">
            <v>強化素材タイプ</v>
          </cell>
          <cell r="M1498" t="str">
            <v>unknown</v>
          </cell>
        </row>
        <row r="1499">
          <cell r="A1499">
            <v>8097</v>
          </cell>
          <cell r="B1499" t="str">
            <v>ja</v>
          </cell>
          <cell r="C1499" t="str">
            <v>バハムートダック青</v>
          </cell>
          <cell r="D1499" t="str">
            <v>ポムポムプリン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6</v>
          </cell>
          <cell r="J1499" t="str">
            <v>Material</v>
          </cell>
          <cell r="K1499" t="str">
            <v>exp</v>
          </cell>
          <cell r="L1499" t="str">
            <v>強化素材タイプ</v>
          </cell>
          <cell r="M1499" t="str">
            <v>unknown</v>
          </cell>
        </row>
        <row r="1500">
          <cell r="A1500">
            <v>8098</v>
          </cell>
          <cell r="B1500" t="str">
            <v>ja</v>
          </cell>
          <cell r="C1500" t="str">
            <v>バハムートダック黄</v>
          </cell>
          <cell r="D1500" t="str">
            <v>ポムポムプリン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Material</v>
          </cell>
          <cell r="K1500" t="str">
            <v>exp</v>
          </cell>
          <cell r="L1500" t="str">
            <v>強化素材タイプ</v>
          </cell>
          <cell r="M1500" t="str">
            <v>unknown</v>
          </cell>
        </row>
        <row r="1501">
          <cell r="A1501">
            <v>8099</v>
          </cell>
          <cell r="B1501" t="str">
            <v>ja</v>
          </cell>
          <cell r="C1501" t="str">
            <v>リトルハンプティ</v>
          </cell>
          <cell r="D1501" t="str">
            <v>各属性相性良3・黄・R455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green</v>
          </cell>
          <cell r="I1501">
            <v>6</v>
          </cell>
          <cell r="J1501" t="str">
            <v>Material</v>
          </cell>
          <cell r="K1501" t="str">
            <v>evolution</v>
          </cell>
          <cell r="L1501" t="str">
            <v>覚醒素材タイプ</v>
          </cell>
          <cell r="M1501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36" sqref="C3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11" sqref="C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247</v>
      </c>
      <c r="B2" s="61" t="s">
        <v>110</v>
      </c>
      <c r="C2" s="50" t="str">
        <f t="shared" ref="C2" si="0">RIGHT(F2,6)</f>
        <v>520100</v>
      </c>
      <c r="D2" s="19" t="s">
        <v>45</v>
      </c>
      <c r="E2" s="17" t="str">
        <f t="shared" ref="E2" si="1">B2&amp;C2&amp;D2</f>
        <v>gacha_select_tables_520100.tmp</v>
      </c>
      <c r="F2" s="102" t="s">
        <v>269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247</v>
      </c>
      <c r="B3" s="61" t="s">
        <v>110</v>
      </c>
      <c r="C3" s="50" t="str">
        <f t="shared" ref="C3:C7" si="2">RIGHT(F3,6)</f>
        <v>520101</v>
      </c>
      <c r="D3" s="19" t="s">
        <v>45</v>
      </c>
      <c r="E3" s="17" t="str">
        <f t="shared" ref="E3:E10" si="3">B3&amp;C3&amp;D3</f>
        <v>gacha_select_tables_520101.tmp</v>
      </c>
      <c r="F3" s="102" t="s">
        <v>270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0" t="s">
        <v>263</v>
      </c>
      <c r="B4" s="93" t="s">
        <v>248</v>
      </c>
      <c r="C4" s="94" t="str">
        <f t="shared" si="2"/>
        <v>520105</v>
      </c>
      <c r="D4" s="19" t="s">
        <v>249</v>
      </c>
      <c r="E4" s="17" t="str">
        <f t="shared" si="3"/>
        <v>gacha_settle_tables_520105.tmp</v>
      </c>
      <c r="F4" s="102" t="s">
        <v>271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247</v>
      </c>
      <c r="B8" s="27" t="s">
        <v>50</v>
      </c>
      <c r="C8" s="32">
        <v>520</v>
      </c>
      <c r="D8" s="19" t="s">
        <v>46</v>
      </c>
      <c r="E8" s="17" t="str">
        <f t="shared" si="3"/>
        <v>gacha_bonus_tables_520.tmp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247</v>
      </c>
      <c r="B9" s="19" t="s">
        <v>48</v>
      </c>
      <c r="C9" s="32">
        <v>520</v>
      </c>
      <c r="D9" s="19" t="s">
        <v>46</v>
      </c>
      <c r="E9" s="17" t="str">
        <f t="shared" si="3"/>
        <v>gifts_tmp_520.tmp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0" t="s">
        <v>263</v>
      </c>
      <c r="B10" s="19" t="s">
        <v>49</v>
      </c>
      <c r="C10" s="32">
        <v>520</v>
      </c>
      <c r="D10" s="19" t="s">
        <v>46</v>
      </c>
      <c r="E10" s="17" t="str">
        <f t="shared" si="3"/>
        <v>gifts_i18n_520.tmp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22" sqref="E2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520101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VLOOKUP(L3,tables_520101!B:C,2,FALSE)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VLOOKUP(L4,tables_520101!B:C,2,FALSE)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0.42499999999999999</v>
      </c>
      <c r="D5" t="s">
        <v>201</v>
      </c>
      <c r="E5" s="43">
        <f>(B11-H5)/(F5-I5)</f>
        <v>7.246376811594203E-4</v>
      </c>
      <c r="F5">
        <f>(COUNTIF(tables_520101!C:C,input_520101!A28)+COUNTIF(tables_520101!C:C,input_520101!A29))</f>
        <v>69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VLOOKUP(L5,tables_520101!B:C,2,FALSE)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0.01</v>
      </c>
      <c r="F6">
        <f>(COUNTIF(tables_520101!C:C,input_520101!A25)+COUNTIF(tables_520101!C:C,input_520101!A18)+COUNTIF(tables_520101!C:C,input_520101!A20)+COUNTIF(tables_520101!C:C,input_520101!A22))</f>
        <v>95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VLOOKUP(L6,tables_520101!B:C,2,FALSE)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VLOOKUP(L7,tables_520101!B:C,2,FALSE)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VLOOKUP(L8,tables_520101!B:C,2,FALSE)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VLOOKUP(L9,tables_520101!B:C,2,FALSE)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VLOOKUP(L10,tables_520101!B:C,2,FALSE)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VLOOKUP(L11,tables_520101!B:C,2,FALSE)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VLOOKUP(L12,tables_520101!B:C,2,FALSE)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VLOOKUP(L13,tables_520101!B:C,2,FALSE)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VLOOKUP(L14,tables_520101!B:C,2,FALSE)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VLOOKUP(L15,tables_520101!B:C,2,FALSE)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VLOOKUP(L16,tables_520101!B:C,2,FALSE)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E17*E6-B18</f>
        <v>8.500000000000002E-2</v>
      </c>
      <c r="C17" s="84">
        <f t="shared" ref="C17:C31" si="2">SUMIF(Q:Q,A17,N:N)</f>
        <v>0</v>
      </c>
      <c r="D17" s="74">
        <f t="shared" ref="D17:D32" si="3">B17-C17</f>
        <v>8.500000000000002E-2</v>
      </c>
      <c r="E17">
        <f>COUNTIF(tables_520101!C:C,input_520101!A17)-COUNTIF(Q:Q,A17)</f>
        <v>20</v>
      </c>
      <c r="F17" s="43">
        <f>IFERROR(B17/E17,0)</f>
        <v>4.2500000000000012E-3</v>
      </c>
      <c r="G17">
        <f t="shared" ref="G17:G31" si="4">A$36*B17</f>
        <v>11143500.000000002</v>
      </c>
      <c r="H17">
        <f t="shared" ref="H17:H31" si="5">IFERROR(ROUND(G17/E17,5),0)</f>
        <v>557175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VLOOKUP(L17,tables_520101!B:C,2,FALSE)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0.11499999999999999</v>
      </c>
      <c r="C18" s="84">
        <f t="shared" si="2"/>
        <v>0</v>
      </c>
      <c r="D18" s="74">
        <f t="shared" si="3"/>
        <v>0.11499999999999999</v>
      </c>
      <c r="E18">
        <f>COUNTIF(tables_520101!C:C,input_520101!A18)-COUNTIF(Q:Q,A18)</f>
        <v>20</v>
      </c>
      <c r="F18" s="43">
        <f>IFERROR(B18/E18,0)</f>
        <v>5.7499999999999999E-3</v>
      </c>
      <c r="G18">
        <f t="shared" si="4"/>
        <v>15076499.999999998</v>
      </c>
      <c r="H18">
        <f t="shared" si="5"/>
        <v>753825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VLOOKUP(L18,tables_520101!B:C,2,FALSE)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0.221</v>
      </c>
      <c r="C19" s="84">
        <f t="shared" si="2"/>
        <v>0</v>
      </c>
      <c r="D19" s="74">
        <f t="shared" si="3"/>
        <v>0.221</v>
      </c>
      <c r="E19">
        <f>COUNTIF(tables_520101!C:C,input_520101!A19)-COUNTIF(Q:Q,A19)</f>
        <v>52</v>
      </c>
      <c r="F19" s="43">
        <f t="shared" ref="F19:F31" si="8">IFERROR(B19/E19,0)</f>
        <v>4.2500000000000003E-3</v>
      </c>
      <c r="G19">
        <f t="shared" si="4"/>
        <v>28973100</v>
      </c>
      <c r="H19">
        <f t="shared" si="5"/>
        <v>557175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VLOOKUP(L19,tables_520101!B:C,2,FALSE)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0.26</v>
      </c>
      <c r="C20" s="84">
        <f t="shared" si="2"/>
        <v>0</v>
      </c>
      <c r="D20" s="74">
        <f t="shared" si="3"/>
        <v>0.26</v>
      </c>
      <c r="E20">
        <f>COUNTIF(tables_520101!C:C,input_520101!A20)-COUNTIF(Q:Q,A20)</f>
        <v>52</v>
      </c>
      <c r="F20" s="43">
        <f t="shared" si="8"/>
        <v>5.0000000000000001E-3</v>
      </c>
      <c r="G20">
        <f t="shared" si="4"/>
        <v>34086000</v>
      </c>
      <c r="H20">
        <f t="shared" si="5"/>
        <v>655500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VLOOKUP(L20,tables_520101!B:C,2,FALSE)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E21*E6*B7</f>
        <v>3.9E-2</v>
      </c>
      <c r="C21" s="84">
        <f t="shared" si="2"/>
        <v>0</v>
      </c>
      <c r="D21" s="74">
        <f t="shared" si="3"/>
        <v>3.9E-2</v>
      </c>
      <c r="E21">
        <f>COUNTIF(tables_520101!C:C,input_520101!A21)-COUNTIF(Q:Q,A21)</f>
        <v>52</v>
      </c>
      <c r="F21" s="43">
        <f t="shared" si="8"/>
        <v>7.5000000000000002E-4</v>
      </c>
      <c r="G21">
        <f t="shared" si="4"/>
        <v>5112900</v>
      </c>
      <c r="H21">
        <f t="shared" si="5"/>
        <v>98325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E22*E6-B23</f>
        <v>0.18823188405797103</v>
      </c>
      <c r="C22" s="84">
        <f t="shared" si="2"/>
        <v>0</v>
      </c>
      <c r="D22" s="74">
        <f t="shared" si="3"/>
        <v>0.18823188405797103</v>
      </c>
      <c r="E22">
        <f>COUNTIF(tables_520101!C:C,input_520101!A22)-COUNTIF(Q:Q,A22)</f>
        <v>19</v>
      </c>
      <c r="F22" s="43">
        <f t="shared" si="8"/>
        <v>9.9069412662090017E-3</v>
      </c>
      <c r="G22">
        <f t="shared" si="4"/>
        <v>24677200.000000004</v>
      </c>
      <c r="H22">
        <f t="shared" si="5"/>
        <v>1298800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B7-SUM(B21,B26,B28,B29)</f>
        <v>1.7681159420289833E-3</v>
      </c>
      <c r="C23" s="84">
        <f t="shared" si="2"/>
        <v>0</v>
      </c>
      <c r="D23" s="74">
        <f t="shared" si="3"/>
        <v>1.7681159420289833E-3</v>
      </c>
      <c r="E23">
        <f>COUNTIF(tables_520101!C:C,input_520101!A23)-COUNTIF(Q:Q,A23)</f>
        <v>25</v>
      </c>
      <c r="F23" s="43">
        <f t="shared" si="8"/>
        <v>7.0724637681159324E-5</v>
      </c>
      <c r="G23">
        <f t="shared" si="4"/>
        <v>231799.99999999971</v>
      </c>
      <c r="H23">
        <f t="shared" si="5"/>
        <v>9272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1.7000000000000001E-2</v>
      </c>
      <c r="C24" s="84">
        <f t="shared" si="2"/>
        <v>0</v>
      </c>
      <c r="D24" s="74">
        <f t="shared" si="3"/>
        <v>1.7000000000000001E-2</v>
      </c>
      <c r="E24">
        <f>COUNTIF(tables_520101!C:C,input_520101!A24)-COUNTIF(Q:Q,A24)</f>
        <v>4</v>
      </c>
      <c r="F24" s="43">
        <f t="shared" si="8"/>
        <v>4.2500000000000003E-3</v>
      </c>
      <c r="G24">
        <f t="shared" si="4"/>
        <v>2228700</v>
      </c>
      <c r="H24">
        <f t="shared" si="5"/>
        <v>557175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0.02</v>
      </c>
      <c r="C25" s="84">
        <f t="shared" si="2"/>
        <v>0</v>
      </c>
      <c r="D25" s="74">
        <f t="shared" si="3"/>
        <v>0.02</v>
      </c>
      <c r="E25">
        <f>COUNTIF(tables_520101!C:C,input_520101!A25)-COUNTIF(Q:Q,A25)</f>
        <v>4</v>
      </c>
      <c r="F25" s="43">
        <f t="shared" si="8"/>
        <v>5.0000000000000001E-3</v>
      </c>
      <c r="G25">
        <f t="shared" si="4"/>
        <v>2622000</v>
      </c>
      <c r="H25">
        <f t="shared" si="5"/>
        <v>655500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4">
        <f t="shared" si="2"/>
        <v>0</v>
      </c>
      <c r="D26" s="74">
        <f t="shared" si="3"/>
        <v>3.0000000000000001E-3</v>
      </c>
      <c r="E26">
        <f>COUNTIF(tables_520101!C:C,input_520101!A26)-COUNTIF(Q:Q,A26)</f>
        <v>4</v>
      </c>
      <c r="F26" s="43">
        <f t="shared" si="8"/>
        <v>7.5000000000000002E-4</v>
      </c>
      <c r="G26">
        <f t="shared" si="4"/>
        <v>393300</v>
      </c>
      <c r="H26">
        <f t="shared" si="5"/>
        <v>98325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1.8768115942028984E-2</v>
      </c>
      <c r="C27" s="84">
        <f t="shared" si="2"/>
        <v>0</v>
      </c>
      <c r="D27" s="74">
        <f t="shared" si="3"/>
        <v>1.8768115942028984E-2</v>
      </c>
      <c r="E27">
        <f>COUNTIF(tables_520101!C:C,input_520101!A27)-COUNTIF(Q:Q,A27)</f>
        <v>28</v>
      </c>
      <c r="F27" s="43">
        <f>IFERROR(B27/E27,0)</f>
        <v>6.702898550724637E-4</v>
      </c>
      <c r="G27">
        <f t="shared" si="4"/>
        <v>2460500</v>
      </c>
      <c r="H27">
        <f t="shared" si="5"/>
        <v>87875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1.5217391304347824E-3</v>
      </c>
      <c r="C28" s="84">
        <f t="shared" si="2"/>
        <v>0</v>
      </c>
      <c r="D28" s="74">
        <f t="shared" si="3"/>
        <v>1.5217391304347824E-3</v>
      </c>
      <c r="E28">
        <f>COUNTIF(tables_520101!C:C,input_520101!A28)-COUNTIF(Q:Q,A28)</f>
        <v>28</v>
      </c>
      <c r="F28" s="43">
        <f t="shared" si="8"/>
        <v>5.434782608695651E-5</v>
      </c>
      <c r="G28">
        <f t="shared" si="4"/>
        <v>199499.99999999997</v>
      </c>
      <c r="H28">
        <f t="shared" si="5"/>
        <v>7125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4">
        <f t="shared" si="2"/>
        <v>0</v>
      </c>
      <c r="D29" s="74">
        <f t="shared" si="3"/>
        <v>2.9710144927536233E-2</v>
      </c>
      <c r="E29">
        <f>COUNTIF(tables_520101!C:C,input_520101!A29)-COUNTIF(Q:Q,A29)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COUNTIF(tables_520101!C:C,input_520101!A30)-COUNTIF(Q:Q,A30)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COUNTIF(tables_520101!C:C,input_520101!A31)-COUNTIF(Q:Q,A31)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SUMIF(tables_520101!C:C,input_520101!A40,tables_520101!O:O)</f>
        <v>28973100</v>
      </c>
      <c r="C40" s="54">
        <f t="shared" ref="C40:C46" ca="1" si="9">B40/B$47</f>
        <v>0.40903969957081543</v>
      </c>
      <c r="E40">
        <v>3</v>
      </c>
      <c r="F40">
        <f ca="1">SUMIF(tables_520101!J:J,input_520101!E40,tables_520101!O:O)</f>
        <v>42345300</v>
      </c>
      <c r="G40">
        <f ca="1">F40/A36</f>
        <v>0.32300000000000001</v>
      </c>
    </row>
    <row r="41" spans="1:7" x14ac:dyDescent="0.15">
      <c r="A41" s="33" t="s">
        <v>104</v>
      </c>
      <c r="B41">
        <f ca="1">SUMIF(tables_520101!C:C,input_520101!A41,tables_520101!O:O)</f>
        <v>34086000</v>
      </c>
      <c r="C41" s="54">
        <f t="shared" ca="1" si="9"/>
        <v>0.48122317596566522</v>
      </c>
      <c r="E41">
        <v>4</v>
      </c>
      <c r="F41">
        <f ca="1">SUMIF(tables_520101!J:J,input_520101!E41,tables_520101!O:O)</f>
        <v>78922200</v>
      </c>
      <c r="G41">
        <f ca="1">F41/A36</f>
        <v>0.60199999999999998</v>
      </c>
    </row>
    <row r="42" spans="1:7" x14ac:dyDescent="0.15">
      <c r="A42" s="33" t="s">
        <v>106</v>
      </c>
      <c r="B42">
        <f ca="1">SUMIF(tables_520101!C:C,input_520101!A42,tables_520101!O:O)</f>
        <v>2460500</v>
      </c>
      <c r="C42" s="54">
        <f t="shared" ca="1" si="9"/>
        <v>3.4737124463519314E-2</v>
      </c>
      <c r="E42">
        <v>5</v>
      </c>
      <c r="F42">
        <f ca="1">SUMIF(tables_520101!J:J,input_520101!E42,tables_520101!O:O)</f>
        <v>9832500</v>
      </c>
      <c r="G42">
        <f ca="1">F42/A36</f>
        <v>7.4999999999999997E-2</v>
      </c>
    </row>
    <row r="43" spans="1:7" x14ac:dyDescent="0.15">
      <c r="A43" s="33" t="s">
        <v>109</v>
      </c>
      <c r="B43">
        <f>SUMIF(tables_520101!C:C,input_520101!A43,tables_520101!O:O)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SUMIF(tables_520101!C:C,input_520101!A44,tables_520101!O:O)</f>
        <v>5112900</v>
      </c>
      <c r="C44" s="54">
        <f t="shared" ca="1" si="9"/>
        <v>7.2183476394849788E-2</v>
      </c>
      <c r="E44" t="s">
        <v>54</v>
      </c>
      <c r="F44" s="55"/>
    </row>
    <row r="45" spans="1:7" x14ac:dyDescent="0.15">
      <c r="A45" s="33" t="s">
        <v>107</v>
      </c>
      <c r="B45">
        <f ca="1">SUMIF(tables_520101!C:C,input_520101!A45,tables_520101!O:O)</f>
        <v>199500</v>
      </c>
      <c r="C45" s="54">
        <f t="shared" ca="1" si="9"/>
        <v>2.8165236051502147E-3</v>
      </c>
      <c r="E45" t="s">
        <v>204</v>
      </c>
      <c r="F45" s="55">
        <f ca="1">SUMIF(tables_520101!I:I,input_520101!E45,tables_520101!P:P)</f>
        <v>0.20042434782608701</v>
      </c>
    </row>
    <row r="46" spans="1:7" x14ac:dyDescent="0.15">
      <c r="A46" s="33" t="s">
        <v>108</v>
      </c>
      <c r="B46">
        <f>SUMIF(tables_520101!C:C,input_520101!A46,tables_520101!O:O)</f>
        <v>0</v>
      </c>
      <c r="C46" s="54">
        <f t="shared" ca="1" si="9"/>
        <v>0</v>
      </c>
      <c r="E46" t="s">
        <v>205</v>
      </c>
      <c r="F46" s="55">
        <f ca="1">SUMIF(tables_520101!I:I,input_520101!E46,tables_520101!P:P)</f>
        <v>0.20000000000000009</v>
      </c>
    </row>
    <row r="47" spans="1:7" x14ac:dyDescent="0.15">
      <c r="A47" s="39" t="s">
        <v>59</v>
      </c>
      <c r="B47">
        <f ca="1">SUM(B40:B46)</f>
        <v>70832000</v>
      </c>
      <c r="C47" s="55">
        <f ca="1">SUM(C40:C46)</f>
        <v>0.99999999999999989</v>
      </c>
      <c r="E47" t="s">
        <v>206</v>
      </c>
      <c r="F47" s="55">
        <f ca="1">SUMIF(tables_520101!I:I,input_520101!E47,tables_520101!P:P)</f>
        <v>0.54957565217391258</v>
      </c>
    </row>
    <row r="48" spans="1:7" x14ac:dyDescent="0.15">
      <c r="E48" t="s">
        <v>207</v>
      </c>
      <c r="F48" s="55">
        <f ca="1">SUMIF(tables_520101!I:I,input_520101!E48,tables_520101!P:P)</f>
        <v>4.4202898550724658E-2</v>
      </c>
      <c r="G48" s="55"/>
    </row>
    <row r="49" spans="5:6" x14ac:dyDescent="0.15">
      <c r="E49" t="s">
        <v>250</v>
      </c>
      <c r="F49" s="55">
        <f ca="1">SUMIF(tables_520101!I:I,input_520101!E49,tables_520101!P:P)</f>
        <v>5.7971014492753624E-3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K339" sqref="K3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input_520101!A$2</f>
        <v>520101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IFERROR(VLOOKUP(B2,input_520101!L:R,7,FALSE),VLOOKUP(tables_520101!C2,input_520101!A:H,8,FALSE))</f>
        <v>557175</v>
      </c>
      <c r="P2" s="46">
        <f t="shared" ref="P2:P65" ca="1" si="1">O2/SUM(O:O)</f>
        <v>4.2500000000000003E-3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input_520101!A$2</f>
        <v>520101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IFERROR(VLOOKUP(B3,input_520101!L:R,7,FALSE),VLOOKUP(tables_520101!C3,input_520101!A:H,8,FALSE))</f>
        <v>753825</v>
      </c>
      <c r="P3" s="46">
        <f t="shared" ca="1" si="1"/>
        <v>5.7499999999999999E-3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input_520101!A$2</f>
        <v>520101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IFERROR(VLOOKUP(B4,input_520101!L:R,7,FALSE),VLOOKUP(tables_520101!C4,input_520101!A:H,8,FALSE))</f>
        <v>557175</v>
      </c>
      <c r="P4" s="46">
        <f t="shared" ca="1" si="1"/>
        <v>4.2500000000000003E-3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input_520101!A$2</f>
        <v>520101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IFERROR(VLOOKUP(B5,input_520101!L:R,7,FALSE),VLOOKUP(tables_520101!C5,input_520101!A:H,8,FALSE))</f>
        <v>753825</v>
      </c>
      <c r="P5" s="46">
        <f t="shared" ca="1" si="1"/>
        <v>5.7499999999999999E-3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input_520101!A$2</f>
        <v>520101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IFERROR(VLOOKUP(B6,input_520101!L:R,7,FALSE),VLOOKUP(tables_520101!C6,input_520101!A:H,8,FALSE))</f>
        <v>557175</v>
      </c>
      <c r="P6" s="46">
        <f t="shared" ca="1" si="1"/>
        <v>4.2500000000000003E-3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input_520101!A$2</f>
        <v>520101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IFERROR(VLOOKUP(B7,input_520101!L:R,7,FALSE),VLOOKUP(tables_520101!C7,input_520101!A:H,8,FALSE))</f>
        <v>753825</v>
      </c>
      <c r="P7" s="46">
        <f t="shared" ca="1" si="1"/>
        <v>5.7499999999999999E-3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input_520101!A$2</f>
        <v>520101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IFERROR(VLOOKUP(B8,input_520101!L:R,7,FALSE),VLOOKUP(tables_520101!C8,input_520101!A:H,8,FALSE))</f>
        <v>557175</v>
      </c>
      <c r="P8" s="46">
        <f t="shared" ca="1" si="1"/>
        <v>4.2500000000000003E-3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input_520101!A$2</f>
        <v>520101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IFERROR(VLOOKUP(B9,input_520101!L:R,7,FALSE),VLOOKUP(tables_520101!C9,input_520101!A:H,8,FALSE))</f>
        <v>753825</v>
      </c>
      <c r="P9" s="46">
        <f t="shared" ca="1" si="1"/>
        <v>5.7499999999999999E-3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input_520101!A$2</f>
        <v>520101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IFERROR(VLOOKUP(B10,input_520101!L:R,7,FALSE),VLOOKUP(tables_520101!C10,input_520101!A:H,8,FALSE))</f>
        <v>557175</v>
      </c>
      <c r="P10" s="46">
        <f t="shared" ca="1" si="1"/>
        <v>4.2500000000000003E-3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input_520101!A$2</f>
        <v>520101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IFERROR(VLOOKUP(B11,input_520101!L:R,7,FALSE),VLOOKUP(tables_520101!C11,input_520101!A:H,8,FALSE))</f>
        <v>753825</v>
      </c>
      <c r="P11" s="46">
        <f t="shared" ca="1" si="1"/>
        <v>5.7499999999999999E-3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input_520101!A$2</f>
        <v>520101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IFERROR(VLOOKUP(B12,input_520101!L:R,7,FALSE),VLOOKUP(tables_520101!C12,input_520101!A:H,8,FALSE))</f>
        <v>557175</v>
      </c>
      <c r="P12" s="46">
        <f t="shared" ca="1" si="1"/>
        <v>4.2500000000000003E-3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input_520101!A$2</f>
        <v>520101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IFERROR(VLOOKUP(B13,input_520101!L:R,7,FALSE),VLOOKUP(tables_520101!C13,input_520101!A:H,8,FALSE))</f>
        <v>753825</v>
      </c>
      <c r="P13" s="46">
        <f t="shared" ca="1" si="1"/>
        <v>5.7499999999999999E-3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input_520101!A$2</f>
        <v>520101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IFERROR(VLOOKUP(B14,input_520101!L:R,7,FALSE),VLOOKUP(tables_520101!C14,input_520101!A:H,8,FALSE))</f>
        <v>557175</v>
      </c>
      <c r="P14" s="46">
        <f t="shared" ca="1" si="1"/>
        <v>4.2500000000000003E-3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input_520101!A$2</f>
        <v>520101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IFERROR(VLOOKUP(B15,input_520101!L:R,7,FALSE),VLOOKUP(tables_520101!C15,input_520101!A:H,8,FALSE))</f>
        <v>753825</v>
      </c>
      <c r="P15" s="46">
        <f t="shared" ca="1" si="1"/>
        <v>5.7499999999999999E-3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input_520101!A$2</f>
        <v>520101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IFERROR(VLOOKUP(B16,input_520101!L:R,7,FALSE),VLOOKUP(tables_520101!C16,input_520101!A:H,8,FALSE))</f>
        <v>557175</v>
      </c>
      <c r="P16" s="46">
        <f t="shared" ca="1" si="1"/>
        <v>4.2500000000000003E-3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input_520101!A$2</f>
        <v>520101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IFERROR(VLOOKUP(B17,input_520101!L:R,7,FALSE),VLOOKUP(tables_520101!C17,input_520101!A:H,8,FALSE))</f>
        <v>753825</v>
      </c>
      <c r="P17" s="46">
        <f t="shared" ca="1" si="1"/>
        <v>5.7499999999999999E-3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input_520101!A$2</f>
        <v>520101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IFERROR(VLOOKUP(B18,input_520101!L:R,7,FALSE),VLOOKUP(tables_520101!C18,input_520101!A:H,8,FALSE))</f>
        <v>557175</v>
      </c>
      <c r="P18" s="46">
        <f t="shared" ca="1" si="1"/>
        <v>4.2500000000000003E-3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input_520101!A$2</f>
        <v>520101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IFERROR(VLOOKUP(B19,input_520101!L:R,7,FALSE),VLOOKUP(tables_520101!C19,input_520101!A:H,8,FALSE))</f>
        <v>753825</v>
      </c>
      <c r="P19" s="46">
        <f t="shared" ca="1" si="1"/>
        <v>5.7499999999999999E-3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input_520101!A$2</f>
        <v>520101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IFERROR(VLOOKUP(B20,input_520101!L:R,7,FALSE),VLOOKUP(tables_520101!C20,input_520101!A:H,8,FALSE))</f>
        <v>557175</v>
      </c>
      <c r="P20" s="46">
        <f t="shared" ca="1" si="1"/>
        <v>4.2500000000000003E-3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input_520101!A$2</f>
        <v>520101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IFERROR(VLOOKUP(B21,input_520101!L:R,7,FALSE),VLOOKUP(tables_520101!C21,input_520101!A:H,8,FALSE))</f>
        <v>753825</v>
      </c>
      <c r="P21" s="46">
        <f t="shared" ca="1" si="1"/>
        <v>5.7499999999999999E-3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input_520101!A$2</f>
        <v>520101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IFERROR(VLOOKUP(B22,input_520101!L:R,7,FALSE),VLOOKUP(tables_520101!C22,input_520101!A:H,8,FALSE))</f>
        <v>557175</v>
      </c>
      <c r="P22" s="46">
        <f t="shared" ca="1" si="1"/>
        <v>4.2500000000000003E-3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input_520101!A$2</f>
        <v>520101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IFERROR(VLOOKUP(B23,input_520101!L:R,7,FALSE),VLOOKUP(tables_520101!C23,input_520101!A:H,8,FALSE))</f>
        <v>753825</v>
      </c>
      <c r="P23" s="46">
        <f t="shared" ca="1" si="1"/>
        <v>5.7499999999999999E-3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input_520101!A$2</f>
        <v>520101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IFERROR(VLOOKUP(B24,input_520101!L:R,7,FALSE),VLOOKUP(tables_520101!C24,input_520101!A:H,8,FALSE))</f>
        <v>557175</v>
      </c>
      <c r="P24" s="46">
        <f t="shared" ca="1" si="1"/>
        <v>4.2500000000000003E-3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input_520101!A$2</f>
        <v>520101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IFERROR(VLOOKUP(B25,input_520101!L:R,7,FALSE),VLOOKUP(tables_520101!C25,input_520101!A:H,8,FALSE))</f>
        <v>753825</v>
      </c>
      <c r="P25" s="46">
        <f t="shared" ca="1" si="1"/>
        <v>5.7499999999999999E-3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input_520101!A$2</f>
        <v>520101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IFERROR(VLOOKUP(B26,input_520101!L:R,7,FALSE),VLOOKUP(tables_520101!C26,input_520101!A:H,8,FALSE))</f>
        <v>557175</v>
      </c>
      <c r="P26" s="46">
        <f t="shared" ca="1" si="1"/>
        <v>4.2500000000000003E-3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input_520101!A$2</f>
        <v>520101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IFERROR(VLOOKUP(B27,input_520101!L:R,7,FALSE),VLOOKUP(tables_520101!C27,input_520101!A:H,8,FALSE))</f>
        <v>753825</v>
      </c>
      <c r="P27" s="46">
        <f t="shared" ca="1" si="1"/>
        <v>5.7499999999999999E-3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input_520101!A$2</f>
        <v>520101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IFERROR(VLOOKUP(B28,input_520101!L:R,7,FALSE),VLOOKUP(tables_520101!C28,input_520101!A:H,8,FALSE))</f>
        <v>557175</v>
      </c>
      <c r="P28" s="46">
        <f t="shared" ca="1" si="1"/>
        <v>4.2500000000000003E-3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input_520101!A$2</f>
        <v>520101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IFERROR(VLOOKUP(B29,input_520101!L:R,7,FALSE),VLOOKUP(tables_520101!C29,input_520101!A:H,8,FALSE))</f>
        <v>753825</v>
      </c>
      <c r="P29" s="46">
        <f t="shared" ca="1" si="1"/>
        <v>5.7499999999999999E-3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input_520101!A$2</f>
        <v>520101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IFERROR(VLOOKUP(B30,input_520101!L:R,7,FALSE),VLOOKUP(tables_520101!C30,input_520101!A:H,8,FALSE))</f>
        <v>557175</v>
      </c>
      <c r="P30" s="46">
        <f t="shared" ca="1" si="1"/>
        <v>4.2500000000000003E-3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input_520101!A$2</f>
        <v>520101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IFERROR(VLOOKUP(B31,input_520101!L:R,7,FALSE),VLOOKUP(tables_520101!C31,input_520101!A:H,8,FALSE))</f>
        <v>753825</v>
      </c>
      <c r="P31" s="46">
        <f t="shared" ca="1" si="1"/>
        <v>5.7499999999999999E-3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input_520101!A$2</f>
        <v>520101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IFERROR(VLOOKUP(B32,input_520101!L:R,7,FALSE),VLOOKUP(tables_520101!C32,input_520101!A:H,8,FALSE))</f>
        <v>557175</v>
      </c>
      <c r="P32" s="46">
        <f t="shared" ca="1" si="1"/>
        <v>4.2500000000000003E-3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input_520101!A$2</f>
        <v>520101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IFERROR(VLOOKUP(B33,input_520101!L:R,7,FALSE),VLOOKUP(tables_520101!C33,input_520101!A:H,8,FALSE))</f>
        <v>753825</v>
      </c>
      <c r="P33" s="46">
        <f t="shared" ca="1" si="1"/>
        <v>5.7499999999999999E-3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input_520101!A$2</f>
        <v>520101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IFERROR(VLOOKUP(B34,input_520101!L:R,7,FALSE),VLOOKUP(tables_520101!C34,input_520101!A:H,8,FALSE))</f>
        <v>557175</v>
      </c>
      <c r="P34" s="46">
        <f t="shared" ca="1" si="1"/>
        <v>4.2500000000000003E-3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input_520101!A$2</f>
        <v>520101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IFERROR(VLOOKUP(B35,input_520101!L:R,7,FALSE),VLOOKUP(tables_520101!C35,input_520101!A:H,8,FALSE))</f>
        <v>753825</v>
      </c>
      <c r="P35" s="46">
        <f t="shared" ca="1" si="1"/>
        <v>5.7499999999999999E-3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input_520101!A$2</f>
        <v>520101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IFERROR(VLOOKUP(B36,input_520101!L:R,7,FALSE),VLOOKUP(tables_520101!C36,input_520101!A:H,8,FALSE))</f>
        <v>557175</v>
      </c>
      <c r="P36" s="46">
        <f t="shared" ca="1" si="1"/>
        <v>4.2500000000000003E-3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input_520101!A$2</f>
        <v>520101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IFERROR(VLOOKUP(B37,input_520101!L:R,7,FALSE),VLOOKUP(tables_520101!C37,input_520101!A:H,8,FALSE))</f>
        <v>753825</v>
      </c>
      <c r="P37" s="46">
        <f t="shared" ca="1" si="1"/>
        <v>5.7499999999999999E-3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input_520101!A$2</f>
        <v>520101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IFERROR(VLOOKUP(B38,input_520101!L:R,7,FALSE),VLOOKUP(tables_520101!C38,input_520101!A:H,8,FALSE))</f>
        <v>557175</v>
      </c>
      <c r="P38" s="46">
        <f t="shared" ca="1" si="1"/>
        <v>4.2500000000000003E-3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input_520101!A$2</f>
        <v>520101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IFERROR(VLOOKUP(B39,input_520101!L:R,7,FALSE),VLOOKUP(tables_520101!C39,input_520101!A:H,8,FALSE))</f>
        <v>753825</v>
      </c>
      <c r="P39" s="46">
        <f t="shared" ca="1" si="1"/>
        <v>5.7499999999999999E-3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input_520101!A$2</f>
        <v>520101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IFERROR(VLOOKUP(B40,input_520101!L:R,7,FALSE),VLOOKUP(tables_520101!C40,input_520101!A:H,8,FALSE))</f>
        <v>557175</v>
      </c>
      <c r="P40" s="46">
        <f t="shared" ca="1" si="1"/>
        <v>4.2500000000000003E-3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input_520101!A$2</f>
        <v>520101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IFERROR(VLOOKUP(B41,input_520101!L:R,7,FALSE),VLOOKUP(tables_520101!C41,input_520101!A:H,8,FALSE))</f>
        <v>753825</v>
      </c>
      <c r="P41" s="46">
        <f t="shared" ca="1" si="1"/>
        <v>5.7499999999999999E-3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input_520101!A$2</f>
        <v>520101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IFERROR(VLOOKUP(B42,input_520101!L:R,7,FALSE),VLOOKUP(tables_520101!C42,input_520101!A:H,8,FALSE))</f>
        <v>557175</v>
      </c>
      <c r="P42" s="46">
        <f t="shared" ca="1" si="1"/>
        <v>4.2500000000000003E-3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input_520101!A$2</f>
        <v>520101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IFERROR(VLOOKUP(B43,input_520101!L:R,7,FALSE),VLOOKUP(tables_520101!C43,input_520101!A:H,8,FALSE))</f>
        <v>655500</v>
      </c>
      <c r="P43" s="46">
        <f t="shared" ca="1" si="1"/>
        <v>5.0000000000000001E-3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input_520101!A$2</f>
        <v>520101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IFERROR(VLOOKUP(B44,input_520101!L:R,7,FALSE),VLOOKUP(tables_520101!C44,input_520101!A:H,8,FALSE))</f>
        <v>98325</v>
      </c>
      <c r="P44" s="46">
        <f t="shared" ca="1" si="1"/>
        <v>7.5000000000000002E-4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input_520101!A$2</f>
        <v>520101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IFERROR(VLOOKUP(B45,input_520101!L:R,7,FALSE),VLOOKUP(tables_520101!C45,input_520101!A:H,8,FALSE))</f>
        <v>557175</v>
      </c>
      <c r="P45" s="46">
        <f t="shared" ca="1" si="1"/>
        <v>4.2500000000000003E-3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input_520101!A$2</f>
        <v>520101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IFERROR(VLOOKUP(B46,input_520101!L:R,7,FALSE),VLOOKUP(tables_520101!C46,input_520101!A:H,8,FALSE))</f>
        <v>655500</v>
      </c>
      <c r="P46" s="46">
        <f t="shared" ca="1" si="1"/>
        <v>5.0000000000000001E-3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input_520101!A$2</f>
        <v>520101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IFERROR(VLOOKUP(B47,input_520101!L:R,7,FALSE),VLOOKUP(tables_520101!C47,input_520101!A:H,8,FALSE))</f>
        <v>98325</v>
      </c>
      <c r="P47" s="46">
        <f t="shared" ca="1" si="1"/>
        <v>7.5000000000000002E-4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input_520101!A$2</f>
        <v>520101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IFERROR(VLOOKUP(B48,input_520101!L:R,7,FALSE),VLOOKUP(tables_520101!C48,input_520101!A:H,8,FALSE))</f>
        <v>557175</v>
      </c>
      <c r="P48" s="46">
        <f t="shared" ca="1" si="1"/>
        <v>4.2500000000000003E-3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input_520101!A$2</f>
        <v>520101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IFERROR(VLOOKUP(B49,input_520101!L:R,7,FALSE),VLOOKUP(tables_520101!C49,input_520101!A:H,8,FALSE))</f>
        <v>655500</v>
      </c>
      <c r="P49" s="46">
        <f t="shared" ca="1" si="1"/>
        <v>5.0000000000000001E-3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input_520101!A$2</f>
        <v>520101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IFERROR(VLOOKUP(B50,input_520101!L:R,7,FALSE),VLOOKUP(tables_520101!C50,input_520101!A:H,8,FALSE))</f>
        <v>98325</v>
      </c>
      <c r="P50" s="46">
        <f t="shared" ca="1" si="1"/>
        <v>7.5000000000000002E-4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input_520101!A$2</f>
        <v>520101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IFERROR(VLOOKUP(B51,input_520101!L:R,7,FALSE),VLOOKUP(tables_520101!C51,input_520101!A:H,8,FALSE))</f>
        <v>557175</v>
      </c>
      <c r="P51" s="46">
        <f t="shared" ca="1" si="1"/>
        <v>4.2500000000000003E-3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input_520101!A$2</f>
        <v>520101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IFERROR(VLOOKUP(B52,input_520101!L:R,7,FALSE),VLOOKUP(tables_520101!C52,input_520101!A:H,8,FALSE))</f>
        <v>655500</v>
      </c>
      <c r="P52" s="46">
        <f t="shared" ca="1" si="1"/>
        <v>5.0000000000000001E-3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input_520101!A$2</f>
        <v>520101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IFERROR(VLOOKUP(B53,input_520101!L:R,7,FALSE),VLOOKUP(tables_520101!C53,input_520101!A:H,8,FALSE))</f>
        <v>98325</v>
      </c>
      <c r="P53" s="46">
        <f t="shared" ca="1" si="1"/>
        <v>7.5000000000000002E-4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input_520101!A$2</f>
        <v>520101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IFERROR(VLOOKUP(B54,input_520101!L:R,7,FALSE),VLOOKUP(tables_520101!C54,input_520101!A:H,8,FALSE))</f>
        <v>557175</v>
      </c>
      <c r="P54" s="46">
        <f t="shared" ca="1" si="1"/>
        <v>4.2500000000000003E-3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input_520101!A$2</f>
        <v>520101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IFERROR(VLOOKUP(B55,input_520101!L:R,7,FALSE),VLOOKUP(tables_520101!C55,input_520101!A:H,8,FALSE))</f>
        <v>655500</v>
      </c>
      <c r="P55" s="46">
        <f t="shared" ca="1" si="1"/>
        <v>5.0000000000000001E-3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input_520101!A$2</f>
        <v>520101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IFERROR(VLOOKUP(B56,input_520101!L:R,7,FALSE),VLOOKUP(tables_520101!C56,input_520101!A:H,8,FALSE))</f>
        <v>98325</v>
      </c>
      <c r="P56" s="46">
        <f t="shared" ca="1" si="1"/>
        <v>7.5000000000000002E-4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input_520101!A$2</f>
        <v>520101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IFERROR(VLOOKUP(B57,input_520101!L:R,7,FALSE),VLOOKUP(tables_520101!C57,input_520101!A:H,8,FALSE))</f>
        <v>557175</v>
      </c>
      <c r="P57" s="46">
        <f t="shared" ca="1" si="1"/>
        <v>4.2500000000000003E-3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input_520101!A$2</f>
        <v>520101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IFERROR(VLOOKUP(B58,input_520101!L:R,7,FALSE),VLOOKUP(tables_520101!C58,input_520101!A:H,8,FALSE))</f>
        <v>655500</v>
      </c>
      <c r="P58" s="46">
        <f t="shared" ca="1" si="1"/>
        <v>5.0000000000000001E-3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input_520101!A$2</f>
        <v>520101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IFERROR(VLOOKUP(B59,input_520101!L:R,7,FALSE),VLOOKUP(tables_520101!C59,input_520101!A:H,8,FALSE))</f>
        <v>98325</v>
      </c>
      <c r="P59" s="46">
        <f t="shared" ca="1" si="1"/>
        <v>7.5000000000000002E-4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input_520101!A$2</f>
        <v>520101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IFERROR(VLOOKUP(B60,input_520101!L:R,7,FALSE),VLOOKUP(tables_520101!C60,input_520101!A:H,8,FALSE))</f>
        <v>557175</v>
      </c>
      <c r="P60" s="46">
        <f t="shared" ca="1" si="1"/>
        <v>4.2500000000000003E-3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input_520101!A$2</f>
        <v>520101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IFERROR(VLOOKUP(B61,input_520101!L:R,7,FALSE),VLOOKUP(tables_520101!C61,input_520101!A:H,8,FALSE))</f>
        <v>655500</v>
      </c>
      <c r="P61" s="46">
        <f t="shared" ca="1" si="1"/>
        <v>5.0000000000000001E-3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input_520101!A$2</f>
        <v>520101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IFERROR(VLOOKUP(B62,input_520101!L:R,7,FALSE),VLOOKUP(tables_520101!C62,input_520101!A:H,8,FALSE))</f>
        <v>98325</v>
      </c>
      <c r="P62" s="46">
        <f t="shared" ca="1" si="1"/>
        <v>7.5000000000000002E-4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input_520101!A$2</f>
        <v>520101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IFERROR(VLOOKUP(B63,input_520101!L:R,7,FALSE),VLOOKUP(tables_520101!C63,input_520101!A:H,8,FALSE))</f>
        <v>557175</v>
      </c>
      <c r="P63" s="46">
        <f t="shared" ca="1" si="1"/>
        <v>4.2500000000000003E-3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input_520101!A$2</f>
        <v>520101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IFERROR(VLOOKUP(B64,input_520101!L:R,7,FALSE),VLOOKUP(tables_520101!C64,input_520101!A:H,8,FALSE))</f>
        <v>655500</v>
      </c>
      <c r="P64" s="46">
        <f t="shared" ca="1" si="1"/>
        <v>5.0000000000000001E-3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input_520101!A$2</f>
        <v>520101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IFERROR(VLOOKUP(B65,input_520101!L:R,7,FALSE),VLOOKUP(tables_520101!C65,input_520101!A:H,8,FALSE))</f>
        <v>98325</v>
      </c>
      <c r="P65" s="46">
        <f t="shared" ca="1" si="1"/>
        <v>7.5000000000000002E-4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input_520101!A$2</f>
        <v>520101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IFERROR(VLOOKUP(B66,input_520101!L:R,7,FALSE),VLOOKUP(tables_520101!C66,input_520101!A:H,8,FALSE))</f>
        <v>557175</v>
      </c>
      <c r="P66" s="46">
        <f t="shared" ref="P66:P129" ca="1" si="4">O66/SUM(O:O)</f>
        <v>4.2500000000000003E-3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input_520101!A$2</f>
        <v>520101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IFERROR(VLOOKUP(B67,input_520101!L:R,7,FALSE),VLOOKUP(tables_520101!C67,input_520101!A:H,8,FALSE))</f>
        <v>655500</v>
      </c>
      <c r="P67" s="46">
        <f t="shared" ca="1" si="4"/>
        <v>5.0000000000000001E-3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input_520101!A$2</f>
        <v>520101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IFERROR(VLOOKUP(B68,input_520101!L:R,7,FALSE),VLOOKUP(tables_520101!C68,input_520101!A:H,8,FALSE))</f>
        <v>98325</v>
      </c>
      <c r="P68" s="46">
        <f t="shared" ca="1" si="4"/>
        <v>7.5000000000000002E-4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input_520101!A$2</f>
        <v>520101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IFERROR(VLOOKUP(B69,input_520101!L:R,7,FALSE),VLOOKUP(tables_520101!C69,input_520101!A:H,8,FALSE))</f>
        <v>557175</v>
      </c>
      <c r="P69" s="46">
        <f t="shared" ca="1" si="4"/>
        <v>4.2500000000000003E-3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input_520101!A$2</f>
        <v>520101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IFERROR(VLOOKUP(B70,input_520101!L:R,7,FALSE),VLOOKUP(tables_520101!C70,input_520101!A:H,8,FALSE))</f>
        <v>655500</v>
      </c>
      <c r="P70" s="46">
        <f t="shared" ca="1" si="4"/>
        <v>5.0000000000000001E-3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input_520101!A$2</f>
        <v>520101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IFERROR(VLOOKUP(B71,input_520101!L:R,7,FALSE),VLOOKUP(tables_520101!C71,input_520101!A:H,8,FALSE))</f>
        <v>98325</v>
      </c>
      <c r="P71" s="46">
        <f t="shared" ca="1" si="4"/>
        <v>7.5000000000000002E-4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input_520101!A$2</f>
        <v>520101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IFERROR(VLOOKUP(B72,input_520101!L:R,7,FALSE),VLOOKUP(tables_520101!C72,input_520101!A:H,8,FALSE))</f>
        <v>557175</v>
      </c>
      <c r="P72" s="46">
        <f t="shared" ca="1" si="4"/>
        <v>4.2500000000000003E-3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input_520101!A$2</f>
        <v>520101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IFERROR(VLOOKUP(B73,input_520101!L:R,7,FALSE),VLOOKUP(tables_520101!C73,input_520101!A:H,8,FALSE))</f>
        <v>655500</v>
      </c>
      <c r="P73" s="46">
        <f t="shared" ca="1" si="4"/>
        <v>5.0000000000000001E-3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input_520101!A$2</f>
        <v>520101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IFERROR(VLOOKUP(B74,input_520101!L:R,7,FALSE),VLOOKUP(tables_520101!C74,input_520101!A:H,8,FALSE))</f>
        <v>98325</v>
      </c>
      <c r="P74" s="46">
        <f t="shared" ca="1" si="4"/>
        <v>7.5000000000000002E-4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input_520101!A$2</f>
        <v>520101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IFERROR(VLOOKUP(B75,input_520101!L:R,7,FALSE),VLOOKUP(tables_520101!C75,input_520101!A:H,8,FALSE))</f>
        <v>557175</v>
      </c>
      <c r="P75" s="46">
        <f t="shared" ca="1" si="4"/>
        <v>4.2500000000000003E-3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input_520101!A$2</f>
        <v>520101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IFERROR(VLOOKUP(B76,input_520101!L:R,7,FALSE),VLOOKUP(tables_520101!C76,input_520101!A:H,8,FALSE))</f>
        <v>655500</v>
      </c>
      <c r="P76" s="46">
        <f t="shared" ca="1" si="4"/>
        <v>5.0000000000000001E-3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input_520101!A$2</f>
        <v>520101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IFERROR(VLOOKUP(B77,input_520101!L:R,7,FALSE),VLOOKUP(tables_520101!C77,input_520101!A:H,8,FALSE))</f>
        <v>98325</v>
      </c>
      <c r="P77" s="46">
        <f t="shared" ca="1" si="4"/>
        <v>7.5000000000000002E-4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input_520101!A$2</f>
        <v>520101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IFERROR(VLOOKUP(B78,input_520101!L:R,7,FALSE),VLOOKUP(tables_520101!C78,input_520101!A:H,8,FALSE))</f>
        <v>557175</v>
      </c>
      <c r="P78" s="46">
        <f t="shared" ca="1" si="4"/>
        <v>4.2500000000000003E-3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input_520101!A$2</f>
        <v>520101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IFERROR(VLOOKUP(B79,input_520101!L:R,7,FALSE),VLOOKUP(tables_520101!C79,input_520101!A:H,8,FALSE))</f>
        <v>655500</v>
      </c>
      <c r="P79" s="46">
        <f t="shared" ca="1" si="4"/>
        <v>5.0000000000000001E-3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input_520101!A$2</f>
        <v>520101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IFERROR(VLOOKUP(B80,input_520101!L:R,7,FALSE),VLOOKUP(tables_520101!C80,input_520101!A:H,8,FALSE))</f>
        <v>98325</v>
      </c>
      <c r="P80" s="46">
        <f t="shared" ca="1" si="4"/>
        <v>7.5000000000000002E-4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input_520101!A$2</f>
        <v>520101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IFERROR(VLOOKUP(B81,input_520101!L:R,7,FALSE),VLOOKUP(tables_520101!C81,input_520101!A:H,8,FALSE))</f>
        <v>557175</v>
      </c>
      <c r="P81" s="46">
        <f t="shared" ca="1" si="4"/>
        <v>4.2500000000000003E-3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input_520101!A$2</f>
        <v>520101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IFERROR(VLOOKUP(B82,input_520101!L:R,7,FALSE),VLOOKUP(tables_520101!C82,input_520101!A:H,8,FALSE))</f>
        <v>655500</v>
      </c>
      <c r="P82" s="46">
        <f t="shared" ca="1" si="4"/>
        <v>5.0000000000000001E-3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input_520101!A$2</f>
        <v>520101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IFERROR(VLOOKUP(B83,input_520101!L:R,7,FALSE),VLOOKUP(tables_520101!C83,input_520101!A:H,8,FALSE))</f>
        <v>98325</v>
      </c>
      <c r="P83" s="46">
        <f t="shared" ca="1" si="4"/>
        <v>7.5000000000000002E-4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input_520101!A$2</f>
        <v>520101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IFERROR(VLOOKUP(B84,input_520101!L:R,7,FALSE),VLOOKUP(tables_520101!C84,input_520101!A:H,8,FALSE))</f>
        <v>557175</v>
      </c>
      <c r="P84" s="46">
        <f t="shared" ca="1" si="4"/>
        <v>4.2500000000000003E-3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input_520101!A$2</f>
        <v>520101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IFERROR(VLOOKUP(B85,input_520101!L:R,7,FALSE),VLOOKUP(tables_520101!C85,input_520101!A:H,8,FALSE))</f>
        <v>655500</v>
      </c>
      <c r="P85" s="46">
        <f t="shared" ca="1" si="4"/>
        <v>5.0000000000000001E-3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input_520101!A$2</f>
        <v>520101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IFERROR(VLOOKUP(B86,input_520101!L:R,7,FALSE),VLOOKUP(tables_520101!C86,input_520101!A:H,8,FALSE))</f>
        <v>98325</v>
      </c>
      <c r="P86" s="46">
        <f t="shared" ca="1" si="4"/>
        <v>7.5000000000000002E-4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input_520101!A$2</f>
        <v>520101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IFERROR(VLOOKUP(B87,input_520101!L:R,7,FALSE),VLOOKUP(tables_520101!C87,input_520101!A:H,8,FALSE))</f>
        <v>557175</v>
      </c>
      <c r="P87" s="46">
        <f t="shared" ca="1" si="4"/>
        <v>4.2500000000000003E-3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input_520101!A$2</f>
        <v>520101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IFERROR(VLOOKUP(B88,input_520101!L:R,7,FALSE),VLOOKUP(tables_520101!C88,input_520101!A:H,8,FALSE))</f>
        <v>655500</v>
      </c>
      <c r="P88" s="46">
        <f t="shared" ca="1" si="4"/>
        <v>5.0000000000000001E-3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input_520101!A$2</f>
        <v>520101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IFERROR(VLOOKUP(B89,input_520101!L:R,7,FALSE),VLOOKUP(tables_520101!C89,input_520101!A:H,8,FALSE))</f>
        <v>98325</v>
      </c>
      <c r="P89" s="46">
        <f t="shared" ca="1" si="4"/>
        <v>7.5000000000000002E-4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input_520101!A$2</f>
        <v>520101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IFERROR(VLOOKUP(B90,input_520101!L:R,7,FALSE),VLOOKUP(tables_520101!C90,input_520101!A:H,8,FALSE))</f>
        <v>557175</v>
      </c>
      <c r="P90" s="46">
        <f t="shared" ca="1" si="4"/>
        <v>4.2500000000000003E-3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input_520101!A$2</f>
        <v>520101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IFERROR(VLOOKUP(B91,input_520101!L:R,7,FALSE),VLOOKUP(tables_520101!C91,input_520101!A:H,8,FALSE))</f>
        <v>655500</v>
      </c>
      <c r="P91" s="46">
        <f t="shared" ca="1" si="4"/>
        <v>5.0000000000000001E-3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input_520101!A$2</f>
        <v>520101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IFERROR(VLOOKUP(B92,input_520101!L:R,7,FALSE),VLOOKUP(tables_520101!C92,input_520101!A:H,8,FALSE))</f>
        <v>98325</v>
      </c>
      <c r="P92" s="46">
        <f t="shared" ca="1" si="4"/>
        <v>7.5000000000000002E-4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input_520101!A$2</f>
        <v>520101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IFERROR(VLOOKUP(B93,input_520101!L:R,7,FALSE),VLOOKUP(tables_520101!C93,input_520101!A:H,8,FALSE))</f>
        <v>557175</v>
      </c>
      <c r="P93" s="46">
        <f t="shared" ca="1" si="4"/>
        <v>4.2500000000000003E-3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input_520101!A$2</f>
        <v>520101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IFERROR(VLOOKUP(B94,input_520101!L:R,7,FALSE),VLOOKUP(tables_520101!C94,input_520101!A:H,8,FALSE))</f>
        <v>655500</v>
      </c>
      <c r="P94" s="46">
        <f t="shared" ca="1" si="4"/>
        <v>5.0000000000000001E-3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input_520101!A$2</f>
        <v>520101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IFERROR(VLOOKUP(B95,input_520101!L:R,7,FALSE),VLOOKUP(tables_520101!C95,input_520101!A:H,8,FALSE))</f>
        <v>98325</v>
      </c>
      <c r="P95" s="46">
        <f t="shared" ca="1" si="4"/>
        <v>7.5000000000000002E-4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input_520101!A$2</f>
        <v>520101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IFERROR(VLOOKUP(B96,input_520101!L:R,7,FALSE),VLOOKUP(tables_520101!C96,input_520101!A:H,8,FALSE))</f>
        <v>557175</v>
      </c>
      <c r="P96" s="46">
        <f t="shared" ca="1" si="4"/>
        <v>4.2500000000000003E-3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input_520101!A$2</f>
        <v>520101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IFERROR(VLOOKUP(B97,input_520101!L:R,7,FALSE),VLOOKUP(tables_520101!C97,input_520101!A:H,8,FALSE))</f>
        <v>655500</v>
      </c>
      <c r="P97" s="46">
        <f t="shared" ca="1" si="4"/>
        <v>5.0000000000000001E-3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input_520101!A$2</f>
        <v>520101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IFERROR(VLOOKUP(B98,input_520101!L:R,7,FALSE),VLOOKUP(tables_520101!C98,input_520101!A:H,8,FALSE))</f>
        <v>98325</v>
      </c>
      <c r="P98" s="46">
        <f t="shared" ca="1" si="4"/>
        <v>7.5000000000000002E-4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input_520101!A$2</f>
        <v>520101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IFERROR(VLOOKUP(B99,input_520101!L:R,7,FALSE),VLOOKUP(tables_520101!C99,input_520101!A:H,8,FALSE))</f>
        <v>557175</v>
      </c>
      <c r="P99" s="46">
        <f t="shared" ca="1" si="4"/>
        <v>4.2500000000000003E-3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input_520101!A$2</f>
        <v>520101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IFERROR(VLOOKUP(B100,input_520101!L:R,7,FALSE),VLOOKUP(tables_520101!C100,input_520101!A:H,8,FALSE))</f>
        <v>655500</v>
      </c>
      <c r="P100" s="46">
        <f t="shared" ca="1" si="4"/>
        <v>5.0000000000000001E-3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input_520101!A$2</f>
        <v>520101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IFERROR(VLOOKUP(B101,input_520101!L:R,7,FALSE),VLOOKUP(tables_520101!C101,input_520101!A:H,8,FALSE))</f>
        <v>98325</v>
      </c>
      <c r="P101" s="46">
        <f t="shared" ca="1" si="4"/>
        <v>7.5000000000000002E-4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input_520101!A$2</f>
        <v>520101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IFERROR(VLOOKUP(B102,input_520101!L:R,7,FALSE),VLOOKUP(tables_520101!C102,input_520101!A:H,8,FALSE))</f>
        <v>557175</v>
      </c>
      <c r="P102" s="46">
        <f t="shared" ca="1" si="4"/>
        <v>4.2500000000000003E-3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input_520101!A$2</f>
        <v>520101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IFERROR(VLOOKUP(B103,input_520101!L:R,7,FALSE),VLOOKUP(tables_520101!C103,input_520101!A:H,8,FALSE))</f>
        <v>655500</v>
      </c>
      <c r="P103" s="46">
        <f t="shared" ca="1" si="4"/>
        <v>5.0000000000000001E-3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input_520101!A$2</f>
        <v>520101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IFERROR(VLOOKUP(B104,input_520101!L:R,7,FALSE),VLOOKUP(tables_520101!C104,input_520101!A:H,8,FALSE))</f>
        <v>98325</v>
      </c>
      <c r="P104" s="46">
        <f t="shared" ca="1" si="4"/>
        <v>7.5000000000000002E-4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input_520101!A$2</f>
        <v>520101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IFERROR(VLOOKUP(B105,input_520101!L:R,7,FALSE),VLOOKUP(tables_520101!C105,input_520101!A:H,8,FALSE))</f>
        <v>557175</v>
      </c>
      <c r="P105" s="46">
        <f t="shared" ca="1" si="4"/>
        <v>4.2500000000000003E-3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input_520101!A$2</f>
        <v>520101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IFERROR(VLOOKUP(B106,input_520101!L:R,7,FALSE),VLOOKUP(tables_520101!C106,input_520101!A:H,8,FALSE))</f>
        <v>655500</v>
      </c>
      <c r="P106" s="46">
        <f t="shared" ca="1" si="4"/>
        <v>5.0000000000000001E-3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input_520101!A$2</f>
        <v>520101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IFERROR(VLOOKUP(B107,input_520101!L:R,7,FALSE),VLOOKUP(tables_520101!C107,input_520101!A:H,8,FALSE))</f>
        <v>98325</v>
      </c>
      <c r="P107" s="46">
        <f t="shared" ca="1" si="4"/>
        <v>7.5000000000000002E-4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input_520101!A$2</f>
        <v>520101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IFERROR(VLOOKUP(B108,input_520101!L:R,7,FALSE),VLOOKUP(tables_520101!C108,input_520101!A:H,8,FALSE))</f>
        <v>557175</v>
      </c>
      <c r="P108" s="46">
        <f t="shared" ca="1" si="4"/>
        <v>4.2500000000000003E-3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input_520101!A$2</f>
        <v>520101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IFERROR(VLOOKUP(B109,input_520101!L:R,7,FALSE),VLOOKUP(tables_520101!C109,input_520101!A:H,8,FALSE))</f>
        <v>655500</v>
      </c>
      <c r="P109" s="46">
        <f t="shared" ca="1" si="4"/>
        <v>5.0000000000000001E-3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input_520101!A$2</f>
        <v>520101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IFERROR(VLOOKUP(B110,input_520101!L:R,7,FALSE),VLOOKUP(tables_520101!C110,input_520101!A:H,8,FALSE))</f>
        <v>98325</v>
      </c>
      <c r="P110" s="46">
        <f t="shared" ca="1" si="4"/>
        <v>7.5000000000000002E-4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input_520101!A$2</f>
        <v>520101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IFERROR(VLOOKUP(B111,input_520101!L:R,7,FALSE),VLOOKUP(tables_520101!C111,input_520101!A:H,8,FALSE))</f>
        <v>557175</v>
      </c>
      <c r="P111" s="46">
        <f t="shared" ca="1" si="4"/>
        <v>4.2500000000000003E-3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input_520101!A$2</f>
        <v>520101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IFERROR(VLOOKUP(B112,input_520101!L:R,7,FALSE),VLOOKUP(tables_520101!C112,input_520101!A:H,8,FALSE))</f>
        <v>655500</v>
      </c>
      <c r="P112" s="46">
        <f t="shared" ca="1" si="4"/>
        <v>5.0000000000000001E-3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input_520101!A$2</f>
        <v>520101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IFERROR(VLOOKUP(B113,input_520101!L:R,7,FALSE),VLOOKUP(tables_520101!C113,input_520101!A:H,8,FALSE))</f>
        <v>98325</v>
      </c>
      <c r="P113" s="46">
        <f t="shared" ca="1" si="4"/>
        <v>7.5000000000000002E-4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input_520101!A$2</f>
        <v>520101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IFERROR(VLOOKUP(B114,input_520101!L:R,7,FALSE),VLOOKUP(tables_520101!C114,input_520101!A:H,8,FALSE))</f>
        <v>557175</v>
      </c>
      <c r="P114" s="46">
        <f t="shared" ca="1" si="4"/>
        <v>4.2500000000000003E-3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input_520101!A$2</f>
        <v>520101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IFERROR(VLOOKUP(B115,input_520101!L:R,7,FALSE),VLOOKUP(tables_520101!C115,input_520101!A:H,8,FALSE))</f>
        <v>655500</v>
      </c>
      <c r="P115" s="46">
        <f t="shared" ca="1" si="4"/>
        <v>5.0000000000000001E-3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input_520101!A$2</f>
        <v>520101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IFERROR(VLOOKUP(B116,input_520101!L:R,7,FALSE),VLOOKUP(tables_520101!C116,input_520101!A:H,8,FALSE))</f>
        <v>98325</v>
      </c>
      <c r="P116" s="46">
        <f t="shared" ca="1" si="4"/>
        <v>7.5000000000000002E-4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input_520101!A$2</f>
        <v>520101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IFERROR(VLOOKUP(B117,input_520101!L:R,7,FALSE),VLOOKUP(tables_520101!C117,input_520101!A:H,8,FALSE))</f>
        <v>557175</v>
      </c>
      <c r="P117" s="46">
        <f t="shared" ca="1" si="4"/>
        <v>4.2500000000000003E-3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input_520101!A$2</f>
        <v>520101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IFERROR(VLOOKUP(B118,input_520101!L:R,7,FALSE),VLOOKUP(tables_520101!C118,input_520101!A:H,8,FALSE))</f>
        <v>655500</v>
      </c>
      <c r="P118" s="46">
        <f t="shared" ca="1" si="4"/>
        <v>5.0000000000000001E-3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input_520101!A$2</f>
        <v>520101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IFERROR(VLOOKUP(B119,input_520101!L:R,7,FALSE),VLOOKUP(tables_520101!C119,input_520101!A:H,8,FALSE))</f>
        <v>98325</v>
      </c>
      <c r="P119" s="46">
        <f t="shared" ca="1" si="4"/>
        <v>7.5000000000000002E-4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input_520101!A$2</f>
        <v>520101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IFERROR(VLOOKUP(B120,input_520101!L:R,7,FALSE),VLOOKUP(tables_520101!C120,input_520101!A:H,8,FALSE))</f>
        <v>557175</v>
      </c>
      <c r="P120" s="46">
        <f t="shared" ca="1" si="4"/>
        <v>4.2500000000000003E-3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input_520101!A$2</f>
        <v>520101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IFERROR(VLOOKUP(B121,input_520101!L:R,7,FALSE),VLOOKUP(tables_520101!C121,input_520101!A:H,8,FALSE))</f>
        <v>655500</v>
      </c>
      <c r="P121" s="46">
        <f t="shared" ca="1" si="4"/>
        <v>5.0000000000000001E-3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input_520101!A$2</f>
        <v>520101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IFERROR(VLOOKUP(B122,input_520101!L:R,7,FALSE),VLOOKUP(tables_520101!C122,input_520101!A:H,8,FALSE))</f>
        <v>98325</v>
      </c>
      <c r="P122" s="46">
        <f t="shared" ca="1" si="4"/>
        <v>7.5000000000000002E-4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input_520101!A$2</f>
        <v>520101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IFERROR(VLOOKUP(B123,input_520101!L:R,7,FALSE),VLOOKUP(tables_520101!C123,input_520101!A:H,8,FALSE))</f>
        <v>557175</v>
      </c>
      <c r="P123" s="46">
        <f t="shared" ca="1" si="4"/>
        <v>4.2500000000000003E-3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input_520101!A$2</f>
        <v>520101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IFERROR(VLOOKUP(B124,input_520101!L:R,7,FALSE),VLOOKUP(tables_520101!C124,input_520101!A:H,8,FALSE))</f>
        <v>655500</v>
      </c>
      <c r="P124" s="46">
        <f t="shared" ca="1" si="4"/>
        <v>5.0000000000000001E-3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input_520101!A$2</f>
        <v>520101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IFERROR(VLOOKUP(B125,input_520101!L:R,7,FALSE),VLOOKUP(tables_520101!C125,input_520101!A:H,8,FALSE))</f>
        <v>98325</v>
      </c>
      <c r="P125" s="46">
        <f t="shared" ca="1" si="4"/>
        <v>7.5000000000000002E-4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input_520101!A$2</f>
        <v>520101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IFERROR(VLOOKUP(B126,input_520101!L:R,7,FALSE),VLOOKUP(tables_520101!C126,input_520101!A:H,8,FALSE))</f>
        <v>557175</v>
      </c>
      <c r="P126" s="46">
        <f t="shared" ca="1" si="4"/>
        <v>4.2500000000000003E-3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input_520101!A$2</f>
        <v>520101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IFERROR(VLOOKUP(B127,input_520101!L:R,7,FALSE),VLOOKUP(tables_520101!C127,input_520101!A:H,8,FALSE))</f>
        <v>655500</v>
      </c>
      <c r="P127" s="46">
        <f t="shared" ca="1" si="4"/>
        <v>5.0000000000000001E-3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input_520101!A$2</f>
        <v>520101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IFERROR(VLOOKUP(B128,input_520101!L:R,7,FALSE),VLOOKUP(tables_520101!C128,input_520101!A:H,8,FALSE))</f>
        <v>98325</v>
      </c>
      <c r="P128" s="46">
        <f t="shared" ca="1" si="4"/>
        <v>7.5000000000000002E-4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input_520101!A$2</f>
        <v>520101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IFERROR(VLOOKUP(B129,input_520101!L:R,7,FALSE),VLOOKUP(tables_520101!C129,input_520101!A:H,8,FALSE))</f>
        <v>557175</v>
      </c>
      <c r="P129" s="46">
        <f t="shared" ca="1" si="4"/>
        <v>4.2500000000000003E-3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input_520101!A$2</f>
        <v>520101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IFERROR(VLOOKUP(B130,input_520101!L:R,7,FALSE),VLOOKUP(tables_520101!C130,input_520101!A:H,8,FALSE))</f>
        <v>655500</v>
      </c>
      <c r="P130" s="46">
        <f t="shared" ref="P130:P193" ca="1" si="7">O130/SUM(O:O)</f>
        <v>5.0000000000000001E-3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input_520101!A$2</f>
        <v>520101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IFERROR(VLOOKUP(B131,input_520101!L:R,7,FALSE),VLOOKUP(tables_520101!C131,input_520101!A:H,8,FALSE))</f>
        <v>98325</v>
      </c>
      <c r="P131" s="46">
        <f t="shared" ca="1" si="7"/>
        <v>7.5000000000000002E-4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input_520101!A$2</f>
        <v>520101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IFERROR(VLOOKUP(B132,input_520101!L:R,7,FALSE),VLOOKUP(tables_520101!C132,input_520101!A:H,8,FALSE))</f>
        <v>557175</v>
      </c>
      <c r="P132" s="46">
        <f t="shared" ca="1" si="7"/>
        <v>4.2500000000000003E-3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input_520101!A$2</f>
        <v>520101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IFERROR(VLOOKUP(B133,input_520101!L:R,7,FALSE),VLOOKUP(tables_520101!C133,input_520101!A:H,8,FALSE))</f>
        <v>655500</v>
      </c>
      <c r="P133" s="46">
        <f t="shared" ca="1" si="7"/>
        <v>5.0000000000000001E-3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input_520101!A$2</f>
        <v>520101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IFERROR(VLOOKUP(B134,input_520101!L:R,7,FALSE),VLOOKUP(tables_520101!C134,input_520101!A:H,8,FALSE))</f>
        <v>98325</v>
      </c>
      <c r="P134" s="46">
        <f t="shared" ca="1" si="7"/>
        <v>7.5000000000000002E-4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input_520101!A$2</f>
        <v>520101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IFERROR(VLOOKUP(B135,input_520101!L:R,7,FALSE),VLOOKUP(tables_520101!C135,input_520101!A:H,8,FALSE))</f>
        <v>557175</v>
      </c>
      <c r="P135" s="46">
        <f t="shared" ca="1" si="7"/>
        <v>4.2500000000000003E-3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input_520101!A$2</f>
        <v>520101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IFERROR(VLOOKUP(B136,input_520101!L:R,7,FALSE),VLOOKUP(tables_520101!C136,input_520101!A:H,8,FALSE))</f>
        <v>655500</v>
      </c>
      <c r="P136" s="46">
        <f t="shared" ca="1" si="7"/>
        <v>5.0000000000000001E-3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input_520101!A$2</f>
        <v>520101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IFERROR(VLOOKUP(B137,input_520101!L:R,7,FALSE),VLOOKUP(tables_520101!C137,input_520101!A:H,8,FALSE))</f>
        <v>98325</v>
      </c>
      <c r="P137" s="46">
        <f t="shared" ca="1" si="7"/>
        <v>7.5000000000000002E-4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input_520101!A$2</f>
        <v>520101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IFERROR(VLOOKUP(B138,input_520101!L:R,7,FALSE),VLOOKUP(tables_520101!C138,input_520101!A:H,8,FALSE))</f>
        <v>87875</v>
      </c>
      <c r="P138" s="46">
        <f t="shared" ca="1" si="7"/>
        <v>6.7028985507246381E-4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input_520101!A$2</f>
        <v>520101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IFERROR(VLOOKUP(B139,input_520101!L:R,7,FALSE),VLOOKUP(tables_520101!C139,input_520101!A:H,8,FALSE))</f>
        <v>7125</v>
      </c>
      <c r="P139" s="46">
        <f t="shared" ca="1" si="7"/>
        <v>5.4347826086956524E-5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input_520101!A$2</f>
        <v>520101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IFERROR(VLOOKUP(B140,input_520101!L:R,7,FALSE),VLOOKUP(tables_520101!C140,input_520101!A:H,8,FALSE))</f>
        <v>87875</v>
      </c>
      <c r="P140" s="46">
        <f t="shared" ca="1" si="7"/>
        <v>6.7028985507246381E-4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input_520101!A$2</f>
        <v>520101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IFERROR(VLOOKUP(B141,input_520101!L:R,7,FALSE),VLOOKUP(tables_520101!C141,input_520101!A:H,8,FALSE))</f>
        <v>7125</v>
      </c>
      <c r="P141" s="46">
        <f t="shared" ca="1" si="7"/>
        <v>5.4347826086956524E-5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input_520101!A$2</f>
        <v>520101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IFERROR(VLOOKUP(B142,input_520101!L:R,7,FALSE),VLOOKUP(tables_520101!C142,input_520101!A:H,8,FALSE))</f>
        <v>87875</v>
      </c>
      <c r="P142" s="46">
        <f t="shared" ca="1" si="7"/>
        <v>6.7028985507246381E-4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input_520101!A$2</f>
        <v>520101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IFERROR(VLOOKUP(B143,input_520101!L:R,7,FALSE),VLOOKUP(tables_520101!C143,input_520101!A:H,8,FALSE))</f>
        <v>7125</v>
      </c>
      <c r="P143" s="46">
        <f t="shared" ca="1" si="7"/>
        <v>5.4347826086956524E-5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input_520101!A$2</f>
        <v>520101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IFERROR(VLOOKUP(B144,input_520101!L:R,7,FALSE),VLOOKUP(tables_520101!C144,input_520101!A:H,8,FALSE))</f>
        <v>87875</v>
      </c>
      <c r="P144" s="46">
        <f t="shared" ca="1" si="7"/>
        <v>6.7028985507246381E-4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input_520101!A$2</f>
        <v>520101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IFERROR(VLOOKUP(B145,input_520101!L:R,7,FALSE),VLOOKUP(tables_520101!C145,input_520101!A:H,8,FALSE))</f>
        <v>7125</v>
      </c>
      <c r="P145" s="46">
        <f t="shared" ca="1" si="7"/>
        <v>5.4347826086956524E-5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input_520101!A$2</f>
        <v>520101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IFERROR(VLOOKUP(B146,input_520101!L:R,7,FALSE),VLOOKUP(tables_520101!C146,input_520101!A:H,8,FALSE))</f>
        <v>557175</v>
      </c>
      <c r="P146" s="46">
        <f t="shared" ca="1" si="7"/>
        <v>4.2500000000000003E-3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input_520101!A$2</f>
        <v>520101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IFERROR(VLOOKUP(B147,input_520101!L:R,7,FALSE),VLOOKUP(tables_520101!C147,input_520101!A:H,8,FALSE))</f>
        <v>655500</v>
      </c>
      <c r="P147" s="46">
        <f t="shared" ca="1" si="7"/>
        <v>5.0000000000000001E-3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input_520101!A$2</f>
        <v>520101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IFERROR(VLOOKUP(B148,input_520101!L:R,7,FALSE),VLOOKUP(tables_520101!C148,input_520101!A:H,8,FALSE))</f>
        <v>98325</v>
      </c>
      <c r="P148" s="46">
        <f t="shared" ca="1" si="7"/>
        <v>7.5000000000000002E-4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input_520101!A$2</f>
        <v>520101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IFERROR(VLOOKUP(B149,input_520101!L:R,7,FALSE),VLOOKUP(tables_520101!C149,input_520101!A:H,8,FALSE))</f>
        <v>87875</v>
      </c>
      <c r="P149" s="46">
        <f t="shared" ca="1" si="7"/>
        <v>6.7028985507246381E-4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input_520101!A$2</f>
        <v>520101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IFERROR(VLOOKUP(B150,input_520101!L:R,7,FALSE),VLOOKUP(tables_520101!C150,input_520101!A:H,8,FALSE))</f>
        <v>7125</v>
      </c>
      <c r="P150" s="46">
        <f t="shared" ca="1" si="7"/>
        <v>5.4347826086956524E-5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input_520101!A$2</f>
        <v>520101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IFERROR(VLOOKUP(B151,input_520101!L:R,7,FALSE),VLOOKUP(tables_520101!C151,input_520101!A:H,8,FALSE))</f>
        <v>87875</v>
      </c>
      <c r="P151" s="46">
        <f t="shared" ca="1" si="7"/>
        <v>6.7028985507246381E-4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input_520101!A$2</f>
        <v>520101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IFERROR(VLOOKUP(B152,input_520101!L:R,7,FALSE),VLOOKUP(tables_520101!C152,input_520101!A:H,8,FALSE))</f>
        <v>7125</v>
      </c>
      <c r="P152" s="46">
        <f t="shared" ca="1" si="7"/>
        <v>5.4347826086956524E-5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input_520101!A$2</f>
        <v>520101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IFERROR(VLOOKUP(B153,input_520101!L:R,7,FALSE),VLOOKUP(tables_520101!C153,input_520101!A:H,8,FALSE))</f>
        <v>557175</v>
      </c>
      <c r="P153" s="46">
        <f t="shared" ca="1" si="7"/>
        <v>4.2500000000000003E-3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input_520101!A$2</f>
        <v>520101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IFERROR(VLOOKUP(B154,input_520101!L:R,7,FALSE),VLOOKUP(tables_520101!C154,input_520101!A:H,8,FALSE))</f>
        <v>655500</v>
      </c>
      <c r="P154" s="46">
        <f t="shared" ca="1" si="7"/>
        <v>5.0000000000000001E-3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input_520101!A$2</f>
        <v>520101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IFERROR(VLOOKUP(B155,input_520101!L:R,7,FALSE),VLOOKUP(tables_520101!C155,input_520101!A:H,8,FALSE))</f>
        <v>98325</v>
      </c>
      <c r="P155" s="46">
        <f t="shared" ca="1" si="7"/>
        <v>7.5000000000000002E-4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input_520101!A$2</f>
        <v>520101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IFERROR(VLOOKUP(B156,input_520101!L:R,7,FALSE),VLOOKUP(tables_520101!C156,input_520101!A:H,8,FALSE))</f>
        <v>87875</v>
      </c>
      <c r="P156" s="46">
        <f t="shared" ca="1" si="7"/>
        <v>6.7028985507246381E-4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input_520101!A$2</f>
        <v>520101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IFERROR(VLOOKUP(B157,input_520101!L:R,7,FALSE),VLOOKUP(tables_520101!C157,input_520101!A:H,8,FALSE))</f>
        <v>7125</v>
      </c>
      <c r="P157" s="46">
        <f t="shared" ca="1" si="7"/>
        <v>5.4347826086956524E-5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input_520101!A$2</f>
        <v>520101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IFERROR(VLOOKUP(B158,input_520101!L:R,7,FALSE),VLOOKUP(tables_520101!C158,input_520101!A:H,8,FALSE))</f>
        <v>557175</v>
      </c>
      <c r="P158" s="46">
        <f t="shared" ca="1" si="7"/>
        <v>4.2500000000000003E-3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input_520101!A$2</f>
        <v>520101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IFERROR(VLOOKUP(B159,input_520101!L:R,7,FALSE),VLOOKUP(tables_520101!C159,input_520101!A:H,8,FALSE))</f>
        <v>655500</v>
      </c>
      <c r="P159" s="46">
        <f t="shared" ca="1" si="7"/>
        <v>5.0000000000000001E-3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input_520101!A$2</f>
        <v>520101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IFERROR(VLOOKUP(B160,input_520101!L:R,7,FALSE),VLOOKUP(tables_520101!C160,input_520101!A:H,8,FALSE))</f>
        <v>98325</v>
      </c>
      <c r="P160" s="46">
        <f t="shared" ca="1" si="7"/>
        <v>7.5000000000000002E-4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input_520101!A$2</f>
        <v>520101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IFERROR(VLOOKUP(B161,input_520101!L:R,7,FALSE),VLOOKUP(tables_520101!C161,input_520101!A:H,8,FALSE))</f>
        <v>557175</v>
      </c>
      <c r="P161" s="46">
        <f t="shared" ca="1" si="7"/>
        <v>4.2500000000000003E-3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input_520101!A$2</f>
        <v>520101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IFERROR(VLOOKUP(B162,input_520101!L:R,7,FALSE),VLOOKUP(tables_520101!C162,input_520101!A:H,8,FALSE))</f>
        <v>655500</v>
      </c>
      <c r="P162" s="46">
        <f t="shared" ca="1" si="7"/>
        <v>5.0000000000000001E-3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input_520101!A$2</f>
        <v>520101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IFERROR(VLOOKUP(B163,input_520101!L:R,7,FALSE),VLOOKUP(tables_520101!C163,input_520101!A:H,8,FALSE))</f>
        <v>98325</v>
      </c>
      <c r="P163" s="46">
        <f t="shared" ca="1" si="7"/>
        <v>7.5000000000000002E-4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input_520101!A$2</f>
        <v>520101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IFERROR(VLOOKUP(B164,input_520101!L:R,7,FALSE),VLOOKUP(tables_520101!C164,input_520101!A:H,8,FALSE))</f>
        <v>87875</v>
      </c>
      <c r="P164" s="46">
        <f t="shared" ca="1" si="7"/>
        <v>6.7028985507246381E-4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input_520101!A$2</f>
        <v>520101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IFERROR(VLOOKUP(B165,input_520101!L:R,7,FALSE),VLOOKUP(tables_520101!C165,input_520101!A:H,8,FALSE))</f>
        <v>7125</v>
      </c>
      <c r="P165" s="46">
        <f t="shared" ca="1" si="7"/>
        <v>5.4347826086956524E-5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input_520101!A$2</f>
        <v>520101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IFERROR(VLOOKUP(B166,input_520101!L:R,7,FALSE),VLOOKUP(tables_520101!C166,input_520101!A:H,8,FALSE))</f>
        <v>557175</v>
      </c>
      <c r="P166" s="46">
        <f t="shared" ca="1" si="7"/>
        <v>4.2500000000000003E-3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input_520101!A$2</f>
        <v>520101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IFERROR(VLOOKUP(B167,input_520101!L:R,7,FALSE),VLOOKUP(tables_520101!C167,input_520101!A:H,8,FALSE))</f>
        <v>655500</v>
      </c>
      <c r="P167" s="46">
        <f t="shared" ca="1" si="7"/>
        <v>5.0000000000000001E-3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input_520101!A$2</f>
        <v>520101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IFERROR(VLOOKUP(B168,input_520101!L:R,7,FALSE),VLOOKUP(tables_520101!C168,input_520101!A:H,8,FALSE))</f>
        <v>98325</v>
      </c>
      <c r="P168" s="46">
        <f t="shared" ca="1" si="7"/>
        <v>7.5000000000000002E-4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input_520101!A$2</f>
        <v>520101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IFERROR(VLOOKUP(B169,input_520101!L:R,7,FALSE),VLOOKUP(tables_520101!C169,input_520101!A:H,8,FALSE))</f>
        <v>87875</v>
      </c>
      <c r="P169" s="46">
        <f t="shared" ca="1" si="7"/>
        <v>6.7028985507246381E-4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input_520101!A$2</f>
        <v>520101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IFERROR(VLOOKUP(B170,input_520101!L:R,7,FALSE),VLOOKUP(tables_520101!C170,input_520101!A:H,8,FALSE))</f>
        <v>7125</v>
      </c>
      <c r="P170" s="46">
        <f t="shared" ca="1" si="7"/>
        <v>5.4347826086956524E-5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input_520101!A$2</f>
        <v>520101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IFERROR(VLOOKUP(B171,input_520101!L:R,7,FALSE),VLOOKUP(tables_520101!C171,input_520101!A:H,8,FALSE))</f>
        <v>557175</v>
      </c>
      <c r="P171" s="46">
        <f t="shared" ca="1" si="7"/>
        <v>4.2500000000000003E-3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input_520101!A$2</f>
        <v>520101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IFERROR(VLOOKUP(B172,input_520101!L:R,7,FALSE),VLOOKUP(tables_520101!C172,input_520101!A:H,8,FALSE))</f>
        <v>655500</v>
      </c>
      <c r="P172" s="46">
        <f t="shared" ca="1" si="7"/>
        <v>5.0000000000000001E-3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input_520101!A$2</f>
        <v>520101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IFERROR(VLOOKUP(B173,input_520101!L:R,7,FALSE),VLOOKUP(tables_520101!C173,input_520101!A:H,8,FALSE))</f>
        <v>98325</v>
      </c>
      <c r="P173" s="46">
        <f t="shared" ca="1" si="7"/>
        <v>7.5000000000000002E-4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input_520101!A$2</f>
        <v>520101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IFERROR(VLOOKUP(B174,input_520101!L:R,7,FALSE),VLOOKUP(tables_520101!C174,input_520101!A:H,8,FALSE))</f>
        <v>87875</v>
      </c>
      <c r="P174" s="46">
        <f t="shared" ca="1" si="7"/>
        <v>6.7028985507246381E-4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input_520101!A$2</f>
        <v>520101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IFERROR(VLOOKUP(B175,input_520101!L:R,7,FALSE),VLOOKUP(tables_520101!C175,input_520101!A:H,8,FALSE))</f>
        <v>7125</v>
      </c>
      <c r="P175" s="46">
        <f t="shared" ca="1" si="7"/>
        <v>5.4347826086956524E-5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input_520101!A$2</f>
        <v>520101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IFERROR(VLOOKUP(B176,input_520101!L:R,7,FALSE),VLOOKUP(tables_520101!C176,input_520101!A:H,8,FALSE))</f>
        <v>87875</v>
      </c>
      <c r="P176" s="46">
        <f t="shared" ca="1" si="7"/>
        <v>6.7028985507246381E-4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input_520101!A$2</f>
        <v>520101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IFERROR(VLOOKUP(B177,input_520101!L:R,7,FALSE),VLOOKUP(tables_520101!C177,input_520101!A:H,8,FALSE))</f>
        <v>7125</v>
      </c>
      <c r="P177" s="46">
        <f t="shared" ca="1" si="7"/>
        <v>5.4347826086956524E-5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input_520101!A$2</f>
        <v>520101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IFERROR(VLOOKUP(B178,input_520101!L:R,7,FALSE),VLOOKUP(tables_520101!C178,input_520101!A:H,8,FALSE))</f>
        <v>557175</v>
      </c>
      <c r="P178" s="46">
        <f t="shared" ca="1" si="7"/>
        <v>4.2500000000000003E-3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input_520101!A$2</f>
        <v>520101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IFERROR(VLOOKUP(B179,input_520101!L:R,7,FALSE),VLOOKUP(tables_520101!C179,input_520101!A:H,8,FALSE))</f>
        <v>655500</v>
      </c>
      <c r="P179" s="46">
        <f t="shared" ca="1" si="7"/>
        <v>5.0000000000000001E-3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input_520101!A$2</f>
        <v>520101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IFERROR(VLOOKUP(B180,input_520101!L:R,7,FALSE),VLOOKUP(tables_520101!C180,input_520101!A:H,8,FALSE))</f>
        <v>98325</v>
      </c>
      <c r="P180" s="46">
        <f t="shared" ca="1" si="7"/>
        <v>7.5000000000000002E-4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input_520101!A$2</f>
        <v>520101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IFERROR(VLOOKUP(B181,input_520101!L:R,7,FALSE),VLOOKUP(tables_520101!C181,input_520101!A:H,8,FALSE))</f>
        <v>557175</v>
      </c>
      <c r="P181" s="46">
        <f t="shared" ca="1" si="7"/>
        <v>4.2500000000000003E-3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input_520101!A$2</f>
        <v>520101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IFERROR(VLOOKUP(B182,input_520101!L:R,7,FALSE),VLOOKUP(tables_520101!C182,input_520101!A:H,8,FALSE))</f>
        <v>655500</v>
      </c>
      <c r="P182" s="46">
        <f t="shared" ca="1" si="7"/>
        <v>5.0000000000000001E-3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input_520101!A$2</f>
        <v>520101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IFERROR(VLOOKUP(B183,input_520101!L:R,7,FALSE),VLOOKUP(tables_520101!C183,input_520101!A:H,8,FALSE))</f>
        <v>98325</v>
      </c>
      <c r="P183" s="46">
        <f t="shared" ca="1" si="7"/>
        <v>7.5000000000000002E-4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input_520101!A$2</f>
        <v>520101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IFERROR(VLOOKUP(B184,input_520101!L:R,7,FALSE),VLOOKUP(tables_520101!C184,input_520101!A:H,8,FALSE))</f>
        <v>87875</v>
      </c>
      <c r="P184" s="46">
        <f t="shared" ca="1" si="7"/>
        <v>6.7028985507246381E-4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input_520101!A$2</f>
        <v>520101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IFERROR(VLOOKUP(B185,input_520101!L:R,7,FALSE),VLOOKUP(tables_520101!C185,input_520101!A:H,8,FALSE))</f>
        <v>7125</v>
      </c>
      <c r="P185" s="46">
        <f t="shared" ca="1" si="7"/>
        <v>5.4347826086956524E-5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input_520101!A$2</f>
        <v>520101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IFERROR(VLOOKUP(B186,input_520101!L:R,7,FALSE),VLOOKUP(tables_520101!C186,input_520101!A:H,8,FALSE))</f>
        <v>557175</v>
      </c>
      <c r="P186" s="46">
        <f t="shared" ca="1" si="7"/>
        <v>4.2500000000000003E-3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input_520101!A$2</f>
        <v>520101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IFERROR(VLOOKUP(B187,input_520101!L:R,7,FALSE),VLOOKUP(tables_520101!C187,input_520101!A:H,8,FALSE))</f>
        <v>655500</v>
      </c>
      <c r="P187" s="46">
        <f t="shared" ca="1" si="7"/>
        <v>5.0000000000000001E-3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input_520101!A$2</f>
        <v>520101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IFERROR(VLOOKUP(B188,input_520101!L:R,7,FALSE),VLOOKUP(tables_520101!C188,input_520101!A:H,8,FALSE))</f>
        <v>98325</v>
      </c>
      <c r="P188" s="46">
        <f t="shared" ca="1" si="7"/>
        <v>7.5000000000000002E-4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input_520101!A$2</f>
        <v>520101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IFERROR(VLOOKUP(B189,input_520101!L:R,7,FALSE),VLOOKUP(tables_520101!C189,input_520101!A:H,8,FALSE))</f>
        <v>87875</v>
      </c>
      <c r="P189" s="46">
        <f t="shared" ca="1" si="7"/>
        <v>6.7028985507246381E-4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input_520101!A$2</f>
        <v>520101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IFERROR(VLOOKUP(B190,input_520101!L:R,7,FALSE),VLOOKUP(tables_520101!C190,input_520101!A:H,8,FALSE))</f>
        <v>7125</v>
      </c>
      <c r="P190" s="46">
        <f t="shared" ca="1" si="7"/>
        <v>5.4347826086956524E-5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input_520101!A$2</f>
        <v>520101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IFERROR(VLOOKUP(B191,input_520101!L:R,7,FALSE),VLOOKUP(tables_520101!C191,input_520101!A:H,8,FALSE))</f>
        <v>87875</v>
      </c>
      <c r="P191" s="46">
        <f t="shared" ca="1" si="7"/>
        <v>6.7028985507246381E-4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input_520101!A$2</f>
        <v>520101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IFERROR(VLOOKUP(B192,input_520101!L:R,7,FALSE),VLOOKUP(tables_520101!C192,input_520101!A:H,8,FALSE))</f>
        <v>7125</v>
      </c>
      <c r="P192" s="46">
        <f t="shared" ca="1" si="7"/>
        <v>5.4347826086956524E-5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input_520101!A$2</f>
        <v>520101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IFERROR(VLOOKUP(B193,input_520101!L:R,7,FALSE),VLOOKUP(tables_520101!C193,input_520101!A:H,8,FALSE))</f>
        <v>557175</v>
      </c>
      <c r="P193" s="46">
        <f t="shared" ca="1" si="7"/>
        <v>4.2500000000000003E-3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input_520101!A$2</f>
        <v>520101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IFERROR(VLOOKUP(B194,input_520101!L:R,7,FALSE),VLOOKUP(tables_520101!C194,input_520101!A:H,8,FALSE))</f>
        <v>655500</v>
      </c>
      <c r="P194" s="46">
        <f t="shared" ref="P194:P257" ca="1" si="10">O194/SUM(O:O)</f>
        <v>5.0000000000000001E-3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input_520101!A$2</f>
        <v>520101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IFERROR(VLOOKUP(B195,input_520101!L:R,7,FALSE),VLOOKUP(tables_520101!C195,input_520101!A:H,8,FALSE))</f>
        <v>98325</v>
      </c>
      <c r="P195" s="46">
        <f t="shared" ca="1" si="10"/>
        <v>7.5000000000000002E-4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input_520101!A$2</f>
        <v>520101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IFERROR(VLOOKUP(B196,input_520101!L:R,7,FALSE),VLOOKUP(tables_520101!C196,input_520101!A:H,8,FALSE))</f>
        <v>87875</v>
      </c>
      <c r="P196" s="46">
        <f t="shared" ca="1" si="10"/>
        <v>6.7028985507246381E-4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input_520101!A$2</f>
        <v>520101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IFERROR(VLOOKUP(B197,input_520101!L:R,7,FALSE),VLOOKUP(tables_520101!C197,input_520101!A:H,8,FALSE))</f>
        <v>7125</v>
      </c>
      <c r="P197" s="46">
        <f t="shared" ca="1" si="10"/>
        <v>5.4347826086956524E-5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input_520101!A$2</f>
        <v>520101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IFERROR(VLOOKUP(B198,input_520101!L:R,7,FALSE),VLOOKUP(tables_520101!C198,input_520101!A:H,8,FALSE))</f>
        <v>557175</v>
      </c>
      <c r="P198" s="46">
        <f t="shared" ca="1" si="10"/>
        <v>4.2500000000000003E-3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input_520101!A$2</f>
        <v>520101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IFERROR(VLOOKUP(B199,input_520101!L:R,7,FALSE),VLOOKUP(tables_520101!C199,input_520101!A:H,8,FALSE))</f>
        <v>655500</v>
      </c>
      <c r="P199" s="46">
        <f t="shared" ca="1" si="10"/>
        <v>5.0000000000000001E-3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input_520101!A$2</f>
        <v>520101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IFERROR(VLOOKUP(B200,input_520101!L:R,7,FALSE),VLOOKUP(tables_520101!C200,input_520101!A:H,8,FALSE))</f>
        <v>98325</v>
      </c>
      <c r="P200" s="46">
        <f t="shared" ca="1" si="10"/>
        <v>7.5000000000000002E-4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input_520101!A$2</f>
        <v>520101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IFERROR(VLOOKUP(B201,input_520101!L:R,7,FALSE),VLOOKUP(tables_520101!C201,input_520101!A:H,8,FALSE))</f>
        <v>87875</v>
      </c>
      <c r="P201" s="46">
        <f t="shared" ca="1" si="10"/>
        <v>6.7028985507246381E-4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input_520101!A$2</f>
        <v>520101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IFERROR(VLOOKUP(B202,input_520101!L:R,7,FALSE),VLOOKUP(tables_520101!C202,input_520101!A:H,8,FALSE))</f>
        <v>7125</v>
      </c>
      <c r="P202" s="46">
        <f t="shared" ca="1" si="10"/>
        <v>5.4347826086956524E-5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input_520101!A$2</f>
        <v>520101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IFERROR(VLOOKUP(B203,input_520101!L:R,7,FALSE),VLOOKUP(tables_520101!C203,input_520101!A:H,8,FALSE))</f>
        <v>557175</v>
      </c>
      <c r="P203" s="46">
        <f t="shared" ca="1" si="10"/>
        <v>4.2500000000000003E-3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input_520101!A$2</f>
        <v>520101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IFERROR(VLOOKUP(B204,input_520101!L:R,7,FALSE),VLOOKUP(tables_520101!C204,input_520101!A:H,8,FALSE))</f>
        <v>655500</v>
      </c>
      <c r="P204" s="46">
        <f t="shared" ca="1" si="10"/>
        <v>5.0000000000000001E-3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input_520101!A$2</f>
        <v>520101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IFERROR(VLOOKUP(B205,input_520101!L:R,7,FALSE),VLOOKUP(tables_520101!C205,input_520101!A:H,8,FALSE))</f>
        <v>98325</v>
      </c>
      <c r="P205" s="46">
        <f t="shared" ca="1" si="10"/>
        <v>7.5000000000000002E-4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input_520101!A$2</f>
        <v>520101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IFERROR(VLOOKUP(B206,input_520101!L:R,7,FALSE),VLOOKUP(tables_520101!C206,input_520101!A:H,8,FALSE))</f>
        <v>87875</v>
      </c>
      <c r="P206" s="46">
        <f t="shared" ca="1" si="10"/>
        <v>6.7028985507246381E-4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input_520101!A$2</f>
        <v>520101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IFERROR(VLOOKUP(B207,input_520101!L:R,7,FALSE),VLOOKUP(tables_520101!C207,input_520101!A:H,8,FALSE))</f>
        <v>7125</v>
      </c>
      <c r="P207" s="46">
        <f t="shared" ca="1" si="10"/>
        <v>5.4347826086956524E-5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input_520101!A$2</f>
        <v>520101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IFERROR(VLOOKUP(B208,input_520101!L:R,7,FALSE),VLOOKUP(tables_520101!C208,input_520101!A:H,8,FALSE))</f>
        <v>87875</v>
      </c>
      <c r="P208" s="46">
        <f t="shared" ca="1" si="10"/>
        <v>6.7028985507246381E-4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input_520101!A$2</f>
        <v>520101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IFERROR(VLOOKUP(B209,input_520101!L:R,7,FALSE),VLOOKUP(tables_520101!C209,input_520101!A:H,8,FALSE))</f>
        <v>7125</v>
      </c>
      <c r="P209" s="46">
        <f t="shared" ca="1" si="10"/>
        <v>5.4347826086956524E-5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input_520101!A$2</f>
        <v>520101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IFERROR(VLOOKUP(B210,input_520101!L:R,7,FALSE),VLOOKUP(tables_520101!C210,input_520101!A:H,8,FALSE))</f>
        <v>557175</v>
      </c>
      <c r="P210" s="46">
        <f t="shared" ca="1" si="10"/>
        <v>4.2500000000000003E-3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input_520101!A$2</f>
        <v>520101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IFERROR(VLOOKUP(B211,input_520101!L:R,7,FALSE),VLOOKUP(tables_520101!C211,input_520101!A:H,8,FALSE))</f>
        <v>655500</v>
      </c>
      <c r="P211" s="46">
        <f t="shared" ca="1" si="10"/>
        <v>5.0000000000000001E-3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input_520101!A$2</f>
        <v>520101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IFERROR(VLOOKUP(B212,input_520101!L:R,7,FALSE),VLOOKUP(tables_520101!C212,input_520101!A:H,8,FALSE))</f>
        <v>98325</v>
      </c>
      <c r="P212" s="46">
        <f t="shared" ca="1" si="10"/>
        <v>7.5000000000000002E-4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input_520101!A$2</f>
        <v>520101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IFERROR(VLOOKUP(B213,input_520101!L:R,7,FALSE),VLOOKUP(tables_520101!C213,input_520101!A:H,8,FALSE))</f>
        <v>87875</v>
      </c>
      <c r="P213" s="46">
        <f t="shared" ca="1" si="10"/>
        <v>6.7028985507246381E-4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input_520101!A$2</f>
        <v>520101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IFERROR(VLOOKUP(B214,input_520101!L:R,7,FALSE),VLOOKUP(tables_520101!C214,input_520101!A:H,8,FALSE))</f>
        <v>7125</v>
      </c>
      <c r="P214" s="46">
        <f t="shared" ca="1" si="10"/>
        <v>5.4347826086956524E-5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input_520101!A$2</f>
        <v>520101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IFERROR(VLOOKUP(B215,input_520101!L:R,7,FALSE),VLOOKUP(tables_520101!C215,input_520101!A:H,8,FALSE))</f>
        <v>9272</v>
      </c>
      <c r="P215" s="46">
        <f t="shared" ca="1" si="10"/>
        <v>7.0724637681159419E-5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input_520101!A$2</f>
        <v>520101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IFERROR(VLOOKUP(B216,input_520101!L:R,7,FALSE),VLOOKUP(tables_520101!C216,input_520101!A:H,8,FALSE))</f>
        <v>9272</v>
      </c>
      <c r="P216" s="46">
        <f t="shared" ca="1" si="10"/>
        <v>7.0724637681159419E-5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input_520101!A$2</f>
        <v>520101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IFERROR(VLOOKUP(B217,input_520101!L:R,7,FALSE),VLOOKUP(tables_520101!C217,input_520101!A:H,8,FALSE))</f>
        <v>9272</v>
      </c>
      <c r="P217" s="46">
        <f t="shared" ca="1" si="10"/>
        <v>7.0724637681159419E-5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input_520101!A$2</f>
        <v>520101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IFERROR(VLOOKUP(B218,input_520101!L:R,7,FALSE),VLOOKUP(tables_520101!C218,input_520101!A:H,8,FALSE))</f>
        <v>9272</v>
      </c>
      <c r="P218" s="46">
        <f t="shared" ca="1" si="10"/>
        <v>7.0724637681159419E-5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input_520101!A$2</f>
        <v>520101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IFERROR(VLOOKUP(B219,input_520101!L:R,7,FALSE),VLOOKUP(tables_520101!C219,input_520101!A:H,8,FALSE))</f>
        <v>9272</v>
      </c>
      <c r="P219" s="46">
        <f t="shared" ca="1" si="10"/>
        <v>7.0724637681159419E-5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input_520101!A$2</f>
        <v>520101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IFERROR(VLOOKUP(B220,input_520101!L:R,7,FALSE),VLOOKUP(tables_520101!C220,input_520101!A:H,8,FALSE))</f>
        <v>9272</v>
      </c>
      <c r="P220" s="46">
        <f t="shared" ca="1" si="10"/>
        <v>7.0724637681159419E-5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input_520101!A$2</f>
        <v>520101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IFERROR(VLOOKUP(B221,input_520101!L:R,7,FALSE),VLOOKUP(tables_520101!C221,input_520101!A:H,8,FALSE))</f>
        <v>87875</v>
      </c>
      <c r="P221" s="46">
        <f t="shared" ca="1" si="10"/>
        <v>6.7028985507246381E-4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input_520101!A$2</f>
        <v>520101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IFERROR(VLOOKUP(B222,input_520101!L:R,7,FALSE),VLOOKUP(tables_520101!C222,input_520101!A:H,8,FALSE))</f>
        <v>7125</v>
      </c>
      <c r="P222" s="46">
        <f t="shared" ca="1" si="10"/>
        <v>5.4347826086956524E-5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input_520101!A$2</f>
        <v>520101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IFERROR(VLOOKUP(B223,input_520101!L:R,7,FALSE),VLOOKUP(tables_520101!C223,input_520101!A:H,8,FALSE))</f>
        <v>557175</v>
      </c>
      <c r="P223" s="46">
        <f t="shared" ca="1" si="10"/>
        <v>4.2500000000000003E-3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input_520101!A$2</f>
        <v>520101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IFERROR(VLOOKUP(B224,input_520101!L:R,7,FALSE),VLOOKUP(tables_520101!C224,input_520101!A:H,8,FALSE))</f>
        <v>655500</v>
      </c>
      <c r="P224" s="46">
        <f t="shared" ca="1" si="10"/>
        <v>5.0000000000000001E-3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input_520101!A$2</f>
        <v>520101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IFERROR(VLOOKUP(B225,input_520101!L:R,7,FALSE),VLOOKUP(tables_520101!C225,input_520101!A:H,8,FALSE))</f>
        <v>98325</v>
      </c>
      <c r="P225" s="46">
        <f t="shared" ca="1" si="10"/>
        <v>7.5000000000000002E-4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input_520101!A$2</f>
        <v>520101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IFERROR(VLOOKUP(B226,input_520101!L:R,7,FALSE),VLOOKUP(tables_520101!C226,input_520101!A:H,8,FALSE))</f>
        <v>557175</v>
      </c>
      <c r="P226" s="46">
        <f t="shared" ca="1" si="10"/>
        <v>4.2500000000000003E-3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input_520101!A$2</f>
        <v>520101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IFERROR(VLOOKUP(B227,input_520101!L:R,7,FALSE),VLOOKUP(tables_520101!C227,input_520101!A:H,8,FALSE))</f>
        <v>655500</v>
      </c>
      <c r="P227" s="46">
        <f t="shared" ca="1" si="10"/>
        <v>5.0000000000000001E-3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input_520101!A$2</f>
        <v>520101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IFERROR(VLOOKUP(B228,input_520101!L:R,7,FALSE),VLOOKUP(tables_520101!C228,input_520101!A:H,8,FALSE))</f>
        <v>98325</v>
      </c>
      <c r="P228" s="46">
        <f t="shared" ca="1" si="10"/>
        <v>7.5000000000000002E-4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input_520101!A$2</f>
        <v>520101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IFERROR(VLOOKUP(B229,input_520101!L:R,7,FALSE),VLOOKUP(tables_520101!C229,input_520101!A:H,8,FALSE))</f>
        <v>87875</v>
      </c>
      <c r="P229" s="46">
        <f t="shared" ca="1" si="10"/>
        <v>6.7028985507246381E-4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input_520101!A$2</f>
        <v>520101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IFERROR(VLOOKUP(B230,input_520101!L:R,7,FALSE),VLOOKUP(tables_520101!C230,input_520101!A:H,8,FALSE))</f>
        <v>7125</v>
      </c>
      <c r="P230" s="46">
        <f t="shared" ca="1" si="10"/>
        <v>5.4347826086956524E-5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input_520101!A$2</f>
        <v>520101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IFERROR(VLOOKUP(B231,input_520101!L:R,7,FALSE),VLOOKUP(tables_520101!C231,input_520101!A:H,8,FALSE))</f>
        <v>557175</v>
      </c>
      <c r="P231" s="46">
        <f t="shared" ca="1" si="10"/>
        <v>4.2500000000000003E-3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input_520101!A$2</f>
        <v>520101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IFERROR(VLOOKUP(B232,input_520101!L:R,7,FALSE),VLOOKUP(tables_520101!C232,input_520101!A:H,8,FALSE))</f>
        <v>655500</v>
      </c>
      <c r="P232" s="46">
        <f t="shared" ca="1" si="10"/>
        <v>5.0000000000000001E-3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input_520101!A$2</f>
        <v>520101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IFERROR(VLOOKUP(B233,input_520101!L:R,7,FALSE),VLOOKUP(tables_520101!C233,input_520101!A:H,8,FALSE))</f>
        <v>98325</v>
      </c>
      <c r="P233" s="46">
        <f t="shared" ca="1" si="10"/>
        <v>7.5000000000000002E-4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input_520101!A$2</f>
        <v>520101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IFERROR(VLOOKUP(B234,input_520101!L:R,7,FALSE),VLOOKUP(tables_520101!C234,input_520101!A:H,8,FALSE))</f>
        <v>557175</v>
      </c>
      <c r="P234" s="46">
        <f t="shared" ca="1" si="10"/>
        <v>4.2500000000000003E-3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input_520101!A$2</f>
        <v>520101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IFERROR(VLOOKUP(B235,input_520101!L:R,7,FALSE),VLOOKUP(tables_520101!C235,input_520101!A:H,8,FALSE))</f>
        <v>655500</v>
      </c>
      <c r="P235" s="46">
        <f t="shared" ca="1" si="10"/>
        <v>5.0000000000000001E-3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input_520101!A$2</f>
        <v>520101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IFERROR(VLOOKUP(B236,input_520101!L:R,7,FALSE),VLOOKUP(tables_520101!C236,input_520101!A:H,8,FALSE))</f>
        <v>98325</v>
      </c>
      <c r="P236" s="46">
        <f t="shared" ca="1" si="10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input_520101!A$2</f>
        <v>520101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IFERROR(VLOOKUP(B237,input_520101!L:R,7,FALSE),VLOOKUP(tables_520101!C237,input_520101!A:H,8,FALSE))</f>
        <v>87875</v>
      </c>
      <c r="P237" s="46">
        <f t="shared" ca="1" si="10"/>
        <v>6.7028985507246381E-4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input_520101!A$2</f>
        <v>520101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IFERROR(VLOOKUP(B238,input_520101!L:R,7,FALSE),VLOOKUP(tables_520101!C238,input_520101!A:H,8,FALSE))</f>
        <v>7125</v>
      </c>
      <c r="P238" s="46">
        <f t="shared" ca="1" si="10"/>
        <v>5.4347826086956524E-5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input_520101!A$2</f>
        <v>520101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IFERROR(VLOOKUP(B239,input_520101!L:R,7,FALSE),VLOOKUP(tables_520101!C239,input_520101!A:H,8,FALSE))</f>
        <v>557175</v>
      </c>
      <c r="P239" s="46">
        <f t="shared" ca="1" si="10"/>
        <v>4.2500000000000003E-3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input_520101!A$2</f>
        <v>520101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IFERROR(VLOOKUP(B240,input_520101!L:R,7,FALSE),VLOOKUP(tables_520101!C240,input_520101!A:H,8,FALSE))</f>
        <v>655500</v>
      </c>
      <c r="P240" s="46">
        <f t="shared" ca="1" si="10"/>
        <v>5.0000000000000001E-3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input_520101!A$2</f>
        <v>520101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IFERROR(VLOOKUP(B241,input_520101!L:R,7,FALSE),VLOOKUP(tables_520101!C241,input_520101!A:H,8,FALSE))</f>
        <v>98325</v>
      </c>
      <c r="P241" s="46">
        <f t="shared" ca="1" si="10"/>
        <v>7.5000000000000002E-4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input_520101!A$2</f>
        <v>520101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IFERROR(VLOOKUP(B242,input_520101!L:R,7,FALSE),VLOOKUP(tables_520101!C242,input_520101!A:H,8,FALSE))</f>
        <v>87875</v>
      </c>
      <c r="P242" s="46">
        <f t="shared" ca="1" si="10"/>
        <v>6.7028985507246381E-4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input_520101!A$2</f>
        <v>520101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IFERROR(VLOOKUP(B243,input_520101!L:R,7,FALSE),VLOOKUP(tables_520101!C243,input_520101!A:H,8,FALSE))</f>
        <v>7125</v>
      </c>
      <c r="P243" s="46">
        <f t="shared" ca="1" si="10"/>
        <v>5.4347826086956524E-5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input_520101!A$2</f>
        <v>520101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IFERROR(VLOOKUP(B244,input_520101!L:R,7,FALSE),VLOOKUP(tables_520101!C244,input_520101!A:H,8,FALSE))</f>
        <v>87875</v>
      </c>
      <c r="P244" s="46">
        <f t="shared" ca="1" si="10"/>
        <v>6.7028985507246381E-4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input_520101!A$2</f>
        <v>520101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IFERROR(VLOOKUP(B245,input_520101!L:R,7,FALSE),VLOOKUP(tables_520101!C245,input_520101!A:H,8,FALSE))</f>
        <v>7125</v>
      </c>
      <c r="P245" s="46">
        <f t="shared" ca="1" si="10"/>
        <v>5.4347826086956524E-5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input_520101!A$2</f>
        <v>520101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IFERROR(VLOOKUP(B246,input_520101!L:R,7,FALSE),VLOOKUP(tables_520101!C246,input_520101!A:H,8,FALSE))</f>
        <v>557175</v>
      </c>
      <c r="P246" s="46">
        <f t="shared" ca="1" si="10"/>
        <v>4.2500000000000003E-3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input_520101!A$2</f>
        <v>520101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IFERROR(VLOOKUP(B247,input_520101!L:R,7,FALSE),VLOOKUP(tables_520101!C247,input_520101!A:H,8,FALSE))</f>
        <v>655500</v>
      </c>
      <c r="P247" s="46">
        <f t="shared" ca="1" si="10"/>
        <v>5.0000000000000001E-3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input_520101!A$2</f>
        <v>520101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IFERROR(VLOOKUP(B248,input_520101!L:R,7,FALSE),VLOOKUP(tables_520101!C248,input_520101!A:H,8,FALSE))</f>
        <v>98325</v>
      </c>
      <c r="P248" s="46">
        <f t="shared" ca="1" si="10"/>
        <v>7.5000000000000002E-4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input_520101!A$2</f>
        <v>520101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IFERROR(VLOOKUP(B249,input_520101!L:R,7,FALSE),VLOOKUP(tables_520101!C249,input_520101!A:H,8,FALSE))</f>
        <v>557175</v>
      </c>
      <c r="P249" s="46">
        <f t="shared" ca="1" si="10"/>
        <v>4.2500000000000003E-3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input_520101!A$2</f>
        <v>520101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IFERROR(VLOOKUP(B250,input_520101!L:R,7,FALSE),VLOOKUP(tables_520101!C250,input_520101!A:H,8,FALSE))</f>
        <v>655500</v>
      </c>
      <c r="P250" s="46">
        <f t="shared" ca="1" si="10"/>
        <v>5.0000000000000001E-3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input_520101!A$2</f>
        <v>520101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IFERROR(VLOOKUP(B251,input_520101!L:R,7,FALSE),VLOOKUP(tables_520101!C251,input_520101!A:H,8,FALSE))</f>
        <v>98325</v>
      </c>
      <c r="P251" s="46">
        <f t="shared" ca="1" si="10"/>
        <v>7.5000000000000002E-4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input_520101!A$2</f>
        <v>520101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IFERROR(VLOOKUP(B252,input_520101!L:R,7,FALSE),VLOOKUP(tables_520101!C252,input_520101!A:H,8,FALSE))</f>
        <v>557175</v>
      </c>
      <c r="P252" s="46">
        <f t="shared" ca="1" si="10"/>
        <v>4.2500000000000003E-3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input_520101!A$2</f>
        <v>520101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IFERROR(VLOOKUP(B253,input_520101!L:R,7,FALSE),VLOOKUP(tables_520101!C253,input_520101!A:H,8,FALSE))</f>
        <v>655500</v>
      </c>
      <c r="P253" s="46">
        <f t="shared" ca="1" si="10"/>
        <v>5.0000000000000001E-3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input_520101!A$2</f>
        <v>520101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IFERROR(VLOOKUP(B254,input_520101!L:R,7,FALSE),VLOOKUP(tables_520101!C254,input_520101!A:H,8,FALSE))</f>
        <v>98325</v>
      </c>
      <c r="P254" s="46">
        <f t="shared" ca="1" si="10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input_520101!A$2</f>
        <v>520101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IFERROR(VLOOKUP(B255,input_520101!L:R,7,FALSE),VLOOKUP(tables_520101!C255,input_520101!A:H,8,FALSE))</f>
        <v>557175</v>
      </c>
      <c r="P255" s="46">
        <f t="shared" ca="1" si="10"/>
        <v>4.2500000000000003E-3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input_520101!A$2</f>
        <v>520101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IFERROR(VLOOKUP(B256,input_520101!L:R,7,FALSE),VLOOKUP(tables_520101!C256,input_520101!A:H,8,FALSE))</f>
        <v>655500</v>
      </c>
      <c r="P256" s="46">
        <f t="shared" ca="1" si="10"/>
        <v>5.0000000000000001E-3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input_520101!A$2</f>
        <v>520101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IFERROR(VLOOKUP(B257,input_520101!L:R,7,FALSE),VLOOKUP(tables_520101!C257,input_520101!A:H,8,FALSE))</f>
        <v>98325</v>
      </c>
      <c r="P257" s="46">
        <f t="shared" ca="1" si="10"/>
        <v>7.5000000000000002E-4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input_520101!A$2</f>
        <v>520101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IFERROR(VLOOKUP(B258,input_520101!L:R,7,FALSE),VLOOKUP(tables_520101!C258,input_520101!A:H,8,FALSE))</f>
        <v>87875</v>
      </c>
      <c r="P258" s="46">
        <f t="shared" ref="P258:P321" ca="1" si="13">O258/SUM(O:O)</f>
        <v>6.7028985507246381E-4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input_520101!A$2</f>
        <v>520101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IFERROR(VLOOKUP(B259,input_520101!L:R,7,FALSE),VLOOKUP(tables_520101!C259,input_520101!A:H,8,FALSE))</f>
        <v>7125</v>
      </c>
      <c r="P259" s="46">
        <f t="shared" ca="1" si="13"/>
        <v>5.4347826086956524E-5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input_520101!A$2</f>
        <v>520101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IFERROR(VLOOKUP(B260,input_520101!L:R,7,FALSE),VLOOKUP(tables_520101!C260,input_520101!A:H,8,FALSE))</f>
        <v>87875</v>
      </c>
      <c r="P260" s="46">
        <f t="shared" ca="1" si="13"/>
        <v>6.7028985507246381E-4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input_520101!A$2</f>
        <v>520101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IFERROR(VLOOKUP(B261,input_520101!L:R,7,FALSE),VLOOKUP(tables_520101!C261,input_520101!A:H,8,FALSE))</f>
        <v>7125</v>
      </c>
      <c r="P261" s="46">
        <f t="shared" ca="1" si="13"/>
        <v>5.4347826086956524E-5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input_520101!A$2</f>
        <v>520101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IFERROR(VLOOKUP(B262,input_520101!L:R,7,FALSE),VLOOKUP(tables_520101!C262,input_520101!A:H,8,FALSE))</f>
        <v>1298800</v>
      </c>
      <c r="P262" s="46">
        <f t="shared" ca="1" si="13"/>
        <v>9.906941266209E-3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input_520101!A$2</f>
        <v>520101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IFERROR(VLOOKUP(B263,input_520101!L:R,7,FALSE),VLOOKUP(tables_520101!C263,input_520101!A:H,8,FALSE))</f>
        <v>9272</v>
      </c>
      <c r="P263" s="46">
        <f t="shared" ca="1" si="13"/>
        <v>7.0724637681159419E-5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input_520101!A$2</f>
        <v>520101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IFERROR(VLOOKUP(B264,input_520101!L:R,7,FALSE),VLOOKUP(tables_520101!C264,input_520101!A:H,8,FALSE))</f>
        <v>1298800</v>
      </c>
      <c r="P264" s="46">
        <f t="shared" ca="1" si="13"/>
        <v>9.906941266209E-3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input_520101!A$2</f>
        <v>520101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IFERROR(VLOOKUP(B265,input_520101!L:R,7,FALSE),VLOOKUP(tables_520101!C265,input_520101!A:H,8,FALSE))</f>
        <v>9272</v>
      </c>
      <c r="P265" s="46">
        <f t="shared" ca="1" si="13"/>
        <v>7.0724637681159419E-5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input_520101!A$2</f>
        <v>520101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IFERROR(VLOOKUP(B266,input_520101!L:R,7,FALSE),VLOOKUP(tables_520101!C266,input_520101!A:H,8,FALSE))</f>
        <v>95000</v>
      </c>
      <c r="P266" s="46">
        <f t="shared" ca="1" si="13"/>
        <v>7.246376811594203E-4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input_520101!A$2</f>
        <v>520101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IFERROR(VLOOKUP(B267,input_520101!L:R,7,FALSE),VLOOKUP(tables_520101!C267,input_520101!A:H,8,FALSE))</f>
        <v>95000</v>
      </c>
      <c r="P267" s="46">
        <f t="shared" ca="1" si="13"/>
        <v>7.246376811594203E-4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input_520101!A$2</f>
        <v>520101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IFERROR(VLOOKUP(B268,input_520101!L:R,7,FALSE),VLOOKUP(tables_520101!C268,input_520101!A:H,8,FALSE))</f>
        <v>95000</v>
      </c>
      <c r="P268" s="46">
        <f t="shared" ca="1" si="13"/>
        <v>7.246376811594203E-4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input_520101!A$2</f>
        <v>520101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IFERROR(VLOOKUP(B269,input_520101!L:R,7,FALSE),VLOOKUP(tables_520101!C269,input_520101!A:H,8,FALSE))</f>
        <v>95000</v>
      </c>
      <c r="P269" s="46">
        <f t="shared" ca="1" si="13"/>
        <v>7.246376811594203E-4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input_520101!A$2</f>
        <v>520101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IFERROR(VLOOKUP(B270,input_520101!L:R,7,FALSE),VLOOKUP(tables_520101!C270,input_520101!A:H,8,FALSE))</f>
        <v>1298800</v>
      </c>
      <c r="P270" s="46">
        <f t="shared" ca="1" si="13"/>
        <v>9.906941266209E-3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input_520101!A$2</f>
        <v>520101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IFERROR(VLOOKUP(B271,input_520101!L:R,7,FALSE),VLOOKUP(tables_520101!C271,input_520101!A:H,8,FALSE))</f>
        <v>9272</v>
      </c>
      <c r="P271" s="46">
        <f t="shared" ca="1" si="13"/>
        <v>7.0724637681159419E-5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input_520101!A$2</f>
        <v>520101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IFERROR(VLOOKUP(B272,input_520101!L:R,7,FALSE),VLOOKUP(tables_520101!C272,input_520101!A:H,8,FALSE))</f>
        <v>1298800</v>
      </c>
      <c r="P272" s="46">
        <f t="shared" ca="1" si="13"/>
        <v>9.906941266209E-3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input_520101!A$2</f>
        <v>520101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IFERROR(VLOOKUP(B273,input_520101!L:R,7,FALSE),VLOOKUP(tables_520101!C273,input_520101!A:H,8,FALSE))</f>
        <v>9272</v>
      </c>
      <c r="P273" s="46">
        <f t="shared" ca="1" si="13"/>
        <v>7.0724637681159419E-5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input_520101!A$2</f>
        <v>520101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IFERROR(VLOOKUP(B274,input_520101!L:R,7,FALSE),VLOOKUP(tables_520101!C274,input_520101!A:H,8,FALSE))</f>
        <v>87875</v>
      </c>
      <c r="P274" s="46">
        <f t="shared" ca="1" si="13"/>
        <v>6.7028985507246381E-4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input_520101!A$2</f>
        <v>520101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IFERROR(VLOOKUP(B275,input_520101!L:R,7,FALSE),VLOOKUP(tables_520101!C275,input_520101!A:H,8,FALSE))</f>
        <v>7125</v>
      </c>
      <c r="P275" s="46">
        <f t="shared" ca="1" si="13"/>
        <v>5.4347826086956524E-5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input_520101!A$2</f>
        <v>520101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IFERROR(VLOOKUP(B276,input_520101!L:R,7,FALSE),VLOOKUP(tables_520101!C276,input_520101!A:H,8,FALSE))</f>
        <v>87875</v>
      </c>
      <c r="P276" s="46">
        <f t="shared" ca="1" si="13"/>
        <v>6.7028985507246381E-4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input_520101!A$2</f>
        <v>520101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IFERROR(VLOOKUP(B277,input_520101!L:R,7,FALSE),VLOOKUP(tables_520101!C277,input_520101!A:H,8,FALSE))</f>
        <v>7125</v>
      </c>
      <c r="P277" s="46">
        <f t="shared" ca="1" si="13"/>
        <v>5.4347826086956524E-5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input_520101!A$2</f>
        <v>520101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IFERROR(VLOOKUP(B278,input_520101!L:R,7,FALSE),VLOOKUP(tables_520101!C278,input_520101!A:H,8,FALSE))</f>
        <v>557175</v>
      </c>
      <c r="P278" s="46">
        <f t="shared" ca="1" si="13"/>
        <v>4.2500000000000003E-3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input_520101!A$2</f>
        <v>520101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IFERROR(VLOOKUP(B279,input_520101!L:R,7,FALSE),VLOOKUP(tables_520101!C279,input_520101!A:H,8,FALSE))</f>
        <v>655500</v>
      </c>
      <c r="P279" s="46">
        <f t="shared" ca="1" si="13"/>
        <v>5.0000000000000001E-3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input_520101!A$2</f>
        <v>520101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IFERROR(VLOOKUP(B280,input_520101!L:R,7,FALSE),VLOOKUP(tables_520101!C280,input_520101!A:H,8,FALSE))</f>
        <v>98325</v>
      </c>
      <c r="P280" s="46">
        <f t="shared" ca="1" si="13"/>
        <v>7.5000000000000002E-4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input_520101!A$2</f>
        <v>520101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IFERROR(VLOOKUP(B281,input_520101!L:R,7,FALSE),VLOOKUP(tables_520101!C281,input_520101!A:H,8,FALSE))</f>
        <v>557175</v>
      </c>
      <c r="P281" s="46">
        <f t="shared" ca="1" si="13"/>
        <v>4.2500000000000003E-3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input_520101!A$2</f>
        <v>520101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IFERROR(VLOOKUP(B282,input_520101!L:R,7,FALSE),VLOOKUP(tables_520101!C282,input_520101!A:H,8,FALSE))</f>
        <v>655500</v>
      </c>
      <c r="P282" s="46">
        <f t="shared" ca="1" si="13"/>
        <v>5.0000000000000001E-3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input_520101!A$2</f>
        <v>520101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IFERROR(VLOOKUP(B283,input_520101!L:R,7,FALSE),VLOOKUP(tables_520101!C283,input_520101!A:H,8,FALSE))</f>
        <v>98325</v>
      </c>
      <c r="P283" s="46">
        <f t="shared" ca="1" si="13"/>
        <v>7.5000000000000002E-4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input_520101!A$2</f>
        <v>520101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IFERROR(VLOOKUP(B284,input_520101!L:R,7,FALSE),VLOOKUP(tables_520101!C284,input_520101!A:H,8,FALSE))</f>
        <v>95000</v>
      </c>
      <c r="P284" s="46">
        <f t="shared" ca="1" si="13"/>
        <v>7.246376811594203E-4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input_520101!A$2</f>
        <v>520101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IFERROR(VLOOKUP(B285,input_520101!L:R,7,FALSE),VLOOKUP(tables_520101!C285,input_520101!A:H,8,FALSE))</f>
        <v>95000</v>
      </c>
      <c r="P285" s="46">
        <f t="shared" ca="1" si="13"/>
        <v>7.246376811594203E-4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input_520101!A$2</f>
        <v>520101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IFERROR(VLOOKUP(B286,input_520101!L:R,7,FALSE),VLOOKUP(tables_520101!C286,input_520101!A:H,8,FALSE))</f>
        <v>1298800</v>
      </c>
      <c r="P286" s="46">
        <f t="shared" ca="1" si="13"/>
        <v>9.906941266209E-3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input_520101!A$2</f>
        <v>520101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IFERROR(VLOOKUP(B287,input_520101!L:R,7,FALSE),VLOOKUP(tables_520101!C287,input_520101!A:H,8,FALSE))</f>
        <v>9272</v>
      </c>
      <c r="P287" s="46">
        <f t="shared" ca="1" si="13"/>
        <v>7.0724637681159419E-5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input_520101!A$2</f>
        <v>520101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IFERROR(VLOOKUP(B288,input_520101!L:R,7,FALSE),VLOOKUP(tables_520101!C288,input_520101!A:H,8,FALSE))</f>
        <v>1298800</v>
      </c>
      <c r="P288" s="46">
        <f t="shared" ca="1" si="13"/>
        <v>9.906941266209E-3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input_520101!A$2</f>
        <v>520101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IFERROR(VLOOKUP(B289,input_520101!L:R,7,FALSE),VLOOKUP(tables_520101!C289,input_520101!A:H,8,FALSE))</f>
        <v>9272</v>
      </c>
      <c r="P289" s="46">
        <f t="shared" ca="1" si="13"/>
        <v>7.0724637681159419E-5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input_520101!A$2</f>
        <v>520101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IFERROR(VLOOKUP(B290,input_520101!L:R,7,FALSE),VLOOKUP(tables_520101!C290,input_520101!A:H,8,FALSE))</f>
        <v>1298800</v>
      </c>
      <c r="P290" s="46">
        <f t="shared" ca="1" si="13"/>
        <v>9.906941266209E-3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input_520101!A$2</f>
        <v>520101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IFERROR(VLOOKUP(B291,input_520101!L:R,7,FALSE),VLOOKUP(tables_520101!C291,input_520101!A:H,8,FALSE))</f>
        <v>9272</v>
      </c>
      <c r="P291" s="46">
        <f t="shared" ca="1" si="13"/>
        <v>7.0724637681159419E-5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input_520101!A$2</f>
        <v>520101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IFERROR(VLOOKUP(B292,input_520101!L:R,7,FALSE),VLOOKUP(tables_520101!C292,input_520101!A:H,8,FALSE))</f>
        <v>1298800</v>
      </c>
      <c r="P292" s="46">
        <f t="shared" ca="1" si="13"/>
        <v>9.906941266209E-3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input_520101!A$2</f>
        <v>520101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IFERROR(VLOOKUP(B293,input_520101!L:R,7,FALSE),VLOOKUP(tables_520101!C293,input_520101!A:H,8,FALSE))</f>
        <v>9272</v>
      </c>
      <c r="P293" s="46">
        <f t="shared" ca="1" si="13"/>
        <v>7.0724637681159419E-5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input_520101!A$2</f>
        <v>520101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IFERROR(VLOOKUP(B294,input_520101!L:R,7,FALSE),VLOOKUP(tables_520101!C294,input_520101!A:H,8,FALSE))</f>
        <v>95000</v>
      </c>
      <c r="P294" s="46">
        <f t="shared" ca="1" si="13"/>
        <v>7.246376811594203E-4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input_520101!A$2</f>
        <v>520101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IFERROR(VLOOKUP(B295,input_520101!L:R,7,FALSE),VLOOKUP(tables_520101!C295,input_520101!A:H,8,FALSE))</f>
        <v>95000</v>
      </c>
      <c r="P295" s="46">
        <f t="shared" ca="1" si="13"/>
        <v>7.246376811594203E-4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input_520101!A$2</f>
        <v>520101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IFERROR(VLOOKUP(B296,input_520101!L:R,7,FALSE),VLOOKUP(tables_520101!C296,input_520101!A:H,8,FALSE))</f>
        <v>95000</v>
      </c>
      <c r="P296" s="46">
        <f t="shared" ca="1" si="13"/>
        <v>7.246376811594203E-4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input_520101!A$2</f>
        <v>520101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IFERROR(VLOOKUP(B297,input_520101!L:R,7,FALSE),VLOOKUP(tables_520101!C297,input_520101!A:H,8,FALSE))</f>
        <v>1298800</v>
      </c>
      <c r="P297" s="46">
        <f t="shared" ca="1" si="13"/>
        <v>9.906941266209E-3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input_520101!A$2</f>
        <v>520101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IFERROR(VLOOKUP(B298,input_520101!L:R,7,FALSE),VLOOKUP(tables_520101!C298,input_520101!A:H,8,FALSE))</f>
        <v>9272</v>
      </c>
      <c r="P298" s="46">
        <f t="shared" ca="1" si="13"/>
        <v>7.0724637681159419E-5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input_520101!A$2</f>
        <v>520101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IFERROR(VLOOKUP(B299,input_520101!L:R,7,FALSE),VLOOKUP(tables_520101!C299,input_520101!A:H,8,FALSE))</f>
        <v>95000</v>
      </c>
      <c r="P299" s="46">
        <f t="shared" ca="1" si="13"/>
        <v>7.246376811594203E-4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input_520101!A$2</f>
        <v>520101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IFERROR(VLOOKUP(B300,input_520101!L:R,7,FALSE),VLOOKUP(tables_520101!C300,input_520101!A:H,8,FALSE))</f>
        <v>95000</v>
      </c>
      <c r="P300" s="46">
        <f t="shared" ca="1" si="13"/>
        <v>7.246376811594203E-4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input_520101!A$2</f>
        <v>520101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IFERROR(VLOOKUP(B301,input_520101!L:R,7,FALSE),VLOOKUP(tables_520101!C301,input_520101!A:H,8,FALSE))</f>
        <v>95000</v>
      </c>
      <c r="P301" s="46">
        <f t="shared" ca="1" si="13"/>
        <v>7.246376811594203E-4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input_520101!A$2</f>
        <v>520101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IFERROR(VLOOKUP(B302,input_520101!L:R,7,FALSE),VLOOKUP(tables_520101!C302,input_520101!A:H,8,FALSE))</f>
        <v>95000</v>
      </c>
      <c r="P302" s="46">
        <f t="shared" ca="1" si="13"/>
        <v>7.246376811594203E-4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input_520101!A$2</f>
        <v>520101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IFERROR(VLOOKUP(B303,input_520101!L:R,7,FALSE),VLOOKUP(tables_520101!C303,input_520101!A:H,8,FALSE))</f>
        <v>1298800</v>
      </c>
      <c r="P303" s="46">
        <f t="shared" ca="1" si="13"/>
        <v>9.906941266209E-3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input_520101!A$2</f>
        <v>520101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IFERROR(VLOOKUP(B304,input_520101!L:R,7,FALSE),VLOOKUP(tables_520101!C304,input_520101!A:H,8,FALSE))</f>
        <v>9272</v>
      </c>
      <c r="P304" s="46">
        <f t="shared" ca="1" si="13"/>
        <v>7.0724637681159419E-5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input_520101!A$2</f>
        <v>520101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IFERROR(VLOOKUP(B305,input_520101!L:R,7,FALSE),VLOOKUP(tables_520101!C305,input_520101!A:H,8,FALSE))</f>
        <v>95000</v>
      </c>
      <c r="P305" s="46">
        <f t="shared" ca="1" si="13"/>
        <v>7.246376811594203E-4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input_520101!A$2</f>
        <v>520101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IFERROR(VLOOKUP(B306,input_520101!L:R,7,FALSE),VLOOKUP(tables_520101!C306,input_520101!A:H,8,FALSE))</f>
        <v>1298800</v>
      </c>
      <c r="P306" s="46">
        <f t="shared" ca="1" si="13"/>
        <v>9.906941266209E-3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input_520101!A$2</f>
        <v>520101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IFERROR(VLOOKUP(B307,input_520101!L:R,7,FALSE),VLOOKUP(tables_520101!C307,input_520101!A:H,8,FALSE))</f>
        <v>9272</v>
      </c>
      <c r="P307" s="46">
        <f t="shared" ca="1" si="13"/>
        <v>7.0724637681159419E-5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input_520101!A$2</f>
        <v>520101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IFERROR(VLOOKUP(B308,input_520101!L:R,7,FALSE),VLOOKUP(tables_520101!C308,input_520101!A:H,8,FALSE))</f>
        <v>95000</v>
      </c>
      <c r="P308" s="46">
        <f t="shared" ca="1" si="13"/>
        <v>7.246376811594203E-4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input_520101!A$2</f>
        <v>520101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IFERROR(VLOOKUP(B309,input_520101!L:R,7,FALSE),VLOOKUP(tables_520101!C309,input_520101!A:H,8,FALSE))</f>
        <v>95000</v>
      </c>
      <c r="P309" s="46">
        <f t="shared" ca="1" si="13"/>
        <v>7.246376811594203E-4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input_520101!A$2</f>
        <v>520101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IFERROR(VLOOKUP(B310,input_520101!L:R,7,FALSE),VLOOKUP(tables_520101!C310,input_520101!A:H,8,FALSE))</f>
        <v>95000</v>
      </c>
      <c r="P310" s="46">
        <f t="shared" ca="1" si="13"/>
        <v>7.246376811594203E-4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input_520101!A$2</f>
        <v>520101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IFERROR(VLOOKUP(B311,input_520101!L:R,7,FALSE),VLOOKUP(tables_520101!C311,input_520101!A:H,8,FALSE))</f>
        <v>1298800</v>
      </c>
      <c r="P311" s="46">
        <f t="shared" ca="1" si="13"/>
        <v>9.906941266209E-3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input_520101!A$2</f>
        <v>520101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IFERROR(VLOOKUP(B312,input_520101!L:R,7,FALSE),VLOOKUP(tables_520101!C312,input_520101!A:H,8,FALSE))</f>
        <v>9272</v>
      </c>
      <c r="P312" s="46">
        <f t="shared" ca="1" si="13"/>
        <v>7.0724637681159419E-5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input_520101!A$2</f>
        <v>520101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IFERROR(VLOOKUP(B313,input_520101!L:R,7,FALSE),VLOOKUP(tables_520101!C313,input_520101!A:H,8,FALSE))</f>
        <v>95000</v>
      </c>
      <c r="P313" s="46">
        <f t="shared" ca="1" si="13"/>
        <v>7.246376811594203E-4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input_520101!A$2</f>
        <v>520101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IFERROR(VLOOKUP(B314,input_520101!L:R,7,FALSE),VLOOKUP(tables_520101!C314,input_520101!A:H,8,FALSE))</f>
        <v>95000</v>
      </c>
      <c r="P314" s="46">
        <f t="shared" ca="1" si="13"/>
        <v>7.246376811594203E-4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input_520101!A$2</f>
        <v>520101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IFERROR(VLOOKUP(B315,input_520101!L:R,7,FALSE),VLOOKUP(tables_520101!C315,input_520101!A:H,8,FALSE))</f>
        <v>95000</v>
      </c>
      <c r="P315" s="46">
        <f t="shared" ca="1" si="13"/>
        <v>7.246376811594203E-4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input_520101!A$2</f>
        <v>520101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IFERROR(VLOOKUP(B316,input_520101!L:R,7,FALSE),VLOOKUP(tables_520101!C316,input_520101!A:H,8,FALSE))</f>
        <v>95000</v>
      </c>
      <c r="P316" s="46">
        <f t="shared" ca="1" si="13"/>
        <v>7.246376811594203E-4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input_520101!A$2</f>
        <v>520101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IFERROR(VLOOKUP(B317,input_520101!L:R,7,FALSE),VLOOKUP(tables_520101!C317,input_520101!A:H,8,FALSE))</f>
        <v>95000</v>
      </c>
      <c r="P317" s="46">
        <f t="shared" ca="1" si="13"/>
        <v>7.246376811594203E-4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input_520101!A$2</f>
        <v>520101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IFERROR(VLOOKUP(B318,input_520101!L:R,7,FALSE),VLOOKUP(tables_520101!C318,input_520101!A:H,8,FALSE))</f>
        <v>1298800</v>
      </c>
      <c r="P318" s="46">
        <f t="shared" ca="1" si="13"/>
        <v>9.906941266209E-3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input_520101!A$2</f>
        <v>520101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IFERROR(VLOOKUP(B319,input_520101!L:R,7,FALSE),VLOOKUP(tables_520101!C319,input_520101!A:H,8,FALSE))</f>
        <v>9272</v>
      </c>
      <c r="P319" s="46">
        <f t="shared" ca="1" si="13"/>
        <v>7.0724637681159419E-5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input_520101!A$2</f>
        <v>520101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IFERROR(VLOOKUP(B320,input_520101!L:R,7,FALSE),VLOOKUP(tables_520101!C320,input_520101!A:H,8,FALSE))</f>
        <v>95000</v>
      </c>
      <c r="P320" s="46">
        <f t="shared" ca="1" si="13"/>
        <v>7.246376811594203E-4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input_520101!A$2</f>
        <v>520101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IFERROR(VLOOKUP(B321,input_520101!L:R,7,FALSE),VLOOKUP(tables_520101!C321,input_520101!A:H,8,FALSE))</f>
        <v>95000</v>
      </c>
      <c r="P321" s="46">
        <f t="shared" ca="1" si="13"/>
        <v>7.246376811594203E-4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input_520101!A$2</f>
        <v>520101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IFERROR(VLOOKUP(B322,input_520101!L:R,7,FALSE),VLOOKUP(tables_520101!C322,input_520101!A:H,8,FALSE))</f>
        <v>95000</v>
      </c>
      <c r="P322" s="46">
        <f t="shared" ref="P322:P330" ca="1" si="23">O322/SUM(O:O)</f>
        <v>7.246376811594203E-4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input_520101!A$2</f>
        <v>520101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IFERROR(VLOOKUP(B323,input_520101!L:R,7,FALSE),VLOOKUP(tables_520101!C323,input_520101!A:H,8,FALSE))</f>
        <v>95000</v>
      </c>
      <c r="P323" s="46">
        <f t="shared" ca="1" si="23"/>
        <v>7.246376811594203E-4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input_520101!A$2</f>
        <v>520101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IFERROR(VLOOKUP(B324,input_520101!L:R,7,FALSE),VLOOKUP(tables_520101!C324,input_520101!A:H,8,FALSE))</f>
        <v>1298800</v>
      </c>
      <c r="P324" s="46">
        <f t="shared" ca="1" si="23"/>
        <v>9.906941266209E-3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input_520101!A$2</f>
        <v>520101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IFERROR(VLOOKUP(B325,input_520101!L:R,7,FALSE),VLOOKUP(tables_520101!C325,input_520101!A:H,8,FALSE))</f>
        <v>9272</v>
      </c>
      <c r="P325" s="46">
        <f t="shared" ca="1" si="23"/>
        <v>7.0724637681159419E-5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input_520101!A$2</f>
        <v>520101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IFERROR(VLOOKUP(B326,input_520101!L:R,7,FALSE),VLOOKUP(tables_520101!C326,input_520101!A:H,8,FALSE))</f>
        <v>1298800</v>
      </c>
      <c r="P326" s="46">
        <f t="shared" ca="1" si="23"/>
        <v>9.906941266209E-3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input_520101!A$2</f>
        <v>520101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IFERROR(VLOOKUP(B327,input_520101!L:R,7,FALSE),VLOOKUP(tables_520101!C327,input_520101!A:H,8,FALSE))</f>
        <v>9272</v>
      </c>
      <c r="P327" s="46">
        <f t="shared" ca="1" si="23"/>
        <v>7.0724637681159419E-5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input_520101!A$2</f>
        <v>520101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IFERROR(VLOOKUP(B328,input_520101!L:R,7,FALSE),VLOOKUP(tables_520101!C328,input_520101!A:H,8,FALSE))</f>
        <v>95000</v>
      </c>
      <c r="P328" s="46">
        <f t="shared" ca="1" si="23"/>
        <v>7.246376811594203E-4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input_520101!A$2</f>
        <v>520101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IFERROR(VLOOKUP(B329,input_520101!L:R,7,FALSE),VLOOKUP(tables_520101!C329,input_520101!A:H,8,FALSE))</f>
        <v>95000</v>
      </c>
      <c r="P329" s="46">
        <f t="shared" ca="1" si="23"/>
        <v>7.246376811594203E-4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input_520101!A$2</f>
        <v>520101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IFERROR(VLOOKUP(B330,input_520101!L:R,7,FALSE),VLOOKUP(tables_520101!C330,input_520101!A:H,8,FALSE))</f>
        <v>95000</v>
      </c>
      <c r="P330" s="46">
        <f t="shared" ca="1" si="23"/>
        <v>7.246376811594203E-4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input_520101!A$2</f>
        <v>520101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IFERROR(VLOOKUP(B331,input_520101!L:R,7,FALSE),VLOOKUP(tables_520101!C331,input_520101!A:H,8,FALSE))</f>
        <v>95000</v>
      </c>
      <c r="P331" s="46">
        <f t="shared" ref="P331:P335" ca="1" si="28">O331/SUM(O:O)</f>
        <v>7.246376811594203E-4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input_520101!A$2</f>
        <v>520101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IFERROR(VLOOKUP(B332,input_520101!L:R,7,FALSE),VLOOKUP(tables_520101!C332,input_520101!A:H,8,FALSE))</f>
        <v>95000</v>
      </c>
      <c r="P332" s="46">
        <f t="shared" ca="1" si="28"/>
        <v>7.246376811594203E-4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input_520101!A$2</f>
        <v>520101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IFERROR(VLOOKUP(B333,input_520101!L:R,7,FALSE),VLOOKUP(tables_520101!C333,input_520101!A:H,8,FALSE))</f>
        <v>95000</v>
      </c>
      <c r="P333" s="46">
        <f t="shared" ca="1" si="28"/>
        <v>7.246376811594203E-4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input_520101!A$2</f>
        <v>520101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IFERROR(VLOOKUP(B334,input_520101!L:R,7,FALSE),VLOOKUP(tables_520101!C334,input_520101!A:H,8,FALSE))</f>
        <v>1298800</v>
      </c>
      <c r="P334" s="46">
        <f t="shared" ca="1" si="28"/>
        <v>9.906941266209E-3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input_520101!A$2</f>
        <v>520101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IFERROR(VLOOKUP(B335,input_520101!L:R,7,FALSE),VLOOKUP(tables_520101!C335,input_520101!A:H,8,FALSE))</f>
        <v>9272</v>
      </c>
      <c r="P335" s="46">
        <f t="shared" ca="1" si="28"/>
        <v>7.0724637681159419E-5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input_520101!A$2</f>
        <v>520101</v>
      </c>
      <c r="B336" s="2">
        <v>1224</v>
      </c>
      <c r="C336" s="7" t="str">
        <f t="shared" ref="C336:C340" si="29">D336&amp;J336&amp;E336&amp;F336&amp;G336</f>
        <v>Premium4R3less</v>
      </c>
      <c r="D336" s="95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IFERROR(VLOOKUP(B336,input_520101!L:R,7,FALSE),VLOOKUP(tables_520101!C336,input_520101!A:H,8,FALSE))</f>
        <v>1298800</v>
      </c>
      <c r="P336" s="46">
        <f t="shared" ref="P336:P340" ca="1" si="31">O336/SUM(O:O)</f>
        <v>9.906941266209E-3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input_520101!A$2</f>
        <v>520101</v>
      </c>
      <c r="B337" s="2">
        <v>1225</v>
      </c>
      <c r="C337" s="7" t="str">
        <f t="shared" si="29"/>
        <v>Premium5R3less</v>
      </c>
      <c r="D337" s="95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IFERROR(VLOOKUP(B337,input_520101!L:R,7,FALSE),VLOOKUP(tables_520101!C337,input_520101!A:H,8,FALSE))</f>
        <v>9272</v>
      </c>
      <c r="P337" s="46">
        <f t="shared" ca="1" si="31"/>
        <v>7.0724637681159419E-5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input_520101!A$2</f>
        <v>520101</v>
      </c>
      <c r="B338" s="2">
        <v>1226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IFERROR(VLOOKUP(B338,input_520101!L:R,7,FALSE),VLOOKUP(tables_520101!C338,input_520101!A:H,8,FALSE))</f>
        <v>95000</v>
      </c>
      <c r="P338" s="46">
        <f t="shared" ca="1" si="31"/>
        <v>7.246376811594203E-4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input_520101!A$2</f>
        <v>520101</v>
      </c>
      <c r="B339" s="2">
        <v>1228</v>
      </c>
      <c r="C339" s="7" t="str">
        <f t="shared" si="29"/>
        <v>PremiumSS5R5only</v>
      </c>
      <c r="D339" s="95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IFERROR(VLOOKUP(B339,input_520101!L:R,7,FALSE),VLOOKUP(tables_520101!C339,input_520101!A:H,8,FALSE))</f>
        <v>95000</v>
      </c>
      <c r="P339" s="46">
        <f t="shared" ca="1" si="31"/>
        <v>7.246376811594203E-4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input_520101!A$2</f>
        <v>520101</v>
      </c>
      <c r="B340" s="2">
        <v>1230</v>
      </c>
      <c r="C340" s="7" t="str">
        <f t="shared" si="29"/>
        <v>PremiumSS5R5only</v>
      </c>
      <c r="D340" s="95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IFERROR(VLOOKUP(B340,input_520101!L:R,7,FALSE),VLOOKUP(tables_520101!C340,input_520101!A:H,8,FALSE))</f>
        <v>95000</v>
      </c>
      <c r="P340" s="46">
        <f t="shared" ca="1" si="31"/>
        <v>7.246376811594203E-4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input_520101!A$2</f>
        <v>520101</v>
      </c>
      <c r="B341" s="1">
        <v>1250</v>
      </c>
      <c r="C341" s="7" t="str">
        <f t="shared" ref="C341:C350" si="32">D341&amp;J341&amp;E341&amp;F341&amp;G341</f>
        <v>PremiumSS5R5only</v>
      </c>
      <c r="D341" s="95" t="str">
        <f t="shared" ref="D341:D350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IFERROR(VLOOKUP(B341,input_520101!L:R,7,FALSE),VLOOKUP(tables_520101!C341,input_520101!A:H,8,FALSE))</f>
        <v>95000</v>
      </c>
      <c r="P341" s="46">
        <f t="shared" ref="P341:P350" ca="1" si="34">O341/SUM(O:O)</f>
        <v>7.246376811594203E-4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input_520101!A$2</f>
        <v>520101</v>
      </c>
      <c r="B342" s="1">
        <v>1248</v>
      </c>
      <c r="C342" s="7" t="str">
        <f t="shared" si="32"/>
        <v>Premium4R3less</v>
      </c>
      <c r="D342" s="95" t="str">
        <f t="shared" si="3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IFERROR(VLOOKUP(B342,input_520101!L:R,7,FALSE),VLOOKUP(tables_520101!C342,input_520101!A:H,8,FALSE))</f>
        <v>1298800</v>
      </c>
      <c r="P342" s="46">
        <f t="shared" ca="1" si="34"/>
        <v>9.906941266209E-3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input_520101!A$2</f>
        <v>520101</v>
      </c>
      <c r="B343" s="1">
        <v>1249</v>
      </c>
      <c r="C343" s="7" t="str">
        <f t="shared" si="32"/>
        <v>Premium5R3less</v>
      </c>
      <c r="D343" s="95" t="str">
        <f t="shared" si="3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IFERROR(VLOOKUP(B343,input_520101!L:R,7,FALSE),VLOOKUP(tables_520101!C343,input_520101!A:H,8,FALSE))</f>
        <v>9272</v>
      </c>
      <c r="P343" s="46">
        <f t="shared" ca="1" si="34"/>
        <v>7.0724637681159419E-5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input_520101!A$2</f>
        <v>520101</v>
      </c>
      <c r="B344" s="1">
        <v>1246</v>
      </c>
      <c r="C344" s="7" t="str">
        <f t="shared" si="32"/>
        <v>PremiumSS5R5only</v>
      </c>
      <c r="D344" s="95" t="str">
        <f t="shared" si="3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IFERROR(VLOOKUP(B344,input_520101!L:R,7,FALSE),VLOOKUP(tables_520101!C344,input_520101!A:H,8,FALSE))</f>
        <v>95000</v>
      </c>
      <c r="P344" s="46">
        <f t="shared" ca="1" si="34"/>
        <v>7.246376811594203E-4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input_520101!A$2</f>
        <v>520101</v>
      </c>
      <c r="B345" s="1">
        <v>1244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IFERROR(VLOOKUP(B345,input_520101!L:R,7,FALSE),VLOOKUP(tables_520101!C345,input_520101!A:H,8,FALSE))</f>
        <v>95000</v>
      </c>
      <c r="P345" s="46">
        <f t="shared" ca="1" si="34"/>
        <v>7.246376811594203E-4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input_520101!A$2</f>
        <v>520101</v>
      </c>
      <c r="B346" s="1">
        <v>1260</v>
      </c>
      <c r="C346" s="7" t="str">
        <f t="shared" si="32"/>
        <v>PremiumSS5R5only</v>
      </c>
      <c r="D346" s="95" t="str">
        <f t="shared" si="3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IFERROR(VLOOKUP(B346,input_520101!L:R,7,FALSE),VLOOKUP(tables_520101!C346,input_520101!A:H,8,FALSE))</f>
        <v>95000</v>
      </c>
      <c r="P346" s="46">
        <f t="shared" ca="1" si="34"/>
        <v>7.246376811594203E-4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input_520101!A$2</f>
        <v>520101</v>
      </c>
      <c r="B347" s="1">
        <v>1262</v>
      </c>
      <c r="C347" s="7" t="str">
        <f t="shared" si="32"/>
        <v>PremiumSS5R5only</v>
      </c>
      <c r="D347" s="95" t="str">
        <f t="shared" si="3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IFERROR(VLOOKUP(B347,input_520101!L:R,7,FALSE),VLOOKUP(tables_520101!C347,input_520101!A:H,8,FALSE))</f>
        <v>95000</v>
      </c>
      <c r="P347" s="46">
        <f t="shared" ca="1" si="34"/>
        <v>7.246376811594203E-4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input_520101!A$2</f>
        <v>520101</v>
      </c>
      <c r="B348" s="1">
        <v>1264</v>
      </c>
      <c r="C348" s="7" t="str">
        <f t="shared" si="32"/>
        <v>PremiumSS5R5only</v>
      </c>
      <c r="D348" s="95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IFERROR(VLOOKUP(B348,input_520101!L:R,7,FALSE),VLOOKUP(tables_520101!C348,input_520101!A:H,8,FALSE))</f>
        <v>95000</v>
      </c>
      <c r="P348" s="46">
        <f t="shared" ca="1" si="34"/>
        <v>7.246376811594203E-4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input_520101!A$2</f>
        <v>520101</v>
      </c>
      <c r="B349" s="1">
        <v>1266</v>
      </c>
      <c r="C349" s="7" t="str">
        <f t="shared" si="32"/>
        <v>Premium4R3less</v>
      </c>
      <c r="D349" s="95" t="str">
        <f t="shared" si="3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IFERROR(VLOOKUP(B349,input_520101!L:R,7,FALSE),VLOOKUP(tables_520101!C349,input_520101!A:H,8,FALSE))</f>
        <v>1298800</v>
      </c>
      <c r="P349" s="46">
        <f t="shared" ca="1" si="34"/>
        <v>9.906941266209E-3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input_520101!A$2</f>
        <v>520101</v>
      </c>
      <c r="B350" s="1">
        <v>1267</v>
      </c>
      <c r="C350" s="7" t="str">
        <f t="shared" si="32"/>
        <v>Premium5R3less</v>
      </c>
      <c r="D350" s="95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IFERROR(VLOOKUP(B350,input_520101!L:R,7,FALSE),VLOOKUP(tables_520101!C350,input_520101!A:H,8,FALSE))</f>
        <v>9272</v>
      </c>
      <c r="P350" s="46">
        <f t="shared" ca="1" si="34"/>
        <v>7.0724637681159419E-5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D20" sqref="D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VLOOKUP(L3,tables_520100!B:C,2,FALSE)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VLOOKUP(L4,tables_520100!B:C,2,FALSE)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(COUNTIF(tables_520100!C:C,input_520100!A28)+COUNTIF(tables_520100!C:C,input_520100!A29))</f>
        <v>69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0.01</v>
      </c>
      <c r="F6">
        <f>(COUNTIF(tables_520100!C:C,input_520100!A25)+COUNTIF(tables_520100!C:C,input_520100!A18)+COUNTIF(tables_520100!C:C,input_520100!A20)+COUNTIF(tables_520100!C:C,input_520100!A22))</f>
        <v>95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E17*E6-B18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COUNTIF(tables_520100!C:C,input_520100!A17)-COUNTIF(Q:Q,A17)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0.2</v>
      </c>
      <c r="C18" s="84">
        <f t="shared" si="2"/>
        <v>0</v>
      </c>
      <c r="D18" s="74">
        <f t="shared" si="3"/>
        <v>0.2</v>
      </c>
      <c r="E18">
        <f>COUNTIF(tables_520100!C:C,input_520100!A18)-COUNTIF(Q:Q,A18)</f>
        <v>20</v>
      </c>
      <c r="F18" s="43">
        <f>IFERROR(B18/E18,0)</f>
        <v>0.01</v>
      </c>
      <c r="G18">
        <f t="shared" si="4"/>
        <v>26220000</v>
      </c>
      <c r="H18">
        <f t="shared" si="5"/>
        <v>1311000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COUNTIF(tables_520100!C:C,input_520100!A19)-COUNTIF(Q:Q,A19)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0.48100000000000004</v>
      </c>
      <c r="C20" s="84">
        <f t="shared" si="2"/>
        <v>0</v>
      </c>
      <c r="D20" s="74">
        <f t="shared" si="3"/>
        <v>0.48100000000000004</v>
      </c>
      <c r="E20">
        <f>COUNTIF(tables_520100!C:C,input_520100!A20)-COUNTIF(Q:Q,A20)</f>
        <v>52</v>
      </c>
      <c r="F20" s="43">
        <f t="shared" si="8"/>
        <v>9.2500000000000013E-3</v>
      </c>
      <c r="G20">
        <f t="shared" si="4"/>
        <v>63059100.000000007</v>
      </c>
      <c r="H20">
        <f t="shared" si="5"/>
        <v>1212675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E21*E6*B7</f>
        <v>3.9E-2</v>
      </c>
      <c r="C21" s="84">
        <f t="shared" si="2"/>
        <v>0</v>
      </c>
      <c r="D21" s="74">
        <f t="shared" si="3"/>
        <v>3.9E-2</v>
      </c>
      <c r="E21">
        <f>COUNTIF(tables_520100!C:C,input_520100!A21)-COUNTIF(Q:Q,A21)</f>
        <v>52</v>
      </c>
      <c r="F21" s="43">
        <f t="shared" si="8"/>
        <v>7.5000000000000002E-4</v>
      </c>
      <c r="G21">
        <f t="shared" si="4"/>
        <v>5112900</v>
      </c>
      <c r="H21">
        <f t="shared" si="5"/>
        <v>98325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E22*E6-B23</f>
        <v>0.18823188405797103</v>
      </c>
      <c r="C22" s="84">
        <f t="shared" si="2"/>
        <v>0</v>
      </c>
      <c r="D22" s="74">
        <f t="shared" si="3"/>
        <v>0.18823188405797103</v>
      </c>
      <c r="E22">
        <f>COUNTIF(tables_520100!C:C,input_520100!A22)-COUNTIF(Q:Q,A22)</f>
        <v>19</v>
      </c>
      <c r="F22" s="43">
        <f t="shared" si="8"/>
        <v>9.9069412662090017E-3</v>
      </c>
      <c r="G22">
        <f t="shared" si="4"/>
        <v>24677200.000000004</v>
      </c>
      <c r="H22">
        <f t="shared" si="5"/>
        <v>1298800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B7-SUM(B21,B26,B28,B29)</f>
        <v>1.7681159420289833E-3</v>
      </c>
      <c r="C23" s="84">
        <f t="shared" si="2"/>
        <v>0</v>
      </c>
      <c r="D23" s="74">
        <f t="shared" si="3"/>
        <v>1.7681159420289833E-3</v>
      </c>
      <c r="E23">
        <f>COUNTIF(tables_520100!C:C,input_520100!A23)-COUNTIF(Q:Q,A23)</f>
        <v>25</v>
      </c>
      <c r="F23" s="43">
        <f t="shared" si="8"/>
        <v>7.0724637681159324E-5</v>
      </c>
      <c r="G23">
        <f t="shared" si="4"/>
        <v>231799.99999999971</v>
      </c>
      <c r="H23">
        <f t="shared" si="5"/>
        <v>9272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COUNTIF(tables_520100!C:C,input_520100!A24)-COUNTIF(Q:Q,A24)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4">
        <f t="shared" si="2"/>
        <v>0</v>
      </c>
      <c r="D25" s="74">
        <f t="shared" si="3"/>
        <v>3.7000000000000005E-2</v>
      </c>
      <c r="E25">
        <f>COUNTIF(tables_520100!C:C,input_520100!A25)-COUNTIF(Q:Q,A25)</f>
        <v>4</v>
      </c>
      <c r="F25" s="43">
        <f t="shared" si="8"/>
        <v>9.2500000000000013E-3</v>
      </c>
      <c r="G25">
        <f t="shared" si="4"/>
        <v>4850700.0000000009</v>
      </c>
      <c r="H25">
        <f t="shared" si="5"/>
        <v>1212675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4">
        <f t="shared" si="2"/>
        <v>0</v>
      </c>
      <c r="D26" s="74">
        <f t="shared" si="3"/>
        <v>3.0000000000000001E-3</v>
      </c>
      <c r="E26">
        <f>COUNTIF(tables_520100!C:C,input_520100!A26)-COUNTIF(Q:Q,A26)</f>
        <v>4</v>
      </c>
      <c r="F26" s="43">
        <f t="shared" si="8"/>
        <v>7.5000000000000002E-4</v>
      </c>
      <c r="G26">
        <f t="shared" si="4"/>
        <v>393300</v>
      </c>
      <c r="H26">
        <f t="shared" si="5"/>
        <v>98325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1.8768115942028984E-2</v>
      </c>
      <c r="C27" s="84">
        <f t="shared" si="2"/>
        <v>0</v>
      </c>
      <c r="D27" s="74">
        <f t="shared" si="3"/>
        <v>1.8768115942028984E-2</v>
      </c>
      <c r="E27">
        <f>COUNTIF(tables_520100!C:C,input_520100!A27)-COUNTIF(Q:Q,A27)</f>
        <v>28</v>
      </c>
      <c r="F27" s="43">
        <f>IFERROR(B27/E27,0)</f>
        <v>6.702898550724637E-4</v>
      </c>
      <c r="G27">
        <f t="shared" si="4"/>
        <v>2460500</v>
      </c>
      <c r="H27">
        <f t="shared" si="5"/>
        <v>87875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1.5217391304347824E-3</v>
      </c>
      <c r="C28" s="84">
        <f t="shared" si="2"/>
        <v>0</v>
      </c>
      <c r="D28" s="74">
        <f t="shared" si="3"/>
        <v>1.5217391304347824E-3</v>
      </c>
      <c r="E28">
        <f>COUNTIF(tables_520100!C:C,input_520100!A28)-COUNTIF(Q:Q,A28)</f>
        <v>28</v>
      </c>
      <c r="F28" s="43">
        <f t="shared" si="8"/>
        <v>5.434782608695651E-5</v>
      </c>
      <c r="G28">
        <f t="shared" si="4"/>
        <v>199499.99999999997</v>
      </c>
      <c r="H28">
        <f t="shared" si="5"/>
        <v>7125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4">
        <f t="shared" si="2"/>
        <v>0</v>
      </c>
      <c r="D29" s="74">
        <f t="shared" si="3"/>
        <v>2.9710144927536233E-2</v>
      </c>
      <c r="E29">
        <f>COUNTIF(tables_520100!C:C,input_520100!A29)-COUNTIF(Q:Q,A29)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COUNTIF(tables_520100!C:C,input_520100!A30)-COUNTIF(Q:Q,A30)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COUNTIF(tables_520100!C:C,input_520100!A31)-COUNTIF(Q:Q,A31)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SUMIF(tables_520100!C:C,input_520100!A40,tables_520100!O:O)</f>
        <v>0</v>
      </c>
      <c r="C40" s="54">
        <f t="shared" ref="C40:C46" ca="1" si="9">B40/B$47</f>
        <v>0</v>
      </c>
      <c r="E40">
        <v>3</v>
      </c>
      <c r="F40">
        <f ca="1">SUMIF(tables_520100!J:J,input_520100!E40,tables_520100!O:O)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SUMIF(tables_520100!C:C,input_520100!A41,tables_520100!O:O)</f>
        <v>63059100</v>
      </c>
      <c r="C41" s="54">
        <f t="shared" ca="1" si="9"/>
        <v>0.89026287553648065</v>
      </c>
      <c r="E41">
        <v>4</v>
      </c>
      <c r="F41">
        <f ca="1">SUMIF(tables_520100!J:J,input_520100!E41,tables_520100!O:O)</f>
        <v>121267500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SUMIF(tables_520100!C:C,input_520100!A42,tables_520100!O:O)</f>
        <v>2460500</v>
      </c>
      <c r="C42" s="54">
        <f t="shared" ca="1" si="9"/>
        <v>3.4737124463519314E-2</v>
      </c>
      <c r="E42">
        <v>5</v>
      </c>
      <c r="F42">
        <f ca="1">SUMIF(tables_520100!J:J,input_520100!E42,tables_520100!O:O)</f>
        <v>9832500</v>
      </c>
      <c r="G42">
        <f ca="1">F42/A36</f>
        <v>7.4999999999999997E-2</v>
      </c>
    </row>
    <row r="43" spans="1:7" x14ac:dyDescent="0.15">
      <c r="A43" s="33" t="s">
        <v>109</v>
      </c>
      <c r="B43">
        <f>SUMIF(tables_520100!C:C,input_520100!A43,tables_520100!O:O)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SUMIF(tables_520100!C:C,input_520100!A44,tables_520100!O:O)</f>
        <v>5112900</v>
      </c>
      <c r="C44" s="54">
        <f t="shared" ca="1" si="9"/>
        <v>7.2183476394849788E-2</v>
      </c>
      <c r="E44" t="s">
        <v>54</v>
      </c>
      <c r="F44" s="55"/>
    </row>
    <row r="45" spans="1:7" x14ac:dyDescent="0.15">
      <c r="A45" s="33" t="s">
        <v>107</v>
      </c>
      <c r="B45">
        <f ca="1">SUMIF(tables_520100!C:C,input_520100!A45,tables_520100!O:O)</f>
        <v>199500</v>
      </c>
      <c r="C45" s="54">
        <f t="shared" ca="1" si="9"/>
        <v>2.8165236051502147E-3</v>
      </c>
      <c r="E45" t="s">
        <v>204</v>
      </c>
      <c r="F45" s="55">
        <f ca="1">SUMIF(tables_520100!I:I,input_520100!E45,tables_520100!P:P)</f>
        <v>0.20042434782608695</v>
      </c>
    </row>
    <row r="46" spans="1:7" x14ac:dyDescent="0.15">
      <c r="A46" s="33" t="s">
        <v>108</v>
      </c>
      <c r="B46">
        <f>SUMIF(tables_520100!C:C,input_520100!A46,tables_520100!O:O)</f>
        <v>0</v>
      </c>
      <c r="C46" s="54">
        <f t="shared" ca="1" si="9"/>
        <v>0</v>
      </c>
      <c r="E46" t="s">
        <v>205</v>
      </c>
      <c r="F46" s="55">
        <f ca="1">SUMIF(tables_520100!I:I,input_520100!E46,tables_520100!P:P)</f>
        <v>0.20000000000000004</v>
      </c>
    </row>
    <row r="47" spans="1:7" x14ac:dyDescent="0.15">
      <c r="A47" s="39" t="s">
        <v>59</v>
      </c>
      <c r="B47">
        <f ca="1">SUM(B40:B46)</f>
        <v>70832000</v>
      </c>
      <c r="C47" s="55">
        <f ca="1">SUM(C40:C46)</f>
        <v>0.99999999999999989</v>
      </c>
      <c r="E47" t="s">
        <v>206</v>
      </c>
      <c r="F47" s="55">
        <f ca="1">SUMIF(tables_520100!I:I,input_520100!E47,tables_520100!P:P)</f>
        <v>0.54957565217391247</v>
      </c>
    </row>
    <row r="48" spans="1:7" x14ac:dyDescent="0.15">
      <c r="E48" t="s">
        <v>207</v>
      </c>
      <c r="F48" s="55">
        <f ca="1">SUMIF(tables_520100!I:I,input_520100!E48,tables_520100!P:P)</f>
        <v>4.4202898550724658E-2</v>
      </c>
    </row>
    <row r="49" spans="5:6" x14ac:dyDescent="0.15">
      <c r="E49" t="s">
        <v>251</v>
      </c>
      <c r="F49" s="55">
        <f ca="1">SUMIF(tables_520100!I:I,input_520100!E49,tables_520100!P:P)</f>
        <v>5.7971014492753624E-3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6" activePane="bottomLeft" state="frozen"/>
      <selection activeCell="D34" sqref="D34"/>
      <selection pane="bottomLeft" activeCell="C340" sqref="C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input_520100!A$2</f>
        <v>520100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IFERROR(VLOOKUP(B2,input_520100!L:R,7,FALSE),VLOOKUP(tables_520100!C2,input_520100!A:H,8,FALSE))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input_520100!A$2</f>
        <v>520100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IFERROR(VLOOKUP(B3,input_520100!L:R,7,FALSE),VLOOKUP(tables_520100!C3,input_520100!A:H,8,FALSE))</f>
        <v>1311000</v>
      </c>
      <c r="P3" s="46">
        <f t="shared" ca="1" si="1"/>
        <v>0.01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input_520100!A$2</f>
        <v>520100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IFERROR(VLOOKUP(B4,input_520100!L:R,7,FALSE),VLOOKUP(tables_520100!C4,input_520100!A:H,8,FALSE))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input_520100!A$2</f>
        <v>520100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IFERROR(VLOOKUP(B5,input_520100!L:R,7,FALSE),VLOOKUP(tables_520100!C5,input_520100!A:H,8,FALSE))</f>
        <v>1311000</v>
      </c>
      <c r="P5" s="46">
        <f t="shared" ca="1" si="1"/>
        <v>0.01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input_520100!A$2</f>
        <v>520100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IFERROR(VLOOKUP(B6,input_520100!L:R,7,FALSE),VLOOKUP(tables_520100!C6,input_520100!A:H,8,FALSE))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input_520100!A$2</f>
        <v>520100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IFERROR(VLOOKUP(B7,input_520100!L:R,7,FALSE),VLOOKUP(tables_520100!C7,input_520100!A:H,8,FALSE))</f>
        <v>1311000</v>
      </c>
      <c r="P7" s="46">
        <f t="shared" ca="1" si="1"/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input_520100!A$2</f>
        <v>520100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IFERROR(VLOOKUP(B8,input_520100!L:R,7,FALSE),VLOOKUP(tables_520100!C8,input_520100!A:H,8,FALSE))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input_520100!A$2</f>
        <v>520100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IFERROR(VLOOKUP(B9,input_520100!L:R,7,FALSE),VLOOKUP(tables_520100!C9,input_520100!A:H,8,FALSE))</f>
        <v>1311000</v>
      </c>
      <c r="P9" s="46">
        <f t="shared" ca="1" si="1"/>
        <v>0.01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input_520100!A$2</f>
        <v>520100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IFERROR(VLOOKUP(B10,input_520100!L:R,7,FALSE),VLOOKUP(tables_520100!C10,input_520100!A:H,8,FALSE))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input_520100!A$2</f>
        <v>520100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IFERROR(VLOOKUP(B11,input_520100!L:R,7,FALSE),VLOOKUP(tables_520100!C11,input_520100!A:H,8,FALSE))</f>
        <v>1311000</v>
      </c>
      <c r="P11" s="46">
        <f t="shared" ca="1" si="1"/>
        <v>0.01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input_520100!A$2</f>
        <v>520100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IFERROR(VLOOKUP(B12,input_520100!L:R,7,FALSE),VLOOKUP(tables_520100!C12,input_520100!A:H,8,FALSE))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input_520100!A$2</f>
        <v>520100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IFERROR(VLOOKUP(B13,input_520100!L:R,7,FALSE),VLOOKUP(tables_520100!C13,input_520100!A:H,8,FALSE))</f>
        <v>1311000</v>
      </c>
      <c r="P13" s="46">
        <f t="shared" ca="1" si="1"/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input_520100!A$2</f>
        <v>520100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IFERROR(VLOOKUP(B14,input_520100!L:R,7,FALSE),VLOOKUP(tables_520100!C14,input_520100!A:H,8,FALSE))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input_520100!A$2</f>
        <v>520100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IFERROR(VLOOKUP(B15,input_520100!L:R,7,FALSE),VLOOKUP(tables_520100!C15,input_520100!A:H,8,FALSE))</f>
        <v>1311000</v>
      </c>
      <c r="P15" s="46">
        <f t="shared" ca="1" si="1"/>
        <v>0.01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input_520100!A$2</f>
        <v>520100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IFERROR(VLOOKUP(B16,input_520100!L:R,7,FALSE),VLOOKUP(tables_520100!C16,input_520100!A:H,8,FALSE))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input_520100!A$2</f>
        <v>520100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IFERROR(VLOOKUP(B17,input_520100!L:R,7,FALSE),VLOOKUP(tables_520100!C17,input_520100!A:H,8,FALSE))</f>
        <v>1311000</v>
      </c>
      <c r="P17" s="46">
        <f t="shared" ca="1" si="1"/>
        <v>0.01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input_520100!A$2</f>
        <v>520100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IFERROR(VLOOKUP(B18,input_520100!L:R,7,FALSE),VLOOKUP(tables_520100!C18,input_520100!A:H,8,FALSE))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input_520100!A$2</f>
        <v>520100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IFERROR(VLOOKUP(B19,input_520100!L:R,7,FALSE),VLOOKUP(tables_520100!C19,input_520100!A:H,8,FALSE))</f>
        <v>1311000</v>
      </c>
      <c r="P19" s="46">
        <f t="shared" ca="1" si="1"/>
        <v>0.01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input_520100!A$2</f>
        <v>520100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IFERROR(VLOOKUP(B20,input_520100!L:R,7,FALSE),VLOOKUP(tables_520100!C20,input_520100!A:H,8,FALSE))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input_520100!A$2</f>
        <v>520100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IFERROR(VLOOKUP(B21,input_520100!L:R,7,FALSE),VLOOKUP(tables_520100!C21,input_520100!A:H,8,FALSE))</f>
        <v>1311000</v>
      </c>
      <c r="P21" s="46">
        <f t="shared" ca="1" si="1"/>
        <v>0.01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input_520100!A$2</f>
        <v>520100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IFERROR(VLOOKUP(B22,input_520100!L:R,7,FALSE),VLOOKUP(tables_520100!C22,input_520100!A:H,8,FALSE))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input_520100!A$2</f>
        <v>520100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IFERROR(VLOOKUP(B23,input_520100!L:R,7,FALSE),VLOOKUP(tables_520100!C23,input_520100!A:H,8,FALSE))</f>
        <v>1311000</v>
      </c>
      <c r="P23" s="46">
        <f t="shared" ca="1" si="1"/>
        <v>0.01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input_520100!A$2</f>
        <v>520100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IFERROR(VLOOKUP(B24,input_520100!L:R,7,FALSE),VLOOKUP(tables_520100!C24,input_520100!A:H,8,FALSE))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input_520100!A$2</f>
        <v>520100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IFERROR(VLOOKUP(B25,input_520100!L:R,7,FALSE),VLOOKUP(tables_520100!C25,input_520100!A:H,8,FALSE))</f>
        <v>1311000</v>
      </c>
      <c r="P25" s="46">
        <f t="shared" ca="1" si="1"/>
        <v>0.01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input_520100!A$2</f>
        <v>520100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IFERROR(VLOOKUP(B26,input_520100!L:R,7,FALSE),VLOOKUP(tables_520100!C26,input_520100!A:H,8,FALSE))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input_520100!A$2</f>
        <v>520100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IFERROR(VLOOKUP(B27,input_520100!L:R,7,FALSE),VLOOKUP(tables_520100!C27,input_520100!A:H,8,FALSE))</f>
        <v>1311000</v>
      </c>
      <c r="P27" s="46">
        <f t="shared" ca="1" si="1"/>
        <v>0.01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input_520100!A$2</f>
        <v>520100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IFERROR(VLOOKUP(B28,input_520100!L:R,7,FALSE),VLOOKUP(tables_520100!C28,input_520100!A:H,8,FALSE))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input_520100!A$2</f>
        <v>520100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IFERROR(VLOOKUP(B29,input_520100!L:R,7,FALSE),VLOOKUP(tables_520100!C29,input_520100!A:H,8,FALSE))</f>
        <v>1311000</v>
      </c>
      <c r="P29" s="46">
        <f t="shared" ca="1" si="1"/>
        <v>0.01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input_520100!A$2</f>
        <v>520100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IFERROR(VLOOKUP(B30,input_520100!L:R,7,FALSE),VLOOKUP(tables_520100!C30,input_520100!A:H,8,FALSE))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input_520100!A$2</f>
        <v>520100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IFERROR(VLOOKUP(B31,input_520100!L:R,7,FALSE),VLOOKUP(tables_520100!C31,input_520100!A:H,8,FALSE))</f>
        <v>1311000</v>
      </c>
      <c r="P31" s="46">
        <f t="shared" ca="1" si="1"/>
        <v>0.01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input_520100!A$2</f>
        <v>520100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IFERROR(VLOOKUP(B32,input_520100!L:R,7,FALSE),VLOOKUP(tables_520100!C32,input_520100!A:H,8,FALSE))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input_520100!A$2</f>
        <v>520100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IFERROR(VLOOKUP(B33,input_520100!L:R,7,FALSE),VLOOKUP(tables_520100!C33,input_520100!A:H,8,FALSE))</f>
        <v>1311000</v>
      </c>
      <c r="P33" s="46">
        <f t="shared" ca="1" si="1"/>
        <v>0.01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input_520100!A$2</f>
        <v>520100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IFERROR(VLOOKUP(B34,input_520100!L:R,7,FALSE),VLOOKUP(tables_520100!C34,input_520100!A:H,8,FALSE))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input_520100!A$2</f>
        <v>520100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IFERROR(VLOOKUP(B35,input_520100!L:R,7,FALSE),VLOOKUP(tables_520100!C35,input_520100!A:H,8,FALSE))</f>
        <v>1311000</v>
      </c>
      <c r="P35" s="46">
        <f t="shared" ca="1" si="1"/>
        <v>0.01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input_520100!A$2</f>
        <v>520100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IFERROR(VLOOKUP(B36,input_520100!L:R,7,FALSE),VLOOKUP(tables_520100!C36,input_520100!A:H,8,FALSE))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input_520100!A$2</f>
        <v>520100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IFERROR(VLOOKUP(B37,input_520100!L:R,7,FALSE),VLOOKUP(tables_520100!C37,input_520100!A:H,8,FALSE))</f>
        <v>1311000</v>
      </c>
      <c r="P37" s="46">
        <f t="shared" ca="1" si="1"/>
        <v>0.01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input_520100!A$2</f>
        <v>520100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IFERROR(VLOOKUP(B38,input_520100!L:R,7,FALSE),VLOOKUP(tables_520100!C38,input_520100!A:H,8,FALSE))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input_520100!A$2</f>
        <v>520100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IFERROR(VLOOKUP(B39,input_520100!L:R,7,FALSE),VLOOKUP(tables_520100!C39,input_520100!A:H,8,FALSE))</f>
        <v>1311000</v>
      </c>
      <c r="P39" s="46">
        <f t="shared" ca="1" si="1"/>
        <v>0.01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input_520100!A$2</f>
        <v>520100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IFERROR(VLOOKUP(B40,input_520100!L:R,7,FALSE),VLOOKUP(tables_520100!C40,input_520100!A:H,8,FALSE))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input_520100!A$2</f>
        <v>520100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IFERROR(VLOOKUP(B41,input_520100!L:R,7,FALSE),VLOOKUP(tables_520100!C41,input_520100!A:H,8,FALSE))</f>
        <v>1311000</v>
      </c>
      <c r="P41" s="46">
        <f t="shared" ca="1" si="1"/>
        <v>0.01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input_520100!A$2</f>
        <v>520100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IFERROR(VLOOKUP(B42,input_520100!L:R,7,FALSE),VLOOKUP(tables_520100!C42,input_520100!A:H,8,FALSE))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input_520100!A$2</f>
        <v>520100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IFERROR(VLOOKUP(B43,input_520100!L:R,7,FALSE),VLOOKUP(tables_520100!C43,input_520100!A:H,8,FALSE))</f>
        <v>1212675</v>
      </c>
      <c r="P43" s="46">
        <f t="shared" ca="1" si="1"/>
        <v>9.2499999999999995E-3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input_520100!A$2</f>
        <v>520100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IFERROR(VLOOKUP(B44,input_520100!L:R,7,FALSE),VLOOKUP(tables_520100!C44,input_520100!A:H,8,FALSE))</f>
        <v>98325</v>
      </c>
      <c r="P44" s="46">
        <f t="shared" ca="1" si="1"/>
        <v>7.5000000000000002E-4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input_520100!A$2</f>
        <v>520100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IFERROR(VLOOKUP(B45,input_520100!L:R,7,FALSE),VLOOKUP(tables_520100!C45,input_520100!A:H,8,FALSE))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input_520100!A$2</f>
        <v>520100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IFERROR(VLOOKUP(B46,input_520100!L:R,7,FALSE),VLOOKUP(tables_520100!C46,input_520100!A:H,8,FALSE))</f>
        <v>1212675</v>
      </c>
      <c r="P46" s="46">
        <f t="shared" ca="1" si="1"/>
        <v>9.2499999999999995E-3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input_520100!A$2</f>
        <v>520100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IFERROR(VLOOKUP(B47,input_520100!L:R,7,FALSE),VLOOKUP(tables_520100!C47,input_520100!A:H,8,FALSE))</f>
        <v>98325</v>
      </c>
      <c r="P47" s="46">
        <f t="shared" ca="1" si="1"/>
        <v>7.5000000000000002E-4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input_520100!A$2</f>
        <v>520100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IFERROR(VLOOKUP(B48,input_520100!L:R,7,FALSE),VLOOKUP(tables_520100!C48,input_520100!A:H,8,FALSE))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input_520100!A$2</f>
        <v>520100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IFERROR(VLOOKUP(B49,input_520100!L:R,7,FALSE),VLOOKUP(tables_520100!C49,input_520100!A:H,8,FALSE))</f>
        <v>1212675</v>
      </c>
      <c r="P49" s="46">
        <f t="shared" ca="1" si="1"/>
        <v>9.2499999999999995E-3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input_520100!A$2</f>
        <v>520100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IFERROR(VLOOKUP(B50,input_520100!L:R,7,FALSE),VLOOKUP(tables_520100!C50,input_520100!A:H,8,FALSE))</f>
        <v>98325</v>
      </c>
      <c r="P50" s="46">
        <f t="shared" ca="1" si="1"/>
        <v>7.5000000000000002E-4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input_520100!A$2</f>
        <v>520100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IFERROR(VLOOKUP(B51,input_520100!L:R,7,FALSE),VLOOKUP(tables_520100!C51,input_520100!A:H,8,FALSE))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input_520100!A$2</f>
        <v>520100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IFERROR(VLOOKUP(B52,input_520100!L:R,7,FALSE),VLOOKUP(tables_520100!C52,input_520100!A:H,8,FALSE))</f>
        <v>1212675</v>
      </c>
      <c r="P52" s="46">
        <f t="shared" ca="1" si="1"/>
        <v>9.2499999999999995E-3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input_520100!A$2</f>
        <v>520100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IFERROR(VLOOKUP(B53,input_520100!L:R,7,FALSE),VLOOKUP(tables_520100!C53,input_520100!A:H,8,FALSE))</f>
        <v>98325</v>
      </c>
      <c r="P53" s="46">
        <f t="shared" ca="1" si="1"/>
        <v>7.5000000000000002E-4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input_520100!A$2</f>
        <v>520100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IFERROR(VLOOKUP(B54,input_520100!L:R,7,FALSE),VLOOKUP(tables_520100!C54,input_520100!A:H,8,FALSE))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input_520100!A$2</f>
        <v>520100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IFERROR(VLOOKUP(B55,input_520100!L:R,7,FALSE),VLOOKUP(tables_520100!C55,input_520100!A:H,8,FALSE))</f>
        <v>1212675</v>
      </c>
      <c r="P55" s="46">
        <f t="shared" ca="1" si="1"/>
        <v>9.2499999999999995E-3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input_520100!A$2</f>
        <v>520100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IFERROR(VLOOKUP(B56,input_520100!L:R,7,FALSE),VLOOKUP(tables_520100!C56,input_520100!A:H,8,FALSE))</f>
        <v>98325</v>
      </c>
      <c r="P56" s="46">
        <f t="shared" ca="1" si="1"/>
        <v>7.5000000000000002E-4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input_520100!A$2</f>
        <v>520100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IFERROR(VLOOKUP(B57,input_520100!L:R,7,FALSE),VLOOKUP(tables_520100!C57,input_520100!A:H,8,FALSE))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input_520100!A$2</f>
        <v>520100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IFERROR(VLOOKUP(B58,input_520100!L:R,7,FALSE),VLOOKUP(tables_520100!C58,input_520100!A:H,8,FALSE))</f>
        <v>1212675</v>
      </c>
      <c r="P58" s="46">
        <f t="shared" ca="1" si="1"/>
        <v>9.2499999999999995E-3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input_520100!A$2</f>
        <v>520100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IFERROR(VLOOKUP(B59,input_520100!L:R,7,FALSE),VLOOKUP(tables_520100!C59,input_520100!A:H,8,FALSE))</f>
        <v>98325</v>
      </c>
      <c r="P59" s="46">
        <f t="shared" ca="1" si="1"/>
        <v>7.5000000000000002E-4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input_520100!A$2</f>
        <v>520100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IFERROR(VLOOKUP(B60,input_520100!L:R,7,FALSE),VLOOKUP(tables_520100!C60,input_520100!A:H,8,FALSE))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input_520100!A$2</f>
        <v>520100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IFERROR(VLOOKUP(B61,input_520100!L:R,7,FALSE),VLOOKUP(tables_520100!C61,input_520100!A:H,8,FALSE))</f>
        <v>1212675</v>
      </c>
      <c r="P61" s="46">
        <f t="shared" ca="1" si="1"/>
        <v>9.2499999999999995E-3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input_520100!A$2</f>
        <v>520100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IFERROR(VLOOKUP(B62,input_520100!L:R,7,FALSE),VLOOKUP(tables_520100!C62,input_520100!A:H,8,FALSE))</f>
        <v>98325</v>
      </c>
      <c r="P62" s="46">
        <f t="shared" ca="1" si="1"/>
        <v>7.5000000000000002E-4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input_520100!A$2</f>
        <v>520100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IFERROR(VLOOKUP(B63,input_520100!L:R,7,FALSE),VLOOKUP(tables_520100!C63,input_520100!A:H,8,FALSE))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input_520100!A$2</f>
        <v>520100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IFERROR(VLOOKUP(B64,input_520100!L:R,7,FALSE),VLOOKUP(tables_520100!C64,input_520100!A:H,8,FALSE))</f>
        <v>1212675</v>
      </c>
      <c r="P64" s="46">
        <f t="shared" ca="1" si="1"/>
        <v>9.2499999999999995E-3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input_520100!A$2</f>
        <v>520100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IFERROR(VLOOKUP(B65,input_520100!L:R,7,FALSE),VLOOKUP(tables_520100!C65,input_520100!A:H,8,FALSE))</f>
        <v>98325</v>
      </c>
      <c r="P65" s="46">
        <f t="shared" ca="1" si="1"/>
        <v>7.5000000000000002E-4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input_520100!A$2</f>
        <v>520100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IFERROR(VLOOKUP(B66,input_520100!L:R,7,FALSE),VLOOKUP(tables_520100!C66,input_520100!A:H,8,FALSE))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input_520100!A$2</f>
        <v>520100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IFERROR(VLOOKUP(B67,input_520100!L:R,7,FALSE),VLOOKUP(tables_520100!C67,input_520100!A:H,8,FALSE))</f>
        <v>1212675</v>
      </c>
      <c r="P67" s="46">
        <f t="shared" ca="1" si="4"/>
        <v>9.2499999999999995E-3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input_520100!A$2</f>
        <v>520100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IFERROR(VLOOKUP(B68,input_520100!L:R,7,FALSE),VLOOKUP(tables_520100!C68,input_520100!A:H,8,FALSE))</f>
        <v>98325</v>
      </c>
      <c r="P68" s="46">
        <f t="shared" ca="1" si="4"/>
        <v>7.5000000000000002E-4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input_520100!A$2</f>
        <v>520100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IFERROR(VLOOKUP(B69,input_520100!L:R,7,FALSE),VLOOKUP(tables_520100!C69,input_520100!A:H,8,FALSE))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input_520100!A$2</f>
        <v>520100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IFERROR(VLOOKUP(B70,input_520100!L:R,7,FALSE),VLOOKUP(tables_520100!C70,input_520100!A:H,8,FALSE))</f>
        <v>1212675</v>
      </c>
      <c r="P70" s="46">
        <f t="shared" ca="1" si="4"/>
        <v>9.2499999999999995E-3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input_520100!A$2</f>
        <v>520100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IFERROR(VLOOKUP(B71,input_520100!L:R,7,FALSE),VLOOKUP(tables_520100!C71,input_520100!A:H,8,FALSE))</f>
        <v>98325</v>
      </c>
      <c r="P71" s="46">
        <f t="shared" ca="1" si="4"/>
        <v>7.5000000000000002E-4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input_520100!A$2</f>
        <v>520100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IFERROR(VLOOKUP(B72,input_520100!L:R,7,FALSE),VLOOKUP(tables_520100!C72,input_520100!A:H,8,FALSE))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input_520100!A$2</f>
        <v>520100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IFERROR(VLOOKUP(B73,input_520100!L:R,7,FALSE),VLOOKUP(tables_520100!C73,input_520100!A:H,8,FALSE))</f>
        <v>1212675</v>
      </c>
      <c r="P73" s="46">
        <f t="shared" ca="1" si="4"/>
        <v>9.2499999999999995E-3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input_520100!A$2</f>
        <v>520100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IFERROR(VLOOKUP(B74,input_520100!L:R,7,FALSE),VLOOKUP(tables_520100!C74,input_520100!A:H,8,FALSE))</f>
        <v>98325</v>
      </c>
      <c r="P74" s="46">
        <f t="shared" ca="1" si="4"/>
        <v>7.5000000000000002E-4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input_520100!A$2</f>
        <v>520100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IFERROR(VLOOKUP(B75,input_520100!L:R,7,FALSE),VLOOKUP(tables_520100!C75,input_520100!A:H,8,FALSE))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input_520100!A$2</f>
        <v>520100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IFERROR(VLOOKUP(B76,input_520100!L:R,7,FALSE),VLOOKUP(tables_520100!C76,input_520100!A:H,8,FALSE))</f>
        <v>1212675</v>
      </c>
      <c r="P76" s="46">
        <f t="shared" ca="1" si="4"/>
        <v>9.2499999999999995E-3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input_520100!A$2</f>
        <v>520100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IFERROR(VLOOKUP(B77,input_520100!L:R,7,FALSE),VLOOKUP(tables_520100!C77,input_520100!A:H,8,FALSE))</f>
        <v>98325</v>
      </c>
      <c r="P77" s="46">
        <f t="shared" ca="1" si="4"/>
        <v>7.5000000000000002E-4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input_520100!A$2</f>
        <v>520100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IFERROR(VLOOKUP(B78,input_520100!L:R,7,FALSE),VLOOKUP(tables_520100!C78,input_520100!A:H,8,FALSE))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input_520100!A$2</f>
        <v>520100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IFERROR(VLOOKUP(B79,input_520100!L:R,7,FALSE),VLOOKUP(tables_520100!C79,input_520100!A:H,8,FALSE))</f>
        <v>1212675</v>
      </c>
      <c r="P79" s="46">
        <f t="shared" ca="1" si="4"/>
        <v>9.2499999999999995E-3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input_520100!A$2</f>
        <v>520100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IFERROR(VLOOKUP(B80,input_520100!L:R,7,FALSE),VLOOKUP(tables_520100!C80,input_520100!A:H,8,FALSE))</f>
        <v>98325</v>
      </c>
      <c r="P80" s="46">
        <f t="shared" ca="1" si="4"/>
        <v>7.5000000000000002E-4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input_520100!A$2</f>
        <v>520100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IFERROR(VLOOKUP(B81,input_520100!L:R,7,FALSE),VLOOKUP(tables_520100!C81,input_520100!A:H,8,FALSE))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input_520100!A$2</f>
        <v>520100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IFERROR(VLOOKUP(B82,input_520100!L:R,7,FALSE),VLOOKUP(tables_520100!C82,input_520100!A:H,8,FALSE))</f>
        <v>1212675</v>
      </c>
      <c r="P82" s="46">
        <f t="shared" ca="1" si="4"/>
        <v>9.2499999999999995E-3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input_520100!A$2</f>
        <v>520100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IFERROR(VLOOKUP(B83,input_520100!L:R,7,FALSE),VLOOKUP(tables_520100!C83,input_520100!A:H,8,FALSE))</f>
        <v>98325</v>
      </c>
      <c r="P83" s="46">
        <f t="shared" ca="1" si="4"/>
        <v>7.5000000000000002E-4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input_520100!A$2</f>
        <v>520100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IFERROR(VLOOKUP(B84,input_520100!L:R,7,FALSE),VLOOKUP(tables_520100!C84,input_520100!A:H,8,FALSE))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input_520100!A$2</f>
        <v>520100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IFERROR(VLOOKUP(B85,input_520100!L:R,7,FALSE),VLOOKUP(tables_520100!C85,input_520100!A:H,8,FALSE))</f>
        <v>1212675</v>
      </c>
      <c r="P85" s="46">
        <f t="shared" ca="1" si="4"/>
        <v>9.2499999999999995E-3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input_520100!A$2</f>
        <v>520100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IFERROR(VLOOKUP(B86,input_520100!L:R,7,FALSE),VLOOKUP(tables_520100!C86,input_520100!A:H,8,FALSE))</f>
        <v>98325</v>
      </c>
      <c r="P86" s="46">
        <f t="shared" ca="1" si="4"/>
        <v>7.5000000000000002E-4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input_520100!A$2</f>
        <v>520100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IFERROR(VLOOKUP(B87,input_520100!L:R,7,FALSE),VLOOKUP(tables_520100!C87,input_520100!A:H,8,FALSE))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input_520100!A$2</f>
        <v>520100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IFERROR(VLOOKUP(B88,input_520100!L:R,7,FALSE),VLOOKUP(tables_520100!C88,input_520100!A:H,8,FALSE))</f>
        <v>1212675</v>
      </c>
      <c r="P88" s="46">
        <f t="shared" ca="1" si="4"/>
        <v>9.2499999999999995E-3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input_520100!A$2</f>
        <v>520100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IFERROR(VLOOKUP(B89,input_520100!L:R,7,FALSE),VLOOKUP(tables_520100!C89,input_520100!A:H,8,FALSE))</f>
        <v>98325</v>
      </c>
      <c r="P89" s="46">
        <f t="shared" ca="1" si="4"/>
        <v>7.5000000000000002E-4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input_520100!A$2</f>
        <v>520100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IFERROR(VLOOKUP(B90,input_520100!L:R,7,FALSE),VLOOKUP(tables_520100!C90,input_520100!A:H,8,FALSE))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input_520100!A$2</f>
        <v>520100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IFERROR(VLOOKUP(B91,input_520100!L:R,7,FALSE),VLOOKUP(tables_520100!C91,input_520100!A:H,8,FALSE))</f>
        <v>1212675</v>
      </c>
      <c r="P91" s="46">
        <f t="shared" ca="1" si="4"/>
        <v>9.2499999999999995E-3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input_520100!A$2</f>
        <v>520100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IFERROR(VLOOKUP(B92,input_520100!L:R,7,FALSE),VLOOKUP(tables_520100!C92,input_520100!A:H,8,FALSE))</f>
        <v>98325</v>
      </c>
      <c r="P92" s="46">
        <f t="shared" ca="1" si="4"/>
        <v>7.5000000000000002E-4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input_520100!A$2</f>
        <v>520100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IFERROR(VLOOKUP(B93,input_520100!L:R,7,FALSE),VLOOKUP(tables_520100!C93,input_520100!A:H,8,FALSE))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input_520100!A$2</f>
        <v>520100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IFERROR(VLOOKUP(B94,input_520100!L:R,7,FALSE),VLOOKUP(tables_520100!C94,input_520100!A:H,8,FALSE))</f>
        <v>1212675</v>
      </c>
      <c r="P94" s="46">
        <f t="shared" ca="1" si="4"/>
        <v>9.2499999999999995E-3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input_520100!A$2</f>
        <v>520100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IFERROR(VLOOKUP(B95,input_520100!L:R,7,FALSE),VLOOKUP(tables_520100!C95,input_520100!A:H,8,FALSE))</f>
        <v>98325</v>
      </c>
      <c r="P95" s="46">
        <f t="shared" ca="1" si="4"/>
        <v>7.5000000000000002E-4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input_520100!A$2</f>
        <v>520100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IFERROR(VLOOKUP(B96,input_520100!L:R,7,FALSE),VLOOKUP(tables_520100!C96,input_520100!A:H,8,FALSE))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input_520100!A$2</f>
        <v>520100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IFERROR(VLOOKUP(B97,input_520100!L:R,7,FALSE),VLOOKUP(tables_520100!C97,input_520100!A:H,8,FALSE))</f>
        <v>1212675</v>
      </c>
      <c r="P97" s="46">
        <f t="shared" ca="1" si="4"/>
        <v>9.2499999999999995E-3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input_520100!A$2</f>
        <v>520100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IFERROR(VLOOKUP(B98,input_520100!L:R,7,FALSE),VLOOKUP(tables_520100!C98,input_520100!A:H,8,FALSE))</f>
        <v>98325</v>
      </c>
      <c r="P98" s="46">
        <f t="shared" ca="1" si="4"/>
        <v>7.5000000000000002E-4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input_520100!A$2</f>
        <v>520100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IFERROR(VLOOKUP(B99,input_520100!L:R,7,FALSE),VLOOKUP(tables_520100!C99,input_520100!A:H,8,FALSE))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input_520100!A$2</f>
        <v>520100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IFERROR(VLOOKUP(B100,input_520100!L:R,7,FALSE),VLOOKUP(tables_520100!C100,input_520100!A:H,8,FALSE))</f>
        <v>1212675</v>
      </c>
      <c r="P100" s="46">
        <f t="shared" ca="1" si="4"/>
        <v>9.2499999999999995E-3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input_520100!A$2</f>
        <v>520100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IFERROR(VLOOKUP(B101,input_520100!L:R,7,FALSE),VLOOKUP(tables_520100!C101,input_520100!A:H,8,FALSE))</f>
        <v>98325</v>
      </c>
      <c r="P101" s="46">
        <f t="shared" ca="1" si="4"/>
        <v>7.5000000000000002E-4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input_520100!A$2</f>
        <v>520100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IFERROR(VLOOKUP(B102,input_520100!L:R,7,FALSE),VLOOKUP(tables_520100!C102,input_520100!A:H,8,FALSE))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input_520100!A$2</f>
        <v>520100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IFERROR(VLOOKUP(B103,input_520100!L:R,7,FALSE),VLOOKUP(tables_520100!C103,input_520100!A:H,8,FALSE))</f>
        <v>1212675</v>
      </c>
      <c r="P103" s="46">
        <f t="shared" ca="1" si="4"/>
        <v>9.2499999999999995E-3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input_520100!A$2</f>
        <v>520100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IFERROR(VLOOKUP(B104,input_520100!L:R,7,FALSE),VLOOKUP(tables_520100!C104,input_520100!A:H,8,FALSE))</f>
        <v>98325</v>
      </c>
      <c r="P104" s="46">
        <f t="shared" ca="1" si="4"/>
        <v>7.5000000000000002E-4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input_520100!A$2</f>
        <v>520100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IFERROR(VLOOKUP(B105,input_520100!L:R,7,FALSE),VLOOKUP(tables_520100!C105,input_520100!A:H,8,FALSE))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input_520100!A$2</f>
        <v>520100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IFERROR(VLOOKUP(B106,input_520100!L:R,7,FALSE),VLOOKUP(tables_520100!C106,input_520100!A:H,8,FALSE))</f>
        <v>1212675</v>
      </c>
      <c r="P106" s="46">
        <f t="shared" ca="1" si="4"/>
        <v>9.2499999999999995E-3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input_520100!A$2</f>
        <v>520100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IFERROR(VLOOKUP(B107,input_520100!L:R,7,FALSE),VLOOKUP(tables_520100!C107,input_520100!A:H,8,FALSE))</f>
        <v>98325</v>
      </c>
      <c r="P107" s="46">
        <f t="shared" ca="1" si="4"/>
        <v>7.5000000000000002E-4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input_520100!A$2</f>
        <v>520100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IFERROR(VLOOKUP(B108,input_520100!L:R,7,FALSE),VLOOKUP(tables_520100!C108,input_520100!A:H,8,FALSE))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input_520100!A$2</f>
        <v>520100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IFERROR(VLOOKUP(B109,input_520100!L:R,7,FALSE),VLOOKUP(tables_520100!C109,input_520100!A:H,8,FALSE))</f>
        <v>1212675</v>
      </c>
      <c r="P109" s="46">
        <f t="shared" ca="1" si="4"/>
        <v>9.2499999999999995E-3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input_520100!A$2</f>
        <v>520100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IFERROR(VLOOKUP(B110,input_520100!L:R,7,FALSE),VLOOKUP(tables_520100!C110,input_520100!A:H,8,FALSE))</f>
        <v>98325</v>
      </c>
      <c r="P110" s="46">
        <f t="shared" ca="1" si="4"/>
        <v>7.5000000000000002E-4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input_520100!A$2</f>
        <v>520100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IFERROR(VLOOKUP(B111,input_520100!L:R,7,FALSE),VLOOKUP(tables_520100!C111,input_520100!A:H,8,FALSE))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input_520100!A$2</f>
        <v>520100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IFERROR(VLOOKUP(B112,input_520100!L:R,7,FALSE),VLOOKUP(tables_520100!C112,input_520100!A:H,8,FALSE))</f>
        <v>1212675</v>
      </c>
      <c r="P112" s="46">
        <f t="shared" ca="1" si="4"/>
        <v>9.2499999999999995E-3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input_520100!A$2</f>
        <v>520100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IFERROR(VLOOKUP(B113,input_520100!L:R,7,FALSE),VLOOKUP(tables_520100!C113,input_520100!A:H,8,FALSE))</f>
        <v>98325</v>
      </c>
      <c r="P113" s="46">
        <f t="shared" ca="1" si="4"/>
        <v>7.5000000000000002E-4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input_520100!A$2</f>
        <v>520100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IFERROR(VLOOKUP(B114,input_520100!L:R,7,FALSE),VLOOKUP(tables_520100!C114,input_520100!A:H,8,FALSE))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input_520100!A$2</f>
        <v>520100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IFERROR(VLOOKUP(B115,input_520100!L:R,7,FALSE),VLOOKUP(tables_520100!C115,input_520100!A:H,8,FALSE))</f>
        <v>1212675</v>
      </c>
      <c r="P115" s="46">
        <f t="shared" ca="1" si="4"/>
        <v>9.2499999999999995E-3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input_520100!A$2</f>
        <v>520100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IFERROR(VLOOKUP(B116,input_520100!L:R,7,FALSE),VLOOKUP(tables_520100!C116,input_520100!A:H,8,FALSE))</f>
        <v>98325</v>
      </c>
      <c r="P116" s="46">
        <f t="shared" ca="1" si="4"/>
        <v>7.5000000000000002E-4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input_520100!A$2</f>
        <v>520100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IFERROR(VLOOKUP(B117,input_520100!L:R,7,FALSE),VLOOKUP(tables_520100!C117,input_520100!A:H,8,FALSE))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input_520100!A$2</f>
        <v>520100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IFERROR(VLOOKUP(B118,input_520100!L:R,7,FALSE),VLOOKUP(tables_520100!C118,input_520100!A:H,8,FALSE))</f>
        <v>1212675</v>
      </c>
      <c r="P118" s="46">
        <f t="shared" ca="1" si="4"/>
        <v>9.2499999999999995E-3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input_520100!A$2</f>
        <v>520100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IFERROR(VLOOKUP(B119,input_520100!L:R,7,FALSE),VLOOKUP(tables_520100!C119,input_520100!A:H,8,FALSE))</f>
        <v>98325</v>
      </c>
      <c r="P119" s="46">
        <f t="shared" ca="1" si="4"/>
        <v>7.5000000000000002E-4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input_520100!A$2</f>
        <v>520100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IFERROR(VLOOKUP(B120,input_520100!L:R,7,FALSE),VLOOKUP(tables_520100!C120,input_520100!A:H,8,FALSE))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input_520100!A$2</f>
        <v>520100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IFERROR(VLOOKUP(B121,input_520100!L:R,7,FALSE),VLOOKUP(tables_520100!C121,input_520100!A:H,8,FALSE))</f>
        <v>1212675</v>
      </c>
      <c r="P121" s="46">
        <f t="shared" ca="1" si="4"/>
        <v>9.2499999999999995E-3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input_520100!A$2</f>
        <v>520100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IFERROR(VLOOKUP(B122,input_520100!L:R,7,FALSE),VLOOKUP(tables_520100!C122,input_520100!A:H,8,FALSE))</f>
        <v>98325</v>
      </c>
      <c r="P122" s="46">
        <f t="shared" ca="1" si="4"/>
        <v>7.5000000000000002E-4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input_520100!A$2</f>
        <v>520100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IFERROR(VLOOKUP(B123,input_520100!L:R,7,FALSE),VLOOKUP(tables_520100!C123,input_520100!A:H,8,FALSE))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input_520100!A$2</f>
        <v>520100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IFERROR(VLOOKUP(B124,input_520100!L:R,7,FALSE),VLOOKUP(tables_520100!C124,input_520100!A:H,8,FALSE))</f>
        <v>1212675</v>
      </c>
      <c r="P124" s="46">
        <f t="shared" ca="1" si="4"/>
        <v>9.2499999999999995E-3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input_520100!A$2</f>
        <v>520100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IFERROR(VLOOKUP(B125,input_520100!L:R,7,FALSE),VLOOKUP(tables_520100!C125,input_520100!A:H,8,FALSE))</f>
        <v>98325</v>
      </c>
      <c r="P125" s="46">
        <f t="shared" ca="1" si="4"/>
        <v>7.5000000000000002E-4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input_520100!A$2</f>
        <v>520100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IFERROR(VLOOKUP(B126,input_520100!L:R,7,FALSE),VLOOKUP(tables_520100!C126,input_520100!A:H,8,FALSE))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input_520100!A$2</f>
        <v>520100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IFERROR(VLOOKUP(B127,input_520100!L:R,7,FALSE),VLOOKUP(tables_520100!C127,input_520100!A:H,8,FALSE))</f>
        <v>1212675</v>
      </c>
      <c r="P127" s="46">
        <f t="shared" ca="1" si="4"/>
        <v>9.2499999999999995E-3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input_520100!A$2</f>
        <v>520100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IFERROR(VLOOKUP(B128,input_520100!L:R,7,FALSE),VLOOKUP(tables_520100!C128,input_520100!A:H,8,FALSE))</f>
        <v>98325</v>
      </c>
      <c r="P128" s="46">
        <f t="shared" ca="1" si="4"/>
        <v>7.5000000000000002E-4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input_520100!A$2</f>
        <v>520100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IFERROR(VLOOKUP(B129,input_520100!L:R,7,FALSE),VLOOKUP(tables_520100!C129,input_520100!A:H,8,FALSE))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input_520100!A$2</f>
        <v>520100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IFERROR(VLOOKUP(B130,input_520100!L:R,7,FALSE),VLOOKUP(tables_520100!C130,input_520100!A:H,8,FALSE))</f>
        <v>1212675</v>
      </c>
      <c r="P130" s="46">
        <f t="shared" ref="P130:P193" ca="1" si="7">O130/SUM(O:O)</f>
        <v>9.2499999999999995E-3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input_520100!A$2</f>
        <v>520100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IFERROR(VLOOKUP(B131,input_520100!L:R,7,FALSE),VLOOKUP(tables_520100!C131,input_520100!A:H,8,FALSE))</f>
        <v>98325</v>
      </c>
      <c r="P131" s="46">
        <f t="shared" ca="1" si="7"/>
        <v>7.5000000000000002E-4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input_520100!A$2</f>
        <v>520100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IFERROR(VLOOKUP(B132,input_520100!L:R,7,FALSE),VLOOKUP(tables_520100!C132,input_520100!A:H,8,FALSE))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input_520100!A$2</f>
        <v>520100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IFERROR(VLOOKUP(B133,input_520100!L:R,7,FALSE),VLOOKUP(tables_520100!C133,input_520100!A:H,8,FALSE))</f>
        <v>1212675</v>
      </c>
      <c r="P133" s="46">
        <f t="shared" ca="1" si="7"/>
        <v>9.2499999999999995E-3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input_520100!A$2</f>
        <v>520100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IFERROR(VLOOKUP(B134,input_520100!L:R,7,FALSE),VLOOKUP(tables_520100!C134,input_520100!A:H,8,FALSE))</f>
        <v>98325</v>
      </c>
      <c r="P134" s="46">
        <f t="shared" ca="1" si="7"/>
        <v>7.5000000000000002E-4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input_520100!A$2</f>
        <v>520100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IFERROR(VLOOKUP(B135,input_520100!L:R,7,FALSE),VLOOKUP(tables_520100!C135,input_520100!A:H,8,FALSE))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input_520100!A$2</f>
        <v>520100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IFERROR(VLOOKUP(B136,input_520100!L:R,7,FALSE),VLOOKUP(tables_520100!C136,input_520100!A:H,8,FALSE))</f>
        <v>1212675</v>
      </c>
      <c r="P136" s="46">
        <f t="shared" ca="1" si="7"/>
        <v>9.2499999999999995E-3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input_520100!A$2</f>
        <v>520100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IFERROR(VLOOKUP(B137,input_520100!L:R,7,FALSE),VLOOKUP(tables_520100!C137,input_520100!A:H,8,FALSE))</f>
        <v>98325</v>
      </c>
      <c r="P137" s="46">
        <f t="shared" ca="1" si="7"/>
        <v>7.5000000000000002E-4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input_520100!A$2</f>
        <v>520100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IFERROR(VLOOKUP(B138,input_520100!L:R,7,FALSE),VLOOKUP(tables_520100!C138,input_520100!A:H,8,FALSE))</f>
        <v>87875</v>
      </c>
      <c r="P138" s="46">
        <f t="shared" ca="1" si="7"/>
        <v>6.7028985507246381E-4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input_520100!A$2</f>
        <v>520100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IFERROR(VLOOKUP(B139,input_520100!L:R,7,FALSE),VLOOKUP(tables_520100!C139,input_520100!A:H,8,FALSE))</f>
        <v>7125</v>
      </c>
      <c r="P139" s="46">
        <f t="shared" ca="1" si="7"/>
        <v>5.4347826086956524E-5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input_520100!A$2</f>
        <v>520100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IFERROR(VLOOKUP(B140,input_520100!L:R,7,FALSE),VLOOKUP(tables_520100!C140,input_520100!A:H,8,FALSE))</f>
        <v>87875</v>
      </c>
      <c r="P140" s="46">
        <f t="shared" ca="1" si="7"/>
        <v>6.7028985507246381E-4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input_520100!A$2</f>
        <v>520100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IFERROR(VLOOKUP(B141,input_520100!L:R,7,FALSE),VLOOKUP(tables_520100!C141,input_520100!A:H,8,FALSE))</f>
        <v>7125</v>
      </c>
      <c r="P141" s="46">
        <f t="shared" ca="1" si="7"/>
        <v>5.4347826086956524E-5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input_520100!A$2</f>
        <v>520100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IFERROR(VLOOKUP(B142,input_520100!L:R,7,FALSE),VLOOKUP(tables_520100!C142,input_520100!A:H,8,FALSE))</f>
        <v>87875</v>
      </c>
      <c r="P142" s="46">
        <f t="shared" ca="1" si="7"/>
        <v>6.7028985507246381E-4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input_520100!A$2</f>
        <v>520100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IFERROR(VLOOKUP(B143,input_520100!L:R,7,FALSE),VLOOKUP(tables_520100!C143,input_520100!A:H,8,FALSE))</f>
        <v>7125</v>
      </c>
      <c r="P143" s="46">
        <f t="shared" ca="1" si="7"/>
        <v>5.4347826086956524E-5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input_520100!A$2</f>
        <v>520100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IFERROR(VLOOKUP(B144,input_520100!L:R,7,FALSE),VLOOKUP(tables_520100!C144,input_520100!A:H,8,FALSE))</f>
        <v>87875</v>
      </c>
      <c r="P144" s="46">
        <f t="shared" ca="1" si="7"/>
        <v>6.7028985507246381E-4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input_520100!A$2</f>
        <v>520100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IFERROR(VLOOKUP(B145,input_520100!L:R,7,FALSE),VLOOKUP(tables_520100!C145,input_520100!A:H,8,FALSE))</f>
        <v>7125</v>
      </c>
      <c r="P145" s="46">
        <f t="shared" ca="1" si="7"/>
        <v>5.4347826086956524E-5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input_520100!A$2</f>
        <v>520100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IFERROR(VLOOKUP(B146,input_520100!L:R,7,FALSE),VLOOKUP(tables_520100!C146,input_520100!A:H,8,FALSE))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input_520100!A$2</f>
        <v>520100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IFERROR(VLOOKUP(B147,input_520100!L:R,7,FALSE),VLOOKUP(tables_520100!C147,input_520100!A:H,8,FALSE))</f>
        <v>1212675</v>
      </c>
      <c r="P147" s="46">
        <f t="shared" ca="1" si="7"/>
        <v>9.2499999999999995E-3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input_520100!A$2</f>
        <v>520100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IFERROR(VLOOKUP(B148,input_520100!L:R,7,FALSE),VLOOKUP(tables_520100!C148,input_520100!A:H,8,FALSE))</f>
        <v>98325</v>
      </c>
      <c r="P148" s="46">
        <f t="shared" ca="1" si="7"/>
        <v>7.5000000000000002E-4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input_520100!A$2</f>
        <v>520100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IFERROR(VLOOKUP(B149,input_520100!L:R,7,FALSE),VLOOKUP(tables_520100!C149,input_520100!A:H,8,FALSE))</f>
        <v>87875</v>
      </c>
      <c r="P149" s="46">
        <f t="shared" ca="1" si="7"/>
        <v>6.7028985507246381E-4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input_520100!A$2</f>
        <v>520100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IFERROR(VLOOKUP(B150,input_520100!L:R,7,FALSE),VLOOKUP(tables_520100!C150,input_520100!A:H,8,FALSE))</f>
        <v>7125</v>
      </c>
      <c r="P150" s="46">
        <f t="shared" ca="1" si="7"/>
        <v>5.4347826086956524E-5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input_520100!A$2</f>
        <v>520100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IFERROR(VLOOKUP(B151,input_520100!L:R,7,FALSE),VLOOKUP(tables_520100!C151,input_520100!A:H,8,FALSE))</f>
        <v>87875</v>
      </c>
      <c r="P151" s="46">
        <f t="shared" ca="1" si="7"/>
        <v>6.7028985507246381E-4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input_520100!A$2</f>
        <v>520100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IFERROR(VLOOKUP(B152,input_520100!L:R,7,FALSE),VLOOKUP(tables_520100!C152,input_520100!A:H,8,FALSE))</f>
        <v>7125</v>
      </c>
      <c r="P152" s="46">
        <f t="shared" ca="1" si="7"/>
        <v>5.4347826086956524E-5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input_520100!A$2</f>
        <v>520100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IFERROR(VLOOKUP(B153,input_520100!L:R,7,FALSE),VLOOKUP(tables_520100!C153,input_520100!A:H,8,FALSE))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input_520100!A$2</f>
        <v>520100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IFERROR(VLOOKUP(B154,input_520100!L:R,7,FALSE),VLOOKUP(tables_520100!C154,input_520100!A:H,8,FALSE))</f>
        <v>1212675</v>
      </c>
      <c r="P154" s="46">
        <f t="shared" ca="1" si="7"/>
        <v>9.2499999999999995E-3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input_520100!A$2</f>
        <v>520100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IFERROR(VLOOKUP(B155,input_520100!L:R,7,FALSE),VLOOKUP(tables_520100!C155,input_520100!A:H,8,FALSE))</f>
        <v>98325</v>
      </c>
      <c r="P155" s="46">
        <f t="shared" ca="1" si="7"/>
        <v>7.5000000000000002E-4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input_520100!A$2</f>
        <v>520100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IFERROR(VLOOKUP(B156,input_520100!L:R,7,FALSE),VLOOKUP(tables_520100!C156,input_520100!A:H,8,FALSE))</f>
        <v>87875</v>
      </c>
      <c r="P156" s="46">
        <f t="shared" ca="1" si="7"/>
        <v>6.7028985507246381E-4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input_520100!A$2</f>
        <v>520100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IFERROR(VLOOKUP(B157,input_520100!L:R,7,FALSE),VLOOKUP(tables_520100!C157,input_520100!A:H,8,FALSE))</f>
        <v>7125</v>
      </c>
      <c r="P157" s="46">
        <f t="shared" ca="1" si="7"/>
        <v>5.4347826086956524E-5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input_520100!A$2</f>
        <v>520100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IFERROR(VLOOKUP(B158,input_520100!L:R,7,FALSE),VLOOKUP(tables_520100!C158,input_520100!A:H,8,FALSE))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input_520100!A$2</f>
        <v>520100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IFERROR(VLOOKUP(B159,input_520100!L:R,7,FALSE),VLOOKUP(tables_520100!C159,input_520100!A:H,8,FALSE))</f>
        <v>1212675</v>
      </c>
      <c r="P159" s="46">
        <f t="shared" ca="1" si="7"/>
        <v>9.2499999999999995E-3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input_520100!A$2</f>
        <v>520100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IFERROR(VLOOKUP(B160,input_520100!L:R,7,FALSE),VLOOKUP(tables_520100!C160,input_520100!A:H,8,FALSE))</f>
        <v>98325</v>
      </c>
      <c r="P160" s="46">
        <f t="shared" ca="1" si="7"/>
        <v>7.5000000000000002E-4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input_520100!A$2</f>
        <v>520100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IFERROR(VLOOKUP(B161,input_520100!L:R,7,FALSE),VLOOKUP(tables_520100!C161,input_520100!A:H,8,FALSE))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input_520100!A$2</f>
        <v>520100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IFERROR(VLOOKUP(B162,input_520100!L:R,7,FALSE),VLOOKUP(tables_520100!C162,input_520100!A:H,8,FALSE))</f>
        <v>1212675</v>
      </c>
      <c r="P162" s="46">
        <f t="shared" ca="1" si="7"/>
        <v>9.2499999999999995E-3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input_520100!A$2</f>
        <v>520100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IFERROR(VLOOKUP(B163,input_520100!L:R,7,FALSE),VLOOKUP(tables_520100!C163,input_520100!A:H,8,FALSE))</f>
        <v>98325</v>
      </c>
      <c r="P163" s="46">
        <f t="shared" ca="1" si="7"/>
        <v>7.5000000000000002E-4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input_520100!A$2</f>
        <v>520100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IFERROR(VLOOKUP(B164,input_520100!L:R,7,FALSE),VLOOKUP(tables_520100!C164,input_520100!A:H,8,FALSE))</f>
        <v>87875</v>
      </c>
      <c r="P164" s="46">
        <f t="shared" ca="1" si="7"/>
        <v>6.7028985507246381E-4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input_520100!A$2</f>
        <v>520100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IFERROR(VLOOKUP(B165,input_520100!L:R,7,FALSE),VLOOKUP(tables_520100!C165,input_520100!A:H,8,FALSE))</f>
        <v>7125</v>
      </c>
      <c r="P165" s="46">
        <f t="shared" ca="1" si="7"/>
        <v>5.4347826086956524E-5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input_520100!A$2</f>
        <v>520100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IFERROR(VLOOKUP(B166,input_520100!L:R,7,FALSE),VLOOKUP(tables_520100!C166,input_520100!A:H,8,FALSE))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input_520100!A$2</f>
        <v>520100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IFERROR(VLOOKUP(B167,input_520100!L:R,7,FALSE),VLOOKUP(tables_520100!C167,input_520100!A:H,8,FALSE))</f>
        <v>1212675</v>
      </c>
      <c r="P167" s="46">
        <f t="shared" ca="1" si="7"/>
        <v>9.2499999999999995E-3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input_520100!A$2</f>
        <v>520100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IFERROR(VLOOKUP(B168,input_520100!L:R,7,FALSE),VLOOKUP(tables_520100!C168,input_520100!A:H,8,FALSE))</f>
        <v>98325</v>
      </c>
      <c r="P168" s="46">
        <f t="shared" ca="1" si="7"/>
        <v>7.5000000000000002E-4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input_520100!A$2</f>
        <v>520100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IFERROR(VLOOKUP(B169,input_520100!L:R,7,FALSE),VLOOKUP(tables_520100!C169,input_520100!A:H,8,FALSE))</f>
        <v>87875</v>
      </c>
      <c r="P169" s="46">
        <f t="shared" ca="1" si="7"/>
        <v>6.7028985507246381E-4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input_520100!A$2</f>
        <v>520100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IFERROR(VLOOKUP(B170,input_520100!L:R,7,FALSE),VLOOKUP(tables_520100!C170,input_520100!A:H,8,FALSE))</f>
        <v>7125</v>
      </c>
      <c r="P170" s="46">
        <f t="shared" ca="1" si="7"/>
        <v>5.4347826086956524E-5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input_520100!A$2</f>
        <v>520100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IFERROR(VLOOKUP(B171,input_520100!L:R,7,FALSE),VLOOKUP(tables_520100!C171,input_520100!A:H,8,FALSE))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input_520100!A$2</f>
        <v>520100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IFERROR(VLOOKUP(B172,input_520100!L:R,7,FALSE),VLOOKUP(tables_520100!C172,input_520100!A:H,8,FALSE))</f>
        <v>1212675</v>
      </c>
      <c r="P172" s="46">
        <f t="shared" ca="1" si="7"/>
        <v>9.2499999999999995E-3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input_520100!A$2</f>
        <v>520100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IFERROR(VLOOKUP(B173,input_520100!L:R,7,FALSE),VLOOKUP(tables_520100!C173,input_520100!A:H,8,FALSE))</f>
        <v>98325</v>
      </c>
      <c r="P173" s="46">
        <f t="shared" ca="1" si="7"/>
        <v>7.5000000000000002E-4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input_520100!A$2</f>
        <v>520100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IFERROR(VLOOKUP(B174,input_520100!L:R,7,FALSE),VLOOKUP(tables_520100!C174,input_520100!A:H,8,FALSE))</f>
        <v>87875</v>
      </c>
      <c r="P174" s="46">
        <f t="shared" ca="1" si="7"/>
        <v>6.7028985507246381E-4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input_520100!A$2</f>
        <v>520100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IFERROR(VLOOKUP(B175,input_520100!L:R,7,FALSE),VLOOKUP(tables_520100!C175,input_520100!A:H,8,FALSE))</f>
        <v>7125</v>
      </c>
      <c r="P175" s="46">
        <f t="shared" ca="1" si="7"/>
        <v>5.4347826086956524E-5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input_520100!A$2</f>
        <v>520100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IFERROR(VLOOKUP(B176,input_520100!L:R,7,FALSE),VLOOKUP(tables_520100!C176,input_520100!A:H,8,FALSE))</f>
        <v>87875</v>
      </c>
      <c r="P176" s="46">
        <f t="shared" ca="1" si="7"/>
        <v>6.7028985507246381E-4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input_520100!A$2</f>
        <v>520100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IFERROR(VLOOKUP(B177,input_520100!L:R,7,FALSE),VLOOKUP(tables_520100!C177,input_520100!A:H,8,FALSE))</f>
        <v>7125</v>
      </c>
      <c r="P177" s="46">
        <f t="shared" ca="1" si="7"/>
        <v>5.4347826086956524E-5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input_520100!A$2</f>
        <v>520100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IFERROR(VLOOKUP(B178,input_520100!L:R,7,FALSE),VLOOKUP(tables_520100!C178,input_520100!A:H,8,FALSE))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input_520100!A$2</f>
        <v>520100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IFERROR(VLOOKUP(B179,input_520100!L:R,7,FALSE),VLOOKUP(tables_520100!C179,input_520100!A:H,8,FALSE))</f>
        <v>1212675</v>
      </c>
      <c r="P179" s="46">
        <f t="shared" ca="1" si="7"/>
        <v>9.2499999999999995E-3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input_520100!A$2</f>
        <v>520100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IFERROR(VLOOKUP(B180,input_520100!L:R,7,FALSE),VLOOKUP(tables_520100!C180,input_520100!A:H,8,FALSE))</f>
        <v>98325</v>
      </c>
      <c r="P180" s="46">
        <f t="shared" ca="1" si="7"/>
        <v>7.5000000000000002E-4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input_520100!A$2</f>
        <v>520100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IFERROR(VLOOKUP(B181,input_520100!L:R,7,FALSE),VLOOKUP(tables_520100!C181,input_520100!A:H,8,FALSE))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input_520100!A$2</f>
        <v>520100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IFERROR(VLOOKUP(B182,input_520100!L:R,7,FALSE),VLOOKUP(tables_520100!C182,input_520100!A:H,8,FALSE))</f>
        <v>1212675</v>
      </c>
      <c r="P182" s="46">
        <f t="shared" ca="1" si="7"/>
        <v>9.2499999999999995E-3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input_520100!A$2</f>
        <v>520100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IFERROR(VLOOKUP(B183,input_520100!L:R,7,FALSE),VLOOKUP(tables_520100!C183,input_520100!A:H,8,FALSE))</f>
        <v>98325</v>
      </c>
      <c r="P183" s="46">
        <f t="shared" ca="1" si="7"/>
        <v>7.5000000000000002E-4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input_520100!A$2</f>
        <v>520100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IFERROR(VLOOKUP(B184,input_520100!L:R,7,FALSE),VLOOKUP(tables_520100!C184,input_520100!A:H,8,FALSE))</f>
        <v>87875</v>
      </c>
      <c r="P184" s="46">
        <f t="shared" ca="1" si="7"/>
        <v>6.7028985507246381E-4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input_520100!A$2</f>
        <v>520100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IFERROR(VLOOKUP(B185,input_520100!L:R,7,FALSE),VLOOKUP(tables_520100!C185,input_520100!A:H,8,FALSE))</f>
        <v>7125</v>
      </c>
      <c r="P185" s="46">
        <f t="shared" ca="1" si="7"/>
        <v>5.4347826086956524E-5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input_520100!A$2</f>
        <v>520100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IFERROR(VLOOKUP(B186,input_520100!L:R,7,FALSE),VLOOKUP(tables_520100!C186,input_520100!A:H,8,FALSE))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input_520100!A$2</f>
        <v>520100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IFERROR(VLOOKUP(B187,input_520100!L:R,7,FALSE),VLOOKUP(tables_520100!C187,input_520100!A:H,8,FALSE))</f>
        <v>1212675</v>
      </c>
      <c r="P187" s="46">
        <f t="shared" ca="1" si="7"/>
        <v>9.2499999999999995E-3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input_520100!A$2</f>
        <v>520100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IFERROR(VLOOKUP(B188,input_520100!L:R,7,FALSE),VLOOKUP(tables_520100!C188,input_520100!A:H,8,FALSE))</f>
        <v>98325</v>
      </c>
      <c r="P188" s="46">
        <f t="shared" ca="1" si="7"/>
        <v>7.5000000000000002E-4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input_520100!A$2</f>
        <v>520100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IFERROR(VLOOKUP(B189,input_520100!L:R,7,FALSE),VLOOKUP(tables_520100!C189,input_520100!A:H,8,FALSE))</f>
        <v>87875</v>
      </c>
      <c r="P189" s="46">
        <f t="shared" ca="1" si="7"/>
        <v>6.7028985507246381E-4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input_520100!A$2</f>
        <v>520100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IFERROR(VLOOKUP(B190,input_520100!L:R,7,FALSE),VLOOKUP(tables_520100!C190,input_520100!A:H,8,FALSE))</f>
        <v>7125</v>
      </c>
      <c r="P190" s="46">
        <f t="shared" ca="1" si="7"/>
        <v>5.4347826086956524E-5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input_520100!A$2</f>
        <v>520100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IFERROR(VLOOKUP(B191,input_520100!L:R,7,FALSE),VLOOKUP(tables_520100!C191,input_520100!A:H,8,FALSE))</f>
        <v>87875</v>
      </c>
      <c r="P191" s="46">
        <f t="shared" ca="1" si="7"/>
        <v>6.7028985507246381E-4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input_520100!A$2</f>
        <v>520100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IFERROR(VLOOKUP(B192,input_520100!L:R,7,FALSE),VLOOKUP(tables_520100!C192,input_520100!A:H,8,FALSE))</f>
        <v>7125</v>
      </c>
      <c r="P192" s="46">
        <f t="shared" ca="1" si="7"/>
        <v>5.4347826086956524E-5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input_520100!A$2</f>
        <v>520100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IFERROR(VLOOKUP(B193,input_520100!L:R,7,FALSE),VLOOKUP(tables_520100!C193,input_520100!A:H,8,FALSE))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input_520100!A$2</f>
        <v>520100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IFERROR(VLOOKUP(B194,input_520100!L:R,7,FALSE),VLOOKUP(tables_520100!C194,input_520100!A:H,8,FALSE))</f>
        <v>1212675</v>
      </c>
      <c r="P194" s="46">
        <f t="shared" ref="P194:P257" ca="1" si="10">O194/SUM(O:O)</f>
        <v>9.2499999999999995E-3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input_520100!A$2</f>
        <v>520100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IFERROR(VLOOKUP(B195,input_520100!L:R,7,FALSE),VLOOKUP(tables_520100!C195,input_520100!A:H,8,FALSE))</f>
        <v>98325</v>
      </c>
      <c r="P195" s="46">
        <f t="shared" ca="1" si="10"/>
        <v>7.5000000000000002E-4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input_520100!A$2</f>
        <v>520100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IFERROR(VLOOKUP(B196,input_520100!L:R,7,FALSE),VLOOKUP(tables_520100!C196,input_520100!A:H,8,FALSE))</f>
        <v>87875</v>
      </c>
      <c r="P196" s="46">
        <f t="shared" ca="1" si="10"/>
        <v>6.7028985507246381E-4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input_520100!A$2</f>
        <v>520100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IFERROR(VLOOKUP(B197,input_520100!L:R,7,FALSE),VLOOKUP(tables_520100!C197,input_520100!A:H,8,FALSE))</f>
        <v>7125</v>
      </c>
      <c r="P197" s="46">
        <f t="shared" ca="1" si="10"/>
        <v>5.4347826086956524E-5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input_520100!A$2</f>
        <v>520100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IFERROR(VLOOKUP(B198,input_520100!L:R,7,FALSE),VLOOKUP(tables_520100!C198,input_520100!A:H,8,FALSE))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input_520100!A$2</f>
        <v>520100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IFERROR(VLOOKUP(B199,input_520100!L:R,7,FALSE),VLOOKUP(tables_520100!C199,input_520100!A:H,8,FALSE))</f>
        <v>1212675</v>
      </c>
      <c r="P199" s="46">
        <f t="shared" ca="1" si="10"/>
        <v>9.2499999999999995E-3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input_520100!A$2</f>
        <v>520100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IFERROR(VLOOKUP(B200,input_520100!L:R,7,FALSE),VLOOKUP(tables_520100!C200,input_520100!A:H,8,FALSE))</f>
        <v>98325</v>
      </c>
      <c r="P200" s="46">
        <f t="shared" ca="1" si="10"/>
        <v>7.5000000000000002E-4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input_520100!A$2</f>
        <v>520100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IFERROR(VLOOKUP(B201,input_520100!L:R,7,FALSE),VLOOKUP(tables_520100!C201,input_520100!A:H,8,FALSE))</f>
        <v>87875</v>
      </c>
      <c r="P201" s="46">
        <f t="shared" ca="1" si="10"/>
        <v>6.7028985507246381E-4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input_520100!A$2</f>
        <v>520100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IFERROR(VLOOKUP(B202,input_520100!L:R,7,FALSE),VLOOKUP(tables_520100!C202,input_520100!A:H,8,FALSE))</f>
        <v>7125</v>
      </c>
      <c r="P202" s="46">
        <f t="shared" ca="1" si="10"/>
        <v>5.4347826086956524E-5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input_520100!A$2</f>
        <v>520100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IFERROR(VLOOKUP(B203,input_520100!L:R,7,FALSE),VLOOKUP(tables_520100!C203,input_520100!A:H,8,FALSE))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input_520100!A$2</f>
        <v>520100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IFERROR(VLOOKUP(B204,input_520100!L:R,7,FALSE),VLOOKUP(tables_520100!C204,input_520100!A:H,8,FALSE))</f>
        <v>1212675</v>
      </c>
      <c r="P204" s="46">
        <f t="shared" ca="1" si="10"/>
        <v>9.2499999999999995E-3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input_520100!A$2</f>
        <v>520100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IFERROR(VLOOKUP(B205,input_520100!L:R,7,FALSE),VLOOKUP(tables_520100!C205,input_520100!A:H,8,FALSE))</f>
        <v>98325</v>
      </c>
      <c r="P205" s="46">
        <f t="shared" ca="1" si="10"/>
        <v>7.5000000000000002E-4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input_520100!A$2</f>
        <v>520100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IFERROR(VLOOKUP(B206,input_520100!L:R,7,FALSE),VLOOKUP(tables_520100!C206,input_520100!A:H,8,FALSE))</f>
        <v>87875</v>
      </c>
      <c r="P206" s="46">
        <f t="shared" ca="1" si="10"/>
        <v>6.7028985507246381E-4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input_520100!A$2</f>
        <v>520100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IFERROR(VLOOKUP(B207,input_520100!L:R,7,FALSE),VLOOKUP(tables_520100!C207,input_520100!A:H,8,FALSE))</f>
        <v>7125</v>
      </c>
      <c r="P207" s="46">
        <f t="shared" ca="1" si="10"/>
        <v>5.4347826086956524E-5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input_520100!A$2</f>
        <v>520100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IFERROR(VLOOKUP(B208,input_520100!L:R,7,FALSE),VLOOKUP(tables_520100!C208,input_520100!A:H,8,FALSE))</f>
        <v>87875</v>
      </c>
      <c r="P208" s="46">
        <f t="shared" ca="1" si="10"/>
        <v>6.7028985507246381E-4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input_520100!A$2</f>
        <v>520100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IFERROR(VLOOKUP(B209,input_520100!L:R,7,FALSE),VLOOKUP(tables_520100!C209,input_520100!A:H,8,FALSE))</f>
        <v>7125</v>
      </c>
      <c r="P209" s="46">
        <f t="shared" ca="1" si="10"/>
        <v>5.4347826086956524E-5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input_520100!A$2</f>
        <v>520100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IFERROR(VLOOKUP(B210,input_520100!L:R,7,FALSE),VLOOKUP(tables_520100!C210,input_520100!A:H,8,FALSE))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input_520100!A$2</f>
        <v>520100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IFERROR(VLOOKUP(B211,input_520100!L:R,7,FALSE),VLOOKUP(tables_520100!C211,input_520100!A:H,8,FALSE))</f>
        <v>1212675</v>
      </c>
      <c r="P211" s="46">
        <f t="shared" ca="1" si="10"/>
        <v>9.2499999999999995E-3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input_520100!A$2</f>
        <v>520100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IFERROR(VLOOKUP(B212,input_520100!L:R,7,FALSE),VLOOKUP(tables_520100!C212,input_520100!A:H,8,FALSE))</f>
        <v>98325</v>
      </c>
      <c r="P212" s="46">
        <f t="shared" ca="1" si="10"/>
        <v>7.5000000000000002E-4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input_520100!A$2</f>
        <v>520100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IFERROR(VLOOKUP(B213,input_520100!L:R,7,FALSE),VLOOKUP(tables_520100!C213,input_520100!A:H,8,FALSE))</f>
        <v>87875</v>
      </c>
      <c r="P213" s="46">
        <f t="shared" ca="1" si="10"/>
        <v>6.7028985507246381E-4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input_520100!A$2</f>
        <v>520100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IFERROR(VLOOKUP(B214,input_520100!L:R,7,FALSE),VLOOKUP(tables_520100!C214,input_520100!A:H,8,FALSE))</f>
        <v>7125</v>
      </c>
      <c r="P214" s="46">
        <f t="shared" ca="1" si="10"/>
        <v>5.4347826086956524E-5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input_520100!A$2</f>
        <v>520100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IFERROR(VLOOKUP(B215,input_520100!L:R,7,FALSE),VLOOKUP(tables_520100!C215,input_520100!A:H,8,FALSE))</f>
        <v>9272</v>
      </c>
      <c r="P215" s="46">
        <f t="shared" ca="1" si="10"/>
        <v>7.0724637681159419E-5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input_520100!A$2</f>
        <v>520100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IFERROR(VLOOKUP(B216,input_520100!L:R,7,FALSE),VLOOKUP(tables_520100!C216,input_520100!A:H,8,FALSE))</f>
        <v>9272</v>
      </c>
      <c r="P216" s="46">
        <f t="shared" ca="1" si="10"/>
        <v>7.0724637681159419E-5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input_520100!A$2</f>
        <v>520100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IFERROR(VLOOKUP(B217,input_520100!L:R,7,FALSE),VLOOKUP(tables_520100!C217,input_520100!A:H,8,FALSE))</f>
        <v>9272</v>
      </c>
      <c r="P217" s="46">
        <f t="shared" ca="1" si="10"/>
        <v>7.0724637681159419E-5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input_520100!A$2</f>
        <v>520100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IFERROR(VLOOKUP(B218,input_520100!L:R,7,FALSE),VLOOKUP(tables_520100!C218,input_520100!A:H,8,FALSE))</f>
        <v>9272</v>
      </c>
      <c r="P218" s="46">
        <f t="shared" ca="1" si="10"/>
        <v>7.0724637681159419E-5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input_520100!A$2</f>
        <v>520100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IFERROR(VLOOKUP(B219,input_520100!L:R,7,FALSE),VLOOKUP(tables_520100!C219,input_520100!A:H,8,FALSE))</f>
        <v>9272</v>
      </c>
      <c r="P219" s="46">
        <f t="shared" ca="1" si="10"/>
        <v>7.0724637681159419E-5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input_520100!A$2</f>
        <v>520100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IFERROR(VLOOKUP(B220,input_520100!L:R,7,FALSE),VLOOKUP(tables_520100!C220,input_520100!A:H,8,FALSE))</f>
        <v>9272</v>
      </c>
      <c r="P220" s="46">
        <f t="shared" ca="1" si="10"/>
        <v>7.0724637681159419E-5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input_520100!A$2</f>
        <v>520100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IFERROR(VLOOKUP(B221,input_520100!L:R,7,FALSE),VLOOKUP(tables_520100!C221,input_520100!A:H,8,FALSE))</f>
        <v>87875</v>
      </c>
      <c r="P221" s="46">
        <f t="shared" ca="1" si="10"/>
        <v>6.7028985507246381E-4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input_520100!A$2</f>
        <v>520100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IFERROR(VLOOKUP(B222,input_520100!L:R,7,FALSE),VLOOKUP(tables_520100!C222,input_520100!A:H,8,FALSE))</f>
        <v>7125</v>
      </c>
      <c r="P222" s="46">
        <f t="shared" ca="1" si="10"/>
        <v>5.4347826086956524E-5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input_520100!A$2</f>
        <v>520100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IFERROR(VLOOKUP(B223,input_520100!L:R,7,FALSE),VLOOKUP(tables_520100!C223,input_520100!A:H,8,FALSE))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input_520100!A$2</f>
        <v>520100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IFERROR(VLOOKUP(B224,input_520100!L:R,7,FALSE),VLOOKUP(tables_520100!C224,input_520100!A:H,8,FALSE))</f>
        <v>1212675</v>
      </c>
      <c r="P224" s="46">
        <f t="shared" ca="1" si="10"/>
        <v>9.2499999999999995E-3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input_520100!A$2</f>
        <v>520100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IFERROR(VLOOKUP(B225,input_520100!L:R,7,FALSE),VLOOKUP(tables_520100!C225,input_520100!A:H,8,FALSE))</f>
        <v>98325</v>
      </c>
      <c r="P225" s="46">
        <f t="shared" ca="1" si="10"/>
        <v>7.5000000000000002E-4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input_520100!A$2</f>
        <v>520100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IFERROR(VLOOKUP(B226,input_520100!L:R,7,FALSE),VLOOKUP(tables_520100!C226,input_520100!A:H,8,FALSE))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input_520100!A$2</f>
        <v>520100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IFERROR(VLOOKUP(B227,input_520100!L:R,7,FALSE),VLOOKUP(tables_520100!C227,input_520100!A:H,8,FALSE))</f>
        <v>1212675</v>
      </c>
      <c r="P227" s="46">
        <f t="shared" ca="1" si="10"/>
        <v>9.2499999999999995E-3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input_520100!A$2</f>
        <v>520100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IFERROR(VLOOKUP(B228,input_520100!L:R,7,FALSE),VLOOKUP(tables_520100!C228,input_520100!A:H,8,FALSE))</f>
        <v>98325</v>
      </c>
      <c r="P228" s="46">
        <f t="shared" ca="1" si="10"/>
        <v>7.5000000000000002E-4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input_520100!A$2</f>
        <v>520100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IFERROR(VLOOKUP(B229,input_520100!L:R,7,FALSE),VLOOKUP(tables_520100!C229,input_520100!A:H,8,FALSE))</f>
        <v>87875</v>
      </c>
      <c r="P229" s="46">
        <f t="shared" ca="1" si="10"/>
        <v>6.7028985507246381E-4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input_520100!A$2</f>
        <v>520100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IFERROR(VLOOKUP(B230,input_520100!L:R,7,FALSE),VLOOKUP(tables_520100!C230,input_520100!A:H,8,FALSE))</f>
        <v>7125</v>
      </c>
      <c r="P230" s="46">
        <f t="shared" ca="1" si="10"/>
        <v>5.4347826086956524E-5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input_520100!A$2</f>
        <v>520100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IFERROR(VLOOKUP(B231,input_520100!L:R,7,FALSE),VLOOKUP(tables_520100!C231,input_520100!A:H,8,FALSE))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input_520100!A$2</f>
        <v>520100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IFERROR(VLOOKUP(B232,input_520100!L:R,7,FALSE),VLOOKUP(tables_520100!C232,input_520100!A:H,8,FALSE))</f>
        <v>1212675</v>
      </c>
      <c r="P232" s="46">
        <f t="shared" ca="1" si="10"/>
        <v>9.2499999999999995E-3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input_520100!A$2</f>
        <v>520100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IFERROR(VLOOKUP(B233,input_520100!L:R,7,FALSE),VLOOKUP(tables_520100!C233,input_520100!A:H,8,FALSE))</f>
        <v>98325</v>
      </c>
      <c r="P233" s="46">
        <f t="shared" ca="1" si="10"/>
        <v>7.5000000000000002E-4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input_520100!A$2</f>
        <v>520100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IFERROR(VLOOKUP(B234,input_520100!L:R,7,FALSE),VLOOKUP(tables_520100!C234,input_520100!A:H,8,FALSE))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input_520100!A$2</f>
        <v>520100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IFERROR(VLOOKUP(B235,input_520100!L:R,7,FALSE),VLOOKUP(tables_520100!C235,input_520100!A:H,8,FALSE))</f>
        <v>1212675</v>
      </c>
      <c r="P235" s="46">
        <f t="shared" ca="1" si="10"/>
        <v>9.2499999999999995E-3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input_520100!A$2</f>
        <v>520100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IFERROR(VLOOKUP(B236,input_520100!L:R,7,FALSE),VLOOKUP(tables_520100!C236,input_520100!A:H,8,FALSE))</f>
        <v>98325</v>
      </c>
      <c r="P236" s="46">
        <f t="shared" ca="1" si="10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input_520100!A$2</f>
        <v>520100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IFERROR(VLOOKUP(B237,input_520100!L:R,7,FALSE),VLOOKUP(tables_520100!C237,input_520100!A:H,8,FALSE))</f>
        <v>87875</v>
      </c>
      <c r="P237" s="46">
        <f t="shared" ca="1" si="10"/>
        <v>6.7028985507246381E-4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input_520100!A$2</f>
        <v>520100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IFERROR(VLOOKUP(B238,input_520100!L:R,7,FALSE),VLOOKUP(tables_520100!C238,input_520100!A:H,8,FALSE))</f>
        <v>7125</v>
      </c>
      <c r="P238" s="46">
        <f t="shared" ca="1" si="10"/>
        <v>5.4347826086956524E-5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input_520100!A$2</f>
        <v>520100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IFERROR(VLOOKUP(B239,input_520100!L:R,7,FALSE),VLOOKUP(tables_520100!C239,input_520100!A:H,8,FALSE))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input_520100!A$2</f>
        <v>520100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IFERROR(VLOOKUP(B240,input_520100!L:R,7,FALSE),VLOOKUP(tables_520100!C240,input_520100!A:H,8,FALSE))</f>
        <v>1212675</v>
      </c>
      <c r="P240" s="46">
        <f t="shared" ca="1" si="10"/>
        <v>9.2499999999999995E-3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input_520100!A$2</f>
        <v>520100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IFERROR(VLOOKUP(B241,input_520100!L:R,7,FALSE),VLOOKUP(tables_520100!C241,input_520100!A:H,8,FALSE))</f>
        <v>98325</v>
      </c>
      <c r="P241" s="46">
        <f t="shared" ca="1" si="10"/>
        <v>7.5000000000000002E-4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input_520100!A$2</f>
        <v>520100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IFERROR(VLOOKUP(B242,input_520100!L:R,7,FALSE),VLOOKUP(tables_520100!C242,input_520100!A:H,8,FALSE))</f>
        <v>87875</v>
      </c>
      <c r="P242" s="46">
        <f t="shared" ca="1" si="10"/>
        <v>6.7028985507246381E-4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input_520100!A$2</f>
        <v>520100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IFERROR(VLOOKUP(B243,input_520100!L:R,7,FALSE),VLOOKUP(tables_520100!C243,input_520100!A:H,8,FALSE))</f>
        <v>7125</v>
      </c>
      <c r="P243" s="46">
        <f t="shared" ca="1" si="10"/>
        <v>5.4347826086956524E-5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input_520100!A$2</f>
        <v>520100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IFERROR(VLOOKUP(B244,input_520100!L:R,7,FALSE),VLOOKUP(tables_520100!C244,input_520100!A:H,8,FALSE))</f>
        <v>87875</v>
      </c>
      <c r="P244" s="46">
        <f t="shared" ca="1" si="10"/>
        <v>6.7028985507246381E-4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input_520100!A$2</f>
        <v>520100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IFERROR(VLOOKUP(B245,input_520100!L:R,7,FALSE),VLOOKUP(tables_520100!C245,input_520100!A:H,8,FALSE))</f>
        <v>7125</v>
      </c>
      <c r="P245" s="46">
        <f t="shared" ca="1" si="10"/>
        <v>5.4347826086956524E-5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input_520100!A$2</f>
        <v>520100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IFERROR(VLOOKUP(B246,input_520100!L:R,7,FALSE),VLOOKUP(tables_520100!C246,input_520100!A:H,8,FALSE))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input_520100!A$2</f>
        <v>520100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IFERROR(VLOOKUP(B247,input_520100!L:R,7,FALSE),VLOOKUP(tables_520100!C247,input_520100!A:H,8,FALSE))</f>
        <v>1212675</v>
      </c>
      <c r="P247" s="46">
        <f t="shared" ca="1" si="10"/>
        <v>9.2499999999999995E-3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input_520100!A$2</f>
        <v>520100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IFERROR(VLOOKUP(B248,input_520100!L:R,7,FALSE),VLOOKUP(tables_520100!C248,input_520100!A:H,8,FALSE))</f>
        <v>98325</v>
      </c>
      <c r="P248" s="46">
        <f t="shared" ca="1" si="10"/>
        <v>7.5000000000000002E-4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input_520100!A$2</f>
        <v>520100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IFERROR(VLOOKUP(B249,input_520100!L:R,7,FALSE),VLOOKUP(tables_520100!C249,input_520100!A:H,8,FALSE))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input_520100!A$2</f>
        <v>520100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IFERROR(VLOOKUP(B250,input_520100!L:R,7,FALSE),VLOOKUP(tables_520100!C250,input_520100!A:H,8,FALSE))</f>
        <v>1212675</v>
      </c>
      <c r="P250" s="46">
        <f t="shared" ca="1" si="10"/>
        <v>9.2499999999999995E-3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input_520100!A$2</f>
        <v>520100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IFERROR(VLOOKUP(B251,input_520100!L:R,7,FALSE),VLOOKUP(tables_520100!C251,input_520100!A:H,8,FALSE))</f>
        <v>98325</v>
      </c>
      <c r="P251" s="46">
        <f t="shared" ca="1" si="10"/>
        <v>7.5000000000000002E-4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input_520100!A$2</f>
        <v>520100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IFERROR(VLOOKUP(B252,input_520100!L:R,7,FALSE),VLOOKUP(tables_520100!C252,input_520100!A:H,8,FALSE))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input_520100!A$2</f>
        <v>520100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IFERROR(VLOOKUP(B253,input_520100!L:R,7,FALSE),VLOOKUP(tables_520100!C253,input_520100!A:H,8,FALSE))</f>
        <v>1212675</v>
      </c>
      <c r="P253" s="46">
        <f t="shared" ca="1" si="10"/>
        <v>9.2499999999999995E-3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input_520100!A$2</f>
        <v>520100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IFERROR(VLOOKUP(B254,input_520100!L:R,7,FALSE),VLOOKUP(tables_520100!C254,input_520100!A:H,8,FALSE))</f>
        <v>98325</v>
      </c>
      <c r="P254" s="46">
        <f t="shared" ca="1" si="10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input_520100!A$2</f>
        <v>520100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IFERROR(VLOOKUP(B255,input_520100!L:R,7,FALSE),VLOOKUP(tables_520100!C255,input_520100!A:H,8,FALSE))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input_520100!A$2</f>
        <v>520100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IFERROR(VLOOKUP(B256,input_520100!L:R,7,FALSE),VLOOKUP(tables_520100!C256,input_520100!A:H,8,FALSE))</f>
        <v>1212675</v>
      </c>
      <c r="P256" s="46">
        <f t="shared" ca="1" si="10"/>
        <v>9.2499999999999995E-3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input_520100!A$2</f>
        <v>520100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IFERROR(VLOOKUP(B257,input_520100!L:R,7,FALSE),VLOOKUP(tables_520100!C257,input_520100!A:H,8,FALSE))</f>
        <v>98325</v>
      </c>
      <c r="P257" s="46">
        <f t="shared" ca="1" si="10"/>
        <v>7.5000000000000002E-4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input_520100!A$2</f>
        <v>520100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IFERROR(VLOOKUP(B258,input_520100!L:R,7,FALSE),VLOOKUP(tables_520100!C258,input_520100!A:H,8,FALSE))</f>
        <v>87875</v>
      </c>
      <c r="P258" s="46">
        <f t="shared" ref="P258:P294" ca="1" si="13">O258/SUM(O:O)</f>
        <v>6.7028985507246381E-4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input_520100!A$2</f>
        <v>520100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IFERROR(VLOOKUP(B259,input_520100!L:R,7,FALSE),VLOOKUP(tables_520100!C259,input_520100!A:H,8,FALSE))</f>
        <v>7125</v>
      </c>
      <c r="P259" s="46">
        <f t="shared" ca="1" si="13"/>
        <v>5.4347826086956524E-5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input_520100!A$2</f>
        <v>520100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IFERROR(VLOOKUP(B260,input_520100!L:R,7,FALSE),VLOOKUP(tables_520100!C260,input_520100!A:H,8,FALSE))</f>
        <v>87875</v>
      </c>
      <c r="P260" s="46">
        <f t="shared" ca="1" si="13"/>
        <v>6.7028985507246381E-4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input_520100!A$2</f>
        <v>520100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IFERROR(VLOOKUP(B261,input_520100!L:R,7,FALSE),VLOOKUP(tables_520100!C261,input_520100!A:H,8,FALSE))</f>
        <v>7125</v>
      </c>
      <c r="P261" s="46">
        <f t="shared" ca="1" si="13"/>
        <v>5.4347826086956524E-5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input_520100!A$2</f>
        <v>520100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IFERROR(VLOOKUP(B262,input_520100!L:R,7,FALSE),VLOOKUP(tables_520100!C262,input_520100!A:H,8,FALSE))</f>
        <v>1298800</v>
      </c>
      <c r="P262" s="46">
        <f t="shared" ca="1" si="13"/>
        <v>9.906941266209E-3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input_520100!A$2</f>
        <v>520100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IFERROR(VLOOKUP(B263,input_520100!L:R,7,FALSE),VLOOKUP(tables_520100!C263,input_520100!A:H,8,FALSE))</f>
        <v>9272</v>
      </c>
      <c r="P263" s="46">
        <f t="shared" ca="1" si="13"/>
        <v>7.0724637681159419E-5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input_520100!A$2</f>
        <v>520100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IFERROR(VLOOKUP(B264,input_520100!L:R,7,FALSE),VLOOKUP(tables_520100!C264,input_520100!A:H,8,FALSE))</f>
        <v>1298800</v>
      </c>
      <c r="P264" s="46">
        <f t="shared" ca="1" si="13"/>
        <v>9.906941266209E-3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input_520100!A$2</f>
        <v>520100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IFERROR(VLOOKUP(B265,input_520100!L:R,7,FALSE),VLOOKUP(tables_520100!C265,input_520100!A:H,8,FALSE))</f>
        <v>9272</v>
      </c>
      <c r="P265" s="46">
        <f t="shared" ca="1" si="13"/>
        <v>7.0724637681159419E-5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input_520100!A$2</f>
        <v>520100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IFERROR(VLOOKUP(B266,input_520100!L:R,7,FALSE),VLOOKUP(tables_520100!C266,input_520100!A:H,8,FALSE))</f>
        <v>95000</v>
      </c>
      <c r="P266" s="46">
        <f t="shared" ca="1" si="13"/>
        <v>7.246376811594203E-4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input_520100!A$2</f>
        <v>520100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IFERROR(VLOOKUP(B267,input_520100!L:R,7,FALSE),VLOOKUP(tables_520100!C267,input_520100!A:H,8,FALSE))</f>
        <v>95000</v>
      </c>
      <c r="P267" s="46">
        <f t="shared" ca="1" si="13"/>
        <v>7.246376811594203E-4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input_520100!A$2</f>
        <v>520100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IFERROR(VLOOKUP(B268,input_520100!L:R,7,FALSE),VLOOKUP(tables_520100!C268,input_520100!A:H,8,FALSE))</f>
        <v>95000</v>
      </c>
      <c r="P268" s="46">
        <f t="shared" ca="1" si="13"/>
        <v>7.246376811594203E-4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input_520100!A$2</f>
        <v>520100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IFERROR(VLOOKUP(B269,input_520100!L:R,7,FALSE),VLOOKUP(tables_520100!C269,input_520100!A:H,8,FALSE))</f>
        <v>95000</v>
      </c>
      <c r="P269" s="46">
        <f t="shared" ca="1" si="13"/>
        <v>7.246376811594203E-4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input_520100!A$2</f>
        <v>520100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IFERROR(VLOOKUP(B270,input_520100!L:R,7,FALSE),VLOOKUP(tables_520100!C270,input_520100!A:H,8,FALSE))</f>
        <v>1298800</v>
      </c>
      <c r="P270" s="46">
        <f t="shared" ca="1" si="13"/>
        <v>9.906941266209E-3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input_520100!A$2</f>
        <v>520100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IFERROR(VLOOKUP(B271,input_520100!L:R,7,FALSE),VLOOKUP(tables_520100!C271,input_520100!A:H,8,FALSE))</f>
        <v>9272</v>
      </c>
      <c r="P271" s="46">
        <f t="shared" ca="1" si="13"/>
        <v>7.0724637681159419E-5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input_520100!A$2</f>
        <v>520100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IFERROR(VLOOKUP(B272,input_520100!L:R,7,FALSE),VLOOKUP(tables_520100!C272,input_520100!A:H,8,FALSE))</f>
        <v>1298800</v>
      </c>
      <c r="P272" s="46">
        <f t="shared" ca="1" si="13"/>
        <v>9.906941266209E-3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input_520100!A$2</f>
        <v>520100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IFERROR(VLOOKUP(B273,input_520100!L:R,7,FALSE),VLOOKUP(tables_520100!C273,input_520100!A:H,8,FALSE))</f>
        <v>9272</v>
      </c>
      <c r="P273" s="46">
        <f t="shared" ca="1" si="13"/>
        <v>7.0724637681159419E-5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input_520100!A$2</f>
        <v>520100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IFERROR(VLOOKUP(B274,input_520100!L:R,7,FALSE),VLOOKUP(tables_520100!C274,input_520100!A:H,8,FALSE))</f>
        <v>87875</v>
      </c>
      <c r="P274" s="46">
        <f t="shared" ca="1" si="13"/>
        <v>6.7028985507246381E-4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input_520100!A$2</f>
        <v>520100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IFERROR(VLOOKUP(B275,input_520100!L:R,7,FALSE),VLOOKUP(tables_520100!C275,input_520100!A:H,8,FALSE))</f>
        <v>7125</v>
      </c>
      <c r="P275" s="46">
        <f t="shared" ca="1" si="13"/>
        <v>5.4347826086956524E-5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input_520100!A$2</f>
        <v>520100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IFERROR(VLOOKUP(B276,input_520100!L:R,7,FALSE),VLOOKUP(tables_520100!C276,input_520100!A:H,8,FALSE))</f>
        <v>87875</v>
      </c>
      <c r="P276" s="46">
        <f t="shared" ca="1" si="13"/>
        <v>6.7028985507246381E-4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input_520100!A$2</f>
        <v>520100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IFERROR(VLOOKUP(B277,input_520100!L:R,7,FALSE),VLOOKUP(tables_520100!C277,input_520100!A:H,8,FALSE))</f>
        <v>7125</v>
      </c>
      <c r="P277" s="46">
        <f t="shared" ca="1" si="13"/>
        <v>5.4347826086956524E-5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input_520100!A$2</f>
        <v>520100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IFERROR(VLOOKUP(B278,input_520100!L:R,7,FALSE),VLOOKUP(tables_520100!C278,input_520100!A:H,8,FALSE))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input_520100!A$2</f>
        <v>520100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IFERROR(VLOOKUP(B279,input_520100!L:R,7,FALSE),VLOOKUP(tables_520100!C279,input_520100!A:H,8,FALSE))</f>
        <v>1212675</v>
      </c>
      <c r="P279" s="46">
        <f t="shared" ca="1" si="13"/>
        <v>9.2499999999999995E-3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input_520100!A$2</f>
        <v>520100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IFERROR(VLOOKUP(B280,input_520100!L:R,7,FALSE),VLOOKUP(tables_520100!C280,input_520100!A:H,8,FALSE))</f>
        <v>98325</v>
      </c>
      <c r="P280" s="46">
        <f t="shared" ca="1" si="13"/>
        <v>7.5000000000000002E-4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input_520100!A$2</f>
        <v>520100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IFERROR(VLOOKUP(B281,input_520100!L:R,7,FALSE),VLOOKUP(tables_520100!C281,input_520100!A:H,8,FALSE))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input_520100!A$2</f>
        <v>520100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IFERROR(VLOOKUP(B282,input_520100!L:R,7,FALSE),VLOOKUP(tables_520100!C282,input_520100!A:H,8,FALSE))</f>
        <v>1212675</v>
      </c>
      <c r="P282" s="46">
        <f t="shared" ca="1" si="13"/>
        <v>9.2499999999999995E-3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input_520100!A$2</f>
        <v>520100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IFERROR(VLOOKUP(B283,input_520100!L:R,7,FALSE),VLOOKUP(tables_520100!C283,input_520100!A:H,8,FALSE))</f>
        <v>98325</v>
      </c>
      <c r="P283" s="46">
        <f t="shared" ca="1" si="13"/>
        <v>7.5000000000000002E-4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input_520100!A$2</f>
        <v>520100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IFERROR(VLOOKUP(B284,input_520100!L:R,7,FALSE),VLOOKUP(tables_520100!C284,input_520100!A:H,8,FALSE))</f>
        <v>95000</v>
      </c>
      <c r="P284" s="46">
        <f t="shared" ca="1" si="13"/>
        <v>7.246376811594203E-4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input_520100!A$2</f>
        <v>520100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IFERROR(VLOOKUP(B285,input_520100!L:R,7,FALSE),VLOOKUP(tables_520100!C285,input_520100!A:H,8,FALSE))</f>
        <v>95000</v>
      </c>
      <c r="P285" s="46">
        <f t="shared" ca="1" si="13"/>
        <v>7.246376811594203E-4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input_520100!A$2</f>
        <v>520100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IFERROR(VLOOKUP(B286,input_520100!L:R,7,FALSE),VLOOKUP(tables_520100!C286,input_520100!A:H,8,FALSE))</f>
        <v>1298800</v>
      </c>
      <c r="P286" s="46">
        <f t="shared" ca="1" si="13"/>
        <v>9.906941266209E-3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input_520100!A$2</f>
        <v>520100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IFERROR(VLOOKUP(B287,input_520100!L:R,7,FALSE),VLOOKUP(tables_520100!C287,input_520100!A:H,8,FALSE))</f>
        <v>9272</v>
      </c>
      <c r="P287" s="46">
        <f t="shared" ca="1" si="13"/>
        <v>7.0724637681159419E-5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input_520100!A$2</f>
        <v>520100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IFERROR(VLOOKUP(B288,input_520100!L:R,7,FALSE),VLOOKUP(tables_520100!C288,input_520100!A:H,8,FALSE))</f>
        <v>1298800</v>
      </c>
      <c r="P288" s="46">
        <f t="shared" ca="1" si="13"/>
        <v>9.906941266209E-3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input_520100!A$2</f>
        <v>520100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IFERROR(VLOOKUP(B289,input_520100!L:R,7,FALSE),VLOOKUP(tables_520100!C289,input_520100!A:H,8,FALSE))</f>
        <v>9272</v>
      </c>
      <c r="P289" s="46">
        <f t="shared" ca="1" si="13"/>
        <v>7.0724637681159419E-5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input_520100!A$2</f>
        <v>520100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IFERROR(VLOOKUP(B290,input_520100!L:R,7,FALSE),VLOOKUP(tables_520100!C290,input_520100!A:H,8,FALSE))</f>
        <v>1298800</v>
      </c>
      <c r="P290" s="46">
        <f t="shared" ca="1" si="13"/>
        <v>9.906941266209E-3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input_520100!A$2</f>
        <v>520100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IFERROR(VLOOKUP(B291,input_520100!L:R,7,FALSE),VLOOKUP(tables_520100!C291,input_520100!A:H,8,FALSE))</f>
        <v>9272</v>
      </c>
      <c r="P291" s="46">
        <f t="shared" ca="1" si="13"/>
        <v>7.0724637681159419E-5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input_520100!A$2</f>
        <v>520100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IFERROR(VLOOKUP(B292,input_520100!L:R,7,FALSE),VLOOKUP(tables_520100!C292,input_520100!A:H,8,FALSE))</f>
        <v>1298800</v>
      </c>
      <c r="P292" s="46">
        <f t="shared" ca="1" si="13"/>
        <v>9.906941266209E-3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input_520100!A$2</f>
        <v>520100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IFERROR(VLOOKUP(B293,input_520100!L:R,7,FALSE),VLOOKUP(tables_520100!C293,input_520100!A:H,8,FALSE))</f>
        <v>9272</v>
      </c>
      <c r="P293" s="46">
        <f t="shared" ca="1" si="13"/>
        <v>7.0724637681159419E-5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input_520100!A$2</f>
        <v>520100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IFERROR(VLOOKUP(B294,input_520100!L:R,7,FALSE),VLOOKUP(tables_520100!C294,input_520100!A:H,8,FALSE))</f>
        <v>95000</v>
      </c>
      <c r="P294" s="46">
        <f t="shared" ca="1" si="13"/>
        <v>7.246376811594203E-4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input_520100!A$2</f>
        <v>520100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IFERROR(VLOOKUP(B295,input_520100!L:R,7,FALSE),VLOOKUP(tables_520100!C295,input_520100!A:H,8,FALSE))</f>
        <v>95000</v>
      </c>
      <c r="P295" s="46">
        <f t="shared" ref="P295:P299" ca="1" si="20">O295/SUM(O:O)</f>
        <v>7.246376811594203E-4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input_520100!A$2</f>
        <v>520100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IFERROR(VLOOKUP(B296,input_520100!L:R,7,FALSE),VLOOKUP(tables_520100!C296,input_520100!A:H,8,FALSE))</f>
        <v>95000</v>
      </c>
      <c r="P296" s="46">
        <f t="shared" ca="1" si="20"/>
        <v>7.246376811594203E-4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input_520100!A$2</f>
        <v>520100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IFERROR(VLOOKUP(B297,input_520100!L:R,7,FALSE),VLOOKUP(tables_520100!C297,input_520100!A:H,8,FALSE))</f>
        <v>1298800</v>
      </c>
      <c r="P297" s="46">
        <f t="shared" ca="1" si="20"/>
        <v>9.906941266209E-3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input_520100!A$2</f>
        <v>520100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IFERROR(VLOOKUP(B298,input_520100!L:R,7,FALSE),VLOOKUP(tables_520100!C298,input_520100!A:H,8,FALSE))</f>
        <v>9272</v>
      </c>
      <c r="P298" s="46">
        <f t="shared" ca="1" si="20"/>
        <v>7.0724637681159419E-5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input_520100!A$2</f>
        <v>520100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IFERROR(VLOOKUP(B299,input_520100!L:R,7,FALSE),VLOOKUP(tables_520100!C299,input_520100!A:H,8,FALSE))</f>
        <v>95000</v>
      </c>
      <c r="P299" s="46">
        <f t="shared" ca="1" si="20"/>
        <v>7.246376811594203E-4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input_520100!A$2</f>
        <v>520100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IFERROR(VLOOKUP(B300,input_520100!L:R,7,FALSE),VLOOKUP(tables_520100!C300,input_520100!A:H,8,FALSE))</f>
        <v>95000</v>
      </c>
      <c r="P300" s="46">
        <f t="shared" ref="P300:P304" ca="1" si="22">O300/SUM(O:O)</f>
        <v>7.246376811594203E-4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input_520100!A$2</f>
        <v>520100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IFERROR(VLOOKUP(B301,input_520100!L:R,7,FALSE),VLOOKUP(tables_520100!C301,input_520100!A:H,8,FALSE))</f>
        <v>95000</v>
      </c>
      <c r="P301" s="46">
        <f t="shared" ca="1" si="22"/>
        <v>7.246376811594203E-4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input_520100!A$2</f>
        <v>520100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IFERROR(VLOOKUP(B302,input_520100!L:R,7,FALSE),VLOOKUP(tables_520100!C302,input_520100!A:H,8,FALSE))</f>
        <v>95000</v>
      </c>
      <c r="P302" s="46">
        <f t="shared" ca="1" si="22"/>
        <v>7.246376811594203E-4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input_520100!A$2</f>
        <v>520100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IFERROR(VLOOKUP(B303,input_520100!L:R,7,FALSE),VLOOKUP(tables_520100!C303,input_520100!A:H,8,FALSE))</f>
        <v>1298800</v>
      </c>
      <c r="P303" s="46">
        <f t="shared" ca="1" si="22"/>
        <v>9.906941266209E-3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input_520100!A$2</f>
        <v>520100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IFERROR(VLOOKUP(B304,input_520100!L:R,7,FALSE),VLOOKUP(tables_520100!C304,input_520100!A:H,8,FALSE))</f>
        <v>9272</v>
      </c>
      <c r="P304" s="46">
        <f t="shared" ca="1" si="22"/>
        <v>7.0724637681159419E-5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input_520100!A$2</f>
        <v>520100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IFERROR(VLOOKUP(B305,input_520100!L:R,7,FALSE),VLOOKUP(tables_520100!C305,input_520100!A:H,8,FALSE))</f>
        <v>95000</v>
      </c>
      <c r="P305" s="46">
        <f t="shared" ref="P305:P308" ca="1" si="24">O305/SUM(O:O)</f>
        <v>7.246376811594203E-4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input_520100!A$2</f>
        <v>520100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IFERROR(VLOOKUP(B306,input_520100!L:R,7,FALSE),VLOOKUP(tables_520100!C306,input_520100!A:H,8,FALSE))</f>
        <v>1298800</v>
      </c>
      <c r="P306" s="46">
        <f t="shared" ca="1" si="24"/>
        <v>9.906941266209E-3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input_520100!A$2</f>
        <v>520100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IFERROR(VLOOKUP(B307,input_520100!L:R,7,FALSE),VLOOKUP(tables_520100!C307,input_520100!A:H,8,FALSE))</f>
        <v>9272</v>
      </c>
      <c r="P307" s="46">
        <f t="shared" ca="1" si="24"/>
        <v>7.0724637681159419E-5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input_520100!A$2</f>
        <v>520100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IFERROR(VLOOKUP(B308,input_520100!L:R,7,FALSE),VLOOKUP(tables_520100!C308,input_520100!A:H,8,FALSE))</f>
        <v>95000</v>
      </c>
      <c r="P308" s="46">
        <f t="shared" ca="1" si="24"/>
        <v>7.246376811594203E-4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input_520100!A$2</f>
        <v>520100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IFERROR(VLOOKUP(B309,input_520100!L:R,7,FALSE),VLOOKUP(tables_520100!C309,input_520100!A:H,8,FALSE))</f>
        <v>95000</v>
      </c>
      <c r="P309" s="46">
        <f t="shared" ref="P309" ca="1" si="26">O309/SUM(O:O)</f>
        <v>7.246376811594203E-4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input_520100!A$2</f>
        <v>520100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IFERROR(VLOOKUP(B310,input_520100!L:R,7,FALSE),VLOOKUP(tables_520100!C310,input_520100!A:H,8,FALSE))</f>
        <v>95000</v>
      </c>
      <c r="P310" s="46">
        <f t="shared" ref="P310:P314" ca="1" si="28">O310/SUM(O:O)</f>
        <v>7.246376811594203E-4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input_520100!A$2</f>
        <v>520100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IFERROR(VLOOKUP(B311,input_520100!L:R,7,FALSE),VLOOKUP(tables_520100!C311,input_520100!A:H,8,FALSE))</f>
        <v>1298800</v>
      </c>
      <c r="P311" s="46">
        <f t="shared" ca="1" si="28"/>
        <v>9.906941266209E-3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input_520100!A$2</f>
        <v>520100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IFERROR(VLOOKUP(B312,input_520100!L:R,7,FALSE),VLOOKUP(tables_520100!C312,input_520100!A:H,8,FALSE))</f>
        <v>9272</v>
      </c>
      <c r="P312" s="46">
        <f t="shared" ca="1" si="28"/>
        <v>7.0724637681159419E-5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input_520100!A$2</f>
        <v>520100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IFERROR(VLOOKUP(B313,input_520100!L:R,7,FALSE),VLOOKUP(tables_520100!C313,input_520100!A:H,8,FALSE))</f>
        <v>95000</v>
      </c>
      <c r="P313" s="46">
        <f t="shared" ca="1" si="28"/>
        <v>7.246376811594203E-4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input_520100!A$2</f>
        <v>520100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IFERROR(VLOOKUP(B314,input_520100!L:R,7,FALSE),VLOOKUP(tables_520100!C314,input_520100!A:H,8,FALSE))</f>
        <v>95000</v>
      </c>
      <c r="P314" s="46">
        <f t="shared" ca="1" si="28"/>
        <v>7.246376811594203E-4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input_520100!A$2</f>
        <v>520100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IFERROR(VLOOKUP(B315,input_520100!L:R,7,FALSE),VLOOKUP(tables_520100!C315,input_520100!A:H,8,FALSE))</f>
        <v>95000</v>
      </c>
      <c r="P315" s="46">
        <f t="shared" ref="P315:P319" ca="1" si="30">O315/SUM(O:O)</f>
        <v>7.246376811594203E-4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input_520100!A$2</f>
        <v>520100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IFERROR(VLOOKUP(B316,input_520100!L:R,7,FALSE),VLOOKUP(tables_520100!C316,input_520100!A:H,8,FALSE))</f>
        <v>95000</v>
      </c>
      <c r="P316" s="46">
        <f t="shared" ca="1" si="30"/>
        <v>7.246376811594203E-4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input_520100!A$2</f>
        <v>520100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IFERROR(VLOOKUP(B317,input_520100!L:R,7,FALSE),VLOOKUP(tables_520100!C317,input_520100!A:H,8,FALSE))</f>
        <v>95000</v>
      </c>
      <c r="P317" s="46">
        <f t="shared" ca="1" si="30"/>
        <v>7.246376811594203E-4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input_520100!A$2</f>
        <v>520100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IFERROR(VLOOKUP(B318,input_520100!L:R,7,FALSE),VLOOKUP(tables_520100!C318,input_520100!A:H,8,FALSE))</f>
        <v>1298800</v>
      </c>
      <c r="P318" s="46">
        <f t="shared" ca="1" si="30"/>
        <v>9.906941266209E-3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input_520100!A$2</f>
        <v>520100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IFERROR(VLOOKUP(B319,input_520100!L:R,7,FALSE),VLOOKUP(tables_520100!C319,input_520100!A:H,8,FALSE))</f>
        <v>9272</v>
      </c>
      <c r="P319" s="46">
        <f t="shared" ca="1" si="30"/>
        <v>7.0724637681159419E-5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input_520100!A$2</f>
        <v>520100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IFERROR(VLOOKUP(B320,input_520100!L:R,7,FALSE),VLOOKUP(tables_520100!C320,input_520100!A:H,8,FALSE))</f>
        <v>95000</v>
      </c>
      <c r="P320" s="46">
        <f t="shared" ref="P320:P324" ca="1" si="32">O320/SUM(O:O)</f>
        <v>7.246376811594203E-4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input_520100!A$2</f>
        <v>520100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IFERROR(VLOOKUP(B321,input_520100!L:R,7,FALSE),VLOOKUP(tables_520100!C321,input_520100!A:H,8,FALSE))</f>
        <v>95000</v>
      </c>
      <c r="P321" s="46">
        <f t="shared" ca="1" si="32"/>
        <v>7.246376811594203E-4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input_520100!A$2</f>
        <v>520100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IFERROR(VLOOKUP(B322,input_520100!L:R,7,FALSE),VLOOKUP(tables_520100!C322,input_520100!A:H,8,FALSE))</f>
        <v>95000</v>
      </c>
      <c r="P322" s="46">
        <f t="shared" ca="1" si="32"/>
        <v>7.246376811594203E-4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input_520100!A$2</f>
        <v>520100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IFERROR(VLOOKUP(B323,input_520100!L:R,7,FALSE),VLOOKUP(tables_520100!C323,input_520100!A:H,8,FALSE))</f>
        <v>95000</v>
      </c>
      <c r="P323" s="46">
        <f t="shared" ca="1" si="32"/>
        <v>7.246376811594203E-4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input_520100!A$2</f>
        <v>520100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IFERROR(VLOOKUP(B324,input_520100!L:R,7,FALSE),VLOOKUP(tables_520100!C324,input_520100!A:H,8,FALSE))</f>
        <v>1298800</v>
      </c>
      <c r="P324" s="46">
        <f t="shared" ca="1" si="32"/>
        <v>9.906941266209E-3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input_520100!A$2</f>
        <v>520100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IFERROR(VLOOKUP(B325,input_520100!L:R,7,FALSE),VLOOKUP(tables_520100!C325,input_520100!A:H,8,FALSE))</f>
        <v>9272</v>
      </c>
      <c r="P325" s="46">
        <f t="shared" ref="P325:P330" ca="1" si="35">O325/SUM(O:O)</f>
        <v>7.0724637681159419E-5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input_520100!A$2</f>
        <v>520100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IFERROR(VLOOKUP(B326,input_520100!L:R,7,FALSE),VLOOKUP(tables_520100!C326,input_520100!A:H,8,FALSE))</f>
        <v>1298800</v>
      </c>
      <c r="P326" s="46">
        <f t="shared" ca="1" si="35"/>
        <v>9.906941266209E-3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input_520100!A$2</f>
        <v>520100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IFERROR(VLOOKUP(B327,input_520100!L:R,7,FALSE),VLOOKUP(tables_520100!C327,input_520100!A:H,8,FALSE))</f>
        <v>9272</v>
      </c>
      <c r="P327" s="46">
        <f t="shared" ca="1" si="35"/>
        <v>7.0724637681159419E-5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input_520100!A$2</f>
        <v>520100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IFERROR(VLOOKUP(B328,input_520100!L:R,7,FALSE),VLOOKUP(tables_520100!C328,input_520100!A:H,8,FALSE))</f>
        <v>95000</v>
      </c>
      <c r="P328" s="46">
        <f t="shared" ca="1" si="35"/>
        <v>7.246376811594203E-4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input_520100!A$2</f>
        <v>520100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IFERROR(VLOOKUP(B329,input_520100!L:R,7,FALSE),VLOOKUP(tables_520100!C329,input_520100!A:H,8,FALSE))</f>
        <v>95000</v>
      </c>
      <c r="P329" s="46">
        <f t="shared" ca="1" si="35"/>
        <v>7.246376811594203E-4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input_520100!A$2</f>
        <v>520100</v>
      </c>
      <c r="B330" s="2">
        <v>1157</v>
      </c>
      <c r="C330" s="7" t="str">
        <f t="shared" si="34"/>
        <v>PremiumSS5R5only</v>
      </c>
      <c r="D330" s="95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IFERROR(VLOOKUP(B330,input_520100!L:R,7,FALSE),VLOOKUP(tables_520100!C330,input_520100!A:H,8,FALSE))</f>
        <v>95000</v>
      </c>
      <c r="P330" s="46">
        <f t="shared" ca="1" si="35"/>
        <v>7.246376811594203E-4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input_520100!A$2</f>
        <v>520100</v>
      </c>
      <c r="B331" s="60">
        <v>1214</v>
      </c>
      <c r="C331" s="7" t="str">
        <f t="shared" ref="C331:C335" si="36">D331&amp;J331&amp;E331&amp;F331&amp;G331</f>
        <v>PremiumSS5R5only</v>
      </c>
      <c r="D331" s="95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IFERROR(VLOOKUP(B331,input_520100!L:R,7,FALSE),VLOOKUP(tables_520100!C331,input_520100!A:H,8,FALSE))</f>
        <v>95000</v>
      </c>
      <c r="P331" s="46">
        <f t="shared" ref="P331:P335" ca="1" si="38">O331/SUM(O:O)</f>
        <v>7.246376811594203E-4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input_520100!A$2</f>
        <v>520100</v>
      </c>
      <c r="B332" s="60">
        <v>1212</v>
      </c>
      <c r="C332" s="7" t="str">
        <f t="shared" si="36"/>
        <v>PremiumSS5R5only</v>
      </c>
      <c r="D332" s="95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IFERROR(VLOOKUP(B332,input_520100!L:R,7,FALSE),VLOOKUP(tables_520100!C332,input_520100!A:H,8,FALSE))</f>
        <v>95000</v>
      </c>
      <c r="P332" s="46">
        <f t="shared" ca="1" si="38"/>
        <v>7.246376811594203E-4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input_520100!A$2</f>
        <v>520100</v>
      </c>
      <c r="B333" s="60">
        <v>1208</v>
      </c>
      <c r="C333" s="7" t="str">
        <f t="shared" si="36"/>
        <v>PremiumSS5R5only</v>
      </c>
      <c r="D333" s="95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IFERROR(VLOOKUP(B333,input_520100!L:R,7,FALSE),VLOOKUP(tables_520100!C333,input_520100!A:H,8,FALSE))</f>
        <v>95000</v>
      </c>
      <c r="P333" s="46">
        <f t="shared" ca="1" si="38"/>
        <v>7.246376811594203E-4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input_520100!A$2</f>
        <v>520100</v>
      </c>
      <c r="B334" s="91">
        <v>1210</v>
      </c>
      <c r="C334" s="7" t="str">
        <f t="shared" si="36"/>
        <v>Premium4R3less</v>
      </c>
      <c r="D334" s="95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IFERROR(VLOOKUP(B334,input_520100!L:R,7,FALSE),VLOOKUP(tables_520100!C334,input_520100!A:H,8,FALSE))</f>
        <v>1298800</v>
      </c>
      <c r="P334" s="46">
        <f t="shared" ca="1" si="38"/>
        <v>9.906941266209E-3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input_520100!A$2</f>
        <v>520100</v>
      </c>
      <c r="B335" s="60">
        <v>1211</v>
      </c>
      <c r="C335" s="7" t="str">
        <f t="shared" si="36"/>
        <v>Premium5R3less</v>
      </c>
      <c r="D335" s="95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IFERROR(VLOOKUP(B335,input_520100!L:R,7,FALSE),VLOOKUP(tables_520100!C335,input_520100!A:H,8,FALSE))</f>
        <v>9272</v>
      </c>
      <c r="P335" s="46">
        <f t="shared" ca="1" si="38"/>
        <v>7.0724637681159419E-5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input_520100!A$2</f>
        <v>520100</v>
      </c>
      <c r="B336" s="2">
        <v>1224</v>
      </c>
      <c r="C336" s="7" t="str">
        <f t="shared" ref="C336:C340" si="39">D336&amp;J336&amp;E336&amp;F336&amp;G336</f>
        <v>Premium4R3less</v>
      </c>
      <c r="D336" s="95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IFERROR(VLOOKUP(B336,input_520100!L:R,7,FALSE),VLOOKUP(tables_520100!C336,input_520100!A:H,8,FALSE))</f>
        <v>1298800</v>
      </c>
      <c r="P336" s="46">
        <f t="shared" ref="P336:P340" ca="1" si="41">O336/SUM(O:O)</f>
        <v>9.906941266209E-3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input_520100!A$2</f>
        <v>520100</v>
      </c>
      <c r="B337" s="2">
        <v>1225</v>
      </c>
      <c r="C337" s="7" t="str">
        <f t="shared" si="39"/>
        <v>Premium5R3less</v>
      </c>
      <c r="D337" s="95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IFERROR(VLOOKUP(B337,input_520100!L:R,7,FALSE),VLOOKUP(tables_520100!C337,input_520100!A:H,8,FALSE))</f>
        <v>9272</v>
      </c>
      <c r="P337" s="46">
        <f t="shared" ca="1" si="41"/>
        <v>7.0724637681159419E-5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input_520100!A$2</f>
        <v>520100</v>
      </c>
      <c r="B338" s="2">
        <v>1226</v>
      </c>
      <c r="C338" s="7" t="str">
        <f t="shared" si="39"/>
        <v>PremiumSS5R5only</v>
      </c>
      <c r="D338" s="95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IFERROR(VLOOKUP(B338,input_520100!L:R,7,FALSE),VLOOKUP(tables_520100!C338,input_520100!A:H,8,FALSE))</f>
        <v>95000</v>
      </c>
      <c r="P338" s="46">
        <f t="shared" ca="1" si="41"/>
        <v>7.246376811594203E-4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input_520100!A$2</f>
        <v>520100</v>
      </c>
      <c r="B339" s="2">
        <v>1228</v>
      </c>
      <c r="C339" s="7" t="str">
        <f t="shared" si="39"/>
        <v>PremiumSS5R5only</v>
      </c>
      <c r="D339" s="95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IFERROR(VLOOKUP(B339,input_520100!L:R,7,FALSE),VLOOKUP(tables_520100!C339,input_520100!A:H,8,FALSE))</f>
        <v>95000</v>
      </c>
      <c r="P339" s="46">
        <f t="shared" ca="1" si="41"/>
        <v>7.246376811594203E-4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input_520100!A$2</f>
        <v>520100</v>
      </c>
      <c r="B340" s="2">
        <v>1230</v>
      </c>
      <c r="C340" s="7" t="str">
        <f t="shared" si="39"/>
        <v>PremiumSS5R5only</v>
      </c>
      <c r="D340" s="95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IFERROR(VLOOKUP(B340,input_520100!L:R,7,FALSE),VLOOKUP(tables_520100!C340,input_520100!A:H,8,FALSE))</f>
        <v>95000</v>
      </c>
      <c r="P340" s="46">
        <f t="shared" ca="1" si="41"/>
        <v>7.246376811594203E-4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input_520100!A$2</f>
        <v>520100</v>
      </c>
      <c r="B341" s="1">
        <v>1250</v>
      </c>
      <c r="C341" s="7" t="str">
        <f t="shared" ref="C341:C347" si="42">D341&amp;J341&amp;E341&amp;F341&amp;G341</f>
        <v>PremiumSS5R5only</v>
      </c>
      <c r="D341" s="95" t="str">
        <f t="shared" ref="D341:D347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IFERROR(VLOOKUP(B341,input_520100!L:R,7,FALSE),VLOOKUP(tables_520100!C341,input_520100!A:H,8,FALSE))</f>
        <v>95000</v>
      </c>
      <c r="P341" s="46">
        <f t="shared" ref="P341:P347" ca="1" si="44">O341/SUM(O:O)</f>
        <v>7.246376811594203E-4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input_520100!A$2</f>
        <v>520100</v>
      </c>
      <c r="B342" s="1">
        <v>1248</v>
      </c>
      <c r="C342" s="7" t="str">
        <f t="shared" si="42"/>
        <v>Premium4R3less</v>
      </c>
      <c r="D342" s="95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IFERROR(VLOOKUP(B342,input_520100!L:R,7,FALSE),VLOOKUP(tables_520100!C342,input_520100!A:H,8,FALSE))</f>
        <v>1298800</v>
      </c>
      <c r="P342" s="46">
        <f t="shared" ca="1" si="44"/>
        <v>9.906941266209E-3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input_520100!A$2</f>
        <v>520100</v>
      </c>
      <c r="B343" s="1">
        <v>1249</v>
      </c>
      <c r="C343" s="7" t="str">
        <f t="shared" si="42"/>
        <v>Premium5R3less</v>
      </c>
      <c r="D343" s="95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IFERROR(VLOOKUP(B343,input_520100!L:R,7,FALSE),VLOOKUP(tables_520100!C343,input_520100!A:H,8,FALSE))</f>
        <v>9272</v>
      </c>
      <c r="P343" s="46">
        <f t="shared" ca="1" si="44"/>
        <v>7.0724637681159419E-5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input_520100!A$2</f>
        <v>520100</v>
      </c>
      <c r="B344" s="1">
        <v>1246</v>
      </c>
      <c r="C344" s="7" t="str">
        <f t="shared" si="42"/>
        <v>PremiumSS5R5only</v>
      </c>
      <c r="D344" s="95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IFERROR(VLOOKUP(B344,input_520100!L:R,7,FALSE),VLOOKUP(tables_520100!C344,input_520100!A:H,8,FALSE))</f>
        <v>95000</v>
      </c>
      <c r="P344" s="46">
        <f t="shared" ca="1" si="44"/>
        <v>7.246376811594203E-4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input_520100!A$2</f>
        <v>520100</v>
      </c>
      <c r="B345" s="1">
        <v>1244</v>
      </c>
      <c r="C345" s="7" t="str">
        <f t="shared" si="42"/>
        <v>PremiumSS5R5only</v>
      </c>
      <c r="D345" s="95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IFERROR(VLOOKUP(B345,input_520100!L:R,7,FALSE),VLOOKUP(tables_520100!C345,input_520100!A:H,8,FALSE))</f>
        <v>95000</v>
      </c>
      <c r="P345" s="46">
        <f t="shared" ca="1" si="44"/>
        <v>7.246376811594203E-4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input_520100!A$2</f>
        <v>520100</v>
      </c>
      <c r="B346" s="1">
        <v>1260</v>
      </c>
      <c r="C346" s="7" t="str">
        <f t="shared" si="42"/>
        <v>PremiumSS5R5only</v>
      </c>
      <c r="D346" s="95" t="str">
        <f t="shared" si="4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IFERROR(VLOOKUP(B346,input_520100!L:R,7,FALSE),VLOOKUP(tables_520100!C346,input_520100!A:H,8,FALSE))</f>
        <v>95000</v>
      </c>
      <c r="P346" s="46">
        <f t="shared" ca="1" si="44"/>
        <v>7.246376811594203E-4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input_520100!A$2</f>
        <v>520100</v>
      </c>
      <c r="B347" s="1">
        <v>1262</v>
      </c>
      <c r="C347" s="7" t="str">
        <f t="shared" si="42"/>
        <v>PremiumSS5R5only</v>
      </c>
      <c r="D347" s="95" t="str">
        <f t="shared" si="4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IFERROR(VLOOKUP(B347,input_520100!L:R,7,FALSE),VLOOKUP(tables_520100!C347,input_520100!A:H,8,FALSE))</f>
        <v>95000</v>
      </c>
      <c r="P347" s="46">
        <f t="shared" ca="1" si="44"/>
        <v>7.246376811594203E-4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input_520100!A$2</f>
        <v>520100</v>
      </c>
      <c r="B348" s="1">
        <v>1264</v>
      </c>
      <c r="C348" s="7" t="str">
        <f t="shared" ref="C348:C350" si="45">D348&amp;J348&amp;E348&amp;F348&amp;G348</f>
        <v>PremiumSS5R5only</v>
      </c>
      <c r="D348" s="95" t="str">
        <f t="shared" ref="D348:D350" si="46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IFERROR(VLOOKUP(B348,input_520100!L:R,7,FALSE),VLOOKUP(tables_520100!C348,input_520100!A:H,8,FALSE))</f>
        <v>95000</v>
      </c>
      <c r="P348" s="46">
        <f t="shared" ref="P348:P350" ca="1" si="47">O348/SUM(O:O)</f>
        <v>7.246376811594203E-4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input_520100!A$2</f>
        <v>520100</v>
      </c>
      <c r="B349" s="1">
        <v>1266</v>
      </c>
      <c r="C349" s="7" t="str">
        <f t="shared" si="45"/>
        <v>Premium4R3less</v>
      </c>
      <c r="D349" s="95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IFERROR(VLOOKUP(B349,input_520100!L:R,7,FALSE),VLOOKUP(tables_520100!C349,input_520100!A:H,8,FALSE))</f>
        <v>1298800</v>
      </c>
      <c r="P349" s="46">
        <f t="shared" ca="1" si="47"/>
        <v>9.906941266209E-3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input_520100!A$2</f>
        <v>520100</v>
      </c>
      <c r="B350" s="1">
        <v>1267</v>
      </c>
      <c r="C350" s="7" t="str">
        <f t="shared" si="45"/>
        <v>Premium5R3less</v>
      </c>
      <c r="D350" s="95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IFERROR(VLOOKUP(B350,input_520100!L:R,7,FALSE),VLOOKUP(tables_520100!C350,input_520100!A:H,8,FALSE))</f>
        <v>9272</v>
      </c>
      <c r="P350" s="46">
        <f t="shared" ca="1" si="47"/>
        <v>7.0724637681159419E-5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0"/>
  <sheetViews>
    <sheetView showGridLines="0" zoomScale="90" zoomScaleNormal="90" zoomScalePageLayoutView="90" workbookViewId="0">
      <pane ySplit="1" topLeftCell="A78" activePane="bottomLeft" state="frozen"/>
      <selection activeCell="D34" sqref="D34"/>
      <selection pane="bottomLeft" activeCell="A2" sqref="A2:A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520105</v>
      </c>
      <c r="B2" s="6">
        <v>320</v>
      </c>
      <c r="C2" s="7" t="str">
        <f t="shared" ref="C2" si="0">D2&amp;J2&amp;E2&amp;F2&amp;G2</f>
        <v>PremiumSS4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19</v>
      </c>
      <c r="P2" s="46">
        <f t="shared" ref="P2:P7" si="2">O2/SUM(O:O)</f>
        <v>1.4615384615384615E-2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520105</v>
      </c>
      <c r="B3" s="6">
        <v>321</v>
      </c>
      <c r="C3" s="7" t="str">
        <f t="shared" ref="C3:C84" si="3">D3&amp;J3&amp;E3&amp;F3&amp;G3</f>
        <v>PremiumSS5</v>
      </c>
      <c r="D3" s="7" t="str">
        <f t="shared" ref="D3:D70" si="4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</v>
      </c>
      <c r="P3" s="46">
        <f t="shared" si="2"/>
        <v>7.6923076923076923E-4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520105</v>
      </c>
      <c r="B4" s="6">
        <v>322</v>
      </c>
      <c r="C4" s="7" t="str">
        <f t="shared" ref="C4:C5" si="5">D4&amp;J4&amp;E4&amp;F4&amp;G4</f>
        <v>PremiumSS4</v>
      </c>
      <c r="D4" s="7" t="str">
        <f t="shared" ref="D4:D5" si="6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愛志士 土方歳三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 t="shared" si="2"/>
        <v>1.4615384615384615E-2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520105</v>
      </c>
      <c r="B5" s="6">
        <v>323</v>
      </c>
      <c r="C5" s="7" t="str">
        <f t="shared" si="5"/>
        <v>PremiumSS5</v>
      </c>
      <c r="D5" s="7" t="str">
        <f t="shared" si="6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流麗の愛志士 土方歳三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 t="shared" si="2"/>
        <v>7.6923076923076923E-4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520105</v>
      </c>
      <c r="B6" s="6">
        <v>324</v>
      </c>
      <c r="C6" s="7" t="str">
        <f t="shared" si="3"/>
        <v>PremiumSS4</v>
      </c>
      <c r="D6" s="7" t="str">
        <f t="shared" si="4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凛志士 沖田総司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19</v>
      </c>
      <c r="P6" s="46">
        <f t="shared" si="2"/>
        <v>1.4615384615384615E-2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520105</v>
      </c>
      <c r="B7" s="6">
        <v>325</v>
      </c>
      <c r="C7" s="7" t="str">
        <f t="shared" si="3"/>
        <v>PremiumSS5</v>
      </c>
      <c r="D7" s="7" t="str">
        <f t="shared" si="4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天賦の凛志士 沖田総司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v>1</v>
      </c>
      <c r="P7" s="46">
        <f t="shared" si="2"/>
        <v>7.6923076923076923E-4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520105</v>
      </c>
      <c r="B8" s="6">
        <v>326</v>
      </c>
      <c r="C8" s="7" t="str">
        <f t="shared" ref="C8:C9" si="7">D8&amp;J8&amp;E8&amp;F8&amp;G8</f>
        <v>PremiumSS4</v>
      </c>
      <c r="D8" s="7" t="str">
        <f t="shared" ref="D8:D9" si="8">IF(OR(I8="PremiumSS",I8="PremiumSSw"),"PremiumSS",IF(I8="PremiumSSS",I8,IF(I8="PremiumW",IF(J8=5,"premium",I8),"Premium")))</f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妖志士 斎藤一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19</v>
      </c>
      <c r="P8" s="46">
        <f t="shared" ref="P8:P9" si="9">O8/SUM(O:O)</f>
        <v>1.4615384615384615E-2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520105</v>
      </c>
      <c r="B9" s="6">
        <v>327</v>
      </c>
      <c r="C9" s="7" t="str">
        <f t="shared" si="7"/>
        <v>PremiumSS5</v>
      </c>
      <c r="D9" s="7" t="str">
        <f t="shared" si="8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千殺の妖志士 斎藤一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technical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</v>
      </c>
      <c r="P9" s="46">
        <f t="shared" si="9"/>
        <v>7.6923076923076923E-4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520105</v>
      </c>
      <c r="B10" s="6">
        <v>383</v>
      </c>
      <c r="C10" s="7" t="str">
        <f t="shared" si="3"/>
        <v>PremiumSS4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酒宴の蟒蛇 ヤマタノオロチ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green</v>
      </c>
      <c r="L10" s="7" t="str">
        <f>VLOOKUP(B10,[1]characters!$A:$K,11,FALSE)</f>
        <v>hp</v>
      </c>
      <c r="M10" s="7" t="str">
        <f>VLOOKUP(B10,[1]characters!$A:$M,13,FALSE)</f>
        <v>dragon</v>
      </c>
      <c r="N10" s="7" t="str">
        <f>VLOOKUP(B10,[1]characters!$A:$G,7,FALSE)</f>
        <v>女性</v>
      </c>
      <c r="O10" s="45">
        <v>19</v>
      </c>
      <c r="P10" s="46">
        <f t="shared" ref="P10:P41" si="10">O10/SUM(O:O)</f>
        <v>1.4615384615384615E-2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520105</v>
      </c>
      <c r="B11" s="6">
        <v>384</v>
      </c>
      <c r="C11" s="7" t="str">
        <f t="shared" si="3"/>
        <v>PremiumSS5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v>1</v>
      </c>
      <c r="P11" s="46">
        <f t="shared" si="10"/>
        <v>7.6923076923076923E-4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520105</v>
      </c>
      <c r="B12" s="6">
        <v>385</v>
      </c>
      <c r="C12" s="7" t="str">
        <f t="shared" si="3"/>
        <v>PremiumSS4</v>
      </c>
      <c r="D12" s="7" t="str">
        <f t="shared" si="4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波烈の出奔 リヴァイアサン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dragon</v>
      </c>
      <c r="N12" s="7" t="str">
        <f>VLOOKUP(B12,[1]characters!$A:$G,7,FALSE)</f>
        <v>女性</v>
      </c>
      <c r="O12" s="45">
        <v>19</v>
      </c>
      <c r="P12" s="46">
        <f t="shared" si="10"/>
        <v>1.4615384615384615E-2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520105</v>
      </c>
      <c r="B13" s="6">
        <v>386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氾乱の海龍 リヴァイアサン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dragon</v>
      </c>
      <c r="N13" s="7" t="str">
        <f>VLOOKUP(B13,[1]characters!$A:$G,7,FALSE)</f>
        <v>女性</v>
      </c>
      <c r="O13" s="45">
        <v>1</v>
      </c>
      <c r="P13" s="46">
        <f t="shared" si="10"/>
        <v>7.6923076923076923E-4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520105</v>
      </c>
      <c r="B14" s="6">
        <v>390</v>
      </c>
      <c r="C14" s="7" t="str">
        <f t="shared" si="3"/>
        <v>PremiumSS4</v>
      </c>
      <c r="D14" s="7" t="str">
        <f t="shared" si="4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華環の旅客 親指姫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red</v>
      </c>
      <c r="L14" s="7" t="str">
        <f>VLOOKUP(B14,[1]characters!$A:$K,11,FALSE)</f>
        <v>heal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19</v>
      </c>
      <c r="P14" s="46">
        <f t="shared" si="10"/>
        <v>1.4615384615384615E-2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520105</v>
      </c>
      <c r="B15" s="6">
        <v>391</v>
      </c>
      <c r="C15" s="7" t="str">
        <f t="shared" si="3"/>
        <v>PremiumSS5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燕翼の旅人 親指姫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heal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</v>
      </c>
      <c r="P15" s="46">
        <f t="shared" si="10"/>
        <v>7.6923076923076923E-4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520105</v>
      </c>
      <c r="B16" s="6">
        <v>398</v>
      </c>
      <c r="C16" s="7" t="str">
        <f t="shared" si="3"/>
        <v>PremiumSS4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ヘンゼル＆グレーテル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19</v>
      </c>
      <c r="P16" s="46">
        <f t="shared" si="10"/>
        <v>1.4615384615384615E-2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520105</v>
      </c>
      <c r="B17" s="6">
        <v>399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信愛の兄妹 ヘンゼル＆グレーテル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</v>
      </c>
      <c r="P17" s="46">
        <f t="shared" si="10"/>
        <v>7.6923076923076923E-4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520105</v>
      </c>
      <c r="B18" s="6">
        <v>403</v>
      </c>
      <c r="C18" s="7" t="str">
        <f t="shared" si="3"/>
        <v>PremiumSS4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静撃の翠眼 八咫烏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animal</v>
      </c>
      <c r="N18" s="7" t="str">
        <f>VLOOKUP(B18,[1]characters!$A:$G,7,FALSE)</f>
        <v>女性</v>
      </c>
      <c r="O18" s="45">
        <v>19</v>
      </c>
      <c r="P18" s="46">
        <f t="shared" si="10"/>
        <v>1.4615384615384615E-2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520105</v>
      </c>
      <c r="B19" s="8">
        <v>404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空襲の神眼 八咫烏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女性</v>
      </c>
      <c r="O19" s="45">
        <v>1</v>
      </c>
      <c r="P19" s="46">
        <f t="shared" si="10"/>
        <v>7.6923076923076923E-4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520105</v>
      </c>
      <c r="B20" s="8">
        <v>434</v>
      </c>
      <c r="C20" s="7" t="str">
        <f t="shared" si="3"/>
        <v>PremiumSS4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D.R.T.H.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19</v>
      </c>
      <c r="P20" s="46">
        <f t="shared" si="10"/>
        <v>1.4615384615384615E-2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520105</v>
      </c>
      <c r="B21" s="8">
        <v>435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曝弾の密偵 D.R.T.H.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1</v>
      </c>
      <c r="P21" s="46">
        <f t="shared" si="10"/>
        <v>7.6923076923076923E-4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520105</v>
      </c>
      <c r="B22" s="8">
        <v>465</v>
      </c>
      <c r="C22" s="7" t="str">
        <f t="shared" si="3"/>
        <v>PremiumSS4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真撃 ランスロット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green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男性</v>
      </c>
      <c r="O22" s="45">
        <v>19</v>
      </c>
      <c r="P22" s="46">
        <f t="shared" si="10"/>
        <v>1.4615384615384615E-2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520105</v>
      </c>
      <c r="B23" s="6">
        <v>466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真断の勇覇 ランスロット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v>1</v>
      </c>
      <c r="P23" s="46">
        <f t="shared" si="10"/>
        <v>7.6923076923076923E-4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520105</v>
      </c>
      <c r="B24" s="6">
        <v>467</v>
      </c>
      <c r="C24" s="7" t="str">
        <f t="shared" si="3"/>
        <v>PremiumSS4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報復 モルドレッド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19</v>
      </c>
      <c r="P24" s="46">
        <f t="shared" si="10"/>
        <v>1.4615384615384615E-2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520105</v>
      </c>
      <c r="B25" s="6">
        <v>468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憎愛の尖鋒 モルドレッド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v>1</v>
      </c>
      <c r="P25" s="46">
        <f t="shared" si="10"/>
        <v>7.6923076923076923E-4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520105</v>
      </c>
      <c r="B26" s="10">
        <v>474</v>
      </c>
      <c r="C26" s="7" t="str">
        <f t="shared" si="3"/>
        <v>PremiumSS4</v>
      </c>
      <c r="D26" s="7" t="str">
        <f t="shared" si="4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キング・ドライグ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attack</v>
      </c>
      <c r="M26" s="7" t="str">
        <f>VLOOKUP(B26,[1]characters!$A:$M,13,FALSE)</f>
        <v>dragon</v>
      </c>
      <c r="N26" s="7" t="str">
        <f>VLOOKUP(B26,[1]characters!$A:$G,7,FALSE)</f>
        <v>不明</v>
      </c>
      <c r="O26" s="45">
        <v>19</v>
      </c>
      <c r="P26" s="46">
        <f t="shared" si="10"/>
        <v>1.4615384615384615E-2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520105</v>
      </c>
      <c r="B27" s="10">
        <v>475</v>
      </c>
      <c r="C27" s="7" t="str">
        <f t="shared" si="3"/>
        <v>PremiumSS5</v>
      </c>
      <c r="D27" s="7" t="str">
        <f t="shared" si="4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緋王 キング・ドライグ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attack</v>
      </c>
      <c r="M27" s="7" t="str">
        <f>VLOOKUP(B27,[1]characters!$A:$M,13,FALSE)</f>
        <v>dragon</v>
      </c>
      <c r="N27" s="7" t="str">
        <f>VLOOKUP(B27,[1]characters!$A:$G,7,FALSE)</f>
        <v>不明</v>
      </c>
      <c r="O27" s="45">
        <v>1</v>
      </c>
      <c r="P27" s="46">
        <f t="shared" si="10"/>
        <v>7.6923076923076923E-4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520105</v>
      </c>
      <c r="B28" s="98">
        <v>492</v>
      </c>
      <c r="C28" s="7" t="str">
        <f t="shared" si="3"/>
        <v>PremiumSS4</v>
      </c>
      <c r="D28" s="7" t="str">
        <f t="shared" si="4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ブートレグ・ペロー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red</v>
      </c>
      <c r="L28" s="7" t="str">
        <f>VLOOKUP(B28,[1]characters!$A:$K,11,FALSE)</f>
        <v>hp</v>
      </c>
      <c r="M28" s="7" t="str">
        <f>VLOOKUP(B28,[1]characters!$A:$M,13,FALSE)</f>
        <v>animal</v>
      </c>
      <c r="N28" s="7" t="str">
        <f>VLOOKUP(B28,[1]characters!$A:$G,7,FALSE)</f>
        <v>不明</v>
      </c>
      <c r="O28" s="45">
        <v>19</v>
      </c>
      <c r="P28" s="46">
        <f t="shared" si="10"/>
        <v>1.4615384615384615E-2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520105</v>
      </c>
      <c r="B29" s="11">
        <v>493</v>
      </c>
      <c r="C29" s="7" t="str">
        <f t="shared" si="3"/>
        <v>PremiumSS5</v>
      </c>
      <c r="D29" s="7" t="str">
        <f t="shared" si="4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跋扈の機脚 ブートレグ・ペロー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animal</v>
      </c>
      <c r="N29" s="7" t="str">
        <f>VLOOKUP(B29,[1]characters!$A:$G,7,FALSE)</f>
        <v>不明</v>
      </c>
      <c r="O29" s="45">
        <v>1</v>
      </c>
      <c r="P29" s="46">
        <f t="shared" si="10"/>
        <v>7.6923076923076923E-4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520105</v>
      </c>
      <c r="B30" s="11">
        <v>494</v>
      </c>
      <c r="C30" s="7" t="str">
        <f t="shared" si="3"/>
        <v>PremiumSS4</v>
      </c>
      <c r="D30" s="7" t="str">
        <f t="shared" si="4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ハーメルン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green</v>
      </c>
      <c r="L30" s="7" t="str">
        <f>VLOOKUP(B30,[1]characters!$A:$K,11,FALSE)</f>
        <v>technical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v>19</v>
      </c>
      <c r="P30" s="46">
        <f t="shared" si="10"/>
        <v>1.4615384615384615E-2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520105</v>
      </c>
      <c r="B31" s="6">
        <v>495</v>
      </c>
      <c r="C31" s="7" t="str">
        <f t="shared" si="3"/>
        <v>PremiumSS5</v>
      </c>
      <c r="D31" s="7" t="str">
        <f t="shared" si="4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鼠災呼ぶ笛音 ハーメルン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v>1</v>
      </c>
      <c r="P31" s="46">
        <f t="shared" si="10"/>
        <v>7.6923076923076923E-4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520105</v>
      </c>
      <c r="B32" s="6">
        <v>499</v>
      </c>
      <c r="C32" s="7" t="str">
        <f t="shared" si="3"/>
        <v>PremiumSS4</v>
      </c>
      <c r="D32" s="7" t="str">
        <f t="shared" si="4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ラプンツェル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v>19</v>
      </c>
      <c r="P32" s="46">
        <f t="shared" si="10"/>
        <v>1.4615384615384615E-2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s="12" customFormat="1" ht="22" customHeight="1" thickBot="1" x14ac:dyDescent="0.2">
      <c r="A33" s="2">
        <v>520105</v>
      </c>
      <c r="B33" s="6">
        <v>500</v>
      </c>
      <c r="C33" s="7" t="str">
        <f t="shared" si="3"/>
        <v>PremiumSS5</v>
      </c>
      <c r="D33" s="7" t="str">
        <f t="shared" si="4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脈動の禁髪 ラプンツェル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v>1</v>
      </c>
      <c r="P33" s="46">
        <f t="shared" si="10"/>
        <v>7.6923076923076923E-4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s="99" customFormat="1" ht="22" customHeight="1" x14ac:dyDescent="0.15">
      <c r="A34" s="2">
        <v>520105</v>
      </c>
      <c r="B34" s="10">
        <v>594</v>
      </c>
      <c r="C34" s="7" t="str">
        <f t="shared" si="3"/>
        <v>PremiumSS4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アルフヘイム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不明</v>
      </c>
      <c r="O34" s="45">
        <v>19</v>
      </c>
      <c r="P34" s="46">
        <f t="shared" si="10"/>
        <v>1.4615384615384615E-2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520105</v>
      </c>
      <c r="B35" s="10">
        <v>595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光華なる神域 アルフヘイム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dragon</v>
      </c>
      <c r="N35" s="7" t="str">
        <f>VLOOKUP(B35,[1]characters!$A:$G,7,FALSE)</f>
        <v>不明</v>
      </c>
      <c r="O35" s="45">
        <v>1</v>
      </c>
      <c r="P35" s="46">
        <f t="shared" si="10"/>
        <v>7.6923076923076923E-4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520105</v>
      </c>
      <c r="B36" s="10">
        <v>602</v>
      </c>
      <c r="C36" s="7" t="str">
        <f t="shared" si="3"/>
        <v>PremiumSS4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フレイヤ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blue</v>
      </c>
      <c r="L36" s="7" t="str">
        <f>VLOOKUP(B36,[1]characters!$A:$K,11,FALSE)</f>
        <v>heal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5">
        <v>19</v>
      </c>
      <c r="P36" s="46">
        <f t="shared" si="10"/>
        <v>1.4615384615384615E-2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520105</v>
      </c>
      <c r="B37" s="6">
        <v>603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掌愛の豊穣女神 フレイヤ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5">
        <v>1</v>
      </c>
      <c r="P37" s="46">
        <f t="shared" si="10"/>
        <v>7.6923076923076923E-4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520105</v>
      </c>
      <c r="B38" s="6">
        <v>658</v>
      </c>
      <c r="C38" s="7" t="str">
        <f t="shared" si="3"/>
        <v>PremiumSS4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猫又 クルミ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red</v>
      </c>
      <c r="L38" s="7" t="str">
        <f>VLOOKUP(B38,[1]characters!$A:$K,11,FALSE)</f>
        <v>attack</v>
      </c>
      <c r="M38" s="7" t="str">
        <f>VLOOKUP(B38,[1]characters!$A:$M,13,FALSE)</f>
        <v>animal</v>
      </c>
      <c r="N38" s="7" t="str">
        <f>VLOOKUP(B38,[1]characters!$A:$G,7,FALSE)</f>
        <v>女性</v>
      </c>
      <c r="O38" s="45">
        <v>19</v>
      </c>
      <c r="P38" s="46">
        <f t="shared" si="10"/>
        <v>1.4615384615384615E-2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520105</v>
      </c>
      <c r="B39" s="6">
        <v>659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跳梁する化猫 クルミ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attack</v>
      </c>
      <c r="M39" s="7" t="str">
        <f>VLOOKUP(B39,[1]characters!$A:$M,13,FALSE)</f>
        <v>animal</v>
      </c>
      <c r="N39" s="7" t="str">
        <f>VLOOKUP(B39,[1]characters!$A:$G,7,FALSE)</f>
        <v>女性</v>
      </c>
      <c r="O39" s="45">
        <v>1</v>
      </c>
      <c r="P39" s="46">
        <f t="shared" si="10"/>
        <v>7.6923076923076923E-4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520105</v>
      </c>
      <c r="B40" s="6">
        <v>660</v>
      </c>
      <c r="C40" s="7" t="str">
        <f t="shared" si="3"/>
        <v>PremiumSS4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烏天狗 フウガ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green</v>
      </c>
      <c r="L40" s="7" t="str">
        <f>VLOOKUP(B40,[1]characters!$A:$K,11,FALSE)</f>
        <v>balance</v>
      </c>
      <c r="M40" s="7" t="str">
        <f>VLOOKUP(B40,[1]characters!$A:$M,13,FALSE)</f>
        <v>animal</v>
      </c>
      <c r="N40" s="7" t="str">
        <f>VLOOKUP(B40,[1]characters!$A:$G,7,FALSE)</f>
        <v>男性</v>
      </c>
      <c r="O40" s="45">
        <v>19</v>
      </c>
      <c r="P40" s="46">
        <f t="shared" si="10"/>
        <v>1.4615384615384615E-2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520105</v>
      </c>
      <c r="B41" s="6">
        <v>661</v>
      </c>
      <c r="C41" s="7" t="str">
        <f t="shared" si="3"/>
        <v>PremiumSS5</v>
      </c>
      <c r="D41" s="7" t="str">
        <f t="shared" si="4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疾風の天狗礫 フウガ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balance</v>
      </c>
      <c r="M41" s="7" t="str">
        <f>VLOOKUP(B41,[1]characters!$A:$M,13,FALSE)</f>
        <v>animal</v>
      </c>
      <c r="N41" s="7" t="str">
        <f>VLOOKUP(B41,[1]characters!$A:$G,7,FALSE)</f>
        <v>男性</v>
      </c>
      <c r="O41" s="45">
        <v>1</v>
      </c>
      <c r="P41" s="46">
        <f t="shared" si="10"/>
        <v>7.6923076923076923E-4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520105</v>
      </c>
      <c r="B42" s="6">
        <v>674</v>
      </c>
      <c r="C42" s="7" t="str">
        <f t="shared" si="3"/>
        <v>PremiumSS4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サラスヴァティ</v>
      </c>
      <c r="I42" s="7" t="str">
        <f>VLOOKUP(B42,[1]characters!$A:$J,10,FALSE)</f>
        <v>PremiumSS</v>
      </c>
      <c r="J42" s="7">
        <f>VLOOKUP(B42,[1]characters!$A:$I,9,FALSE)</f>
        <v>4</v>
      </c>
      <c r="K42" s="7" t="str">
        <f>VLOOKUP(B42,[1]characters!$A:$H,8,FALSE)</f>
        <v>blue</v>
      </c>
      <c r="L42" s="7" t="str">
        <f>VLOOKUP(B42,[1]characters!$A:$K,11,FALSE)</f>
        <v>balance</v>
      </c>
      <c r="M42" s="7" t="str">
        <f>VLOOKUP(B42,[1]characters!$A:$M,13,FALSE)</f>
        <v>god</v>
      </c>
      <c r="N42" s="7" t="str">
        <f>VLOOKUP(B42,[1]characters!$A:$G,7,FALSE)</f>
        <v>女性</v>
      </c>
      <c r="O42" s="45">
        <v>19</v>
      </c>
      <c r="P42" s="46">
        <f t="shared" ref="P42:P73" si="11">O42/SUM(O:O)</f>
        <v>1.4615384615384615E-2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520105</v>
      </c>
      <c r="B43" s="6">
        <v>675</v>
      </c>
      <c r="C43" s="7" t="str">
        <f t="shared" si="3"/>
        <v>PremiumSS5</v>
      </c>
      <c r="D43" s="7" t="str">
        <f t="shared" si="4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芸楽の奔流 サラスヴァティ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blue</v>
      </c>
      <c r="L43" s="7" t="str">
        <f>VLOOKUP(B43,[1]characters!$A:$K,11,FALSE)</f>
        <v>balance</v>
      </c>
      <c r="M43" s="7" t="str">
        <f>VLOOKUP(B43,[1]characters!$A:$M,13,FALSE)</f>
        <v>god</v>
      </c>
      <c r="N43" s="7" t="str">
        <f>VLOOKUP(B43,[1]characters!$A:$G,7,FALSE)</f>
        <v>女性</v>
      </c>
      <c r="O43" s="45">
        <v>1</v>
      </c>
      <c r="P43" s="46">
        <f t="shared" si="11"/>
        <v>7.6923076923076923E-4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520105</v>
      </c>
      <c r="B44" s="6">
        <v>676</v>
      </c>
      <c r="C44" s="7" t="str">
        <f t="shared" si="3"/>
        <v>PremiumSS4</v>
      </c>
      <c r="D44" s="7" t="str">
        <f t="shared" si="4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ヴィシュヌ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v>19</v>
      </c>
      <c r="P44" s="46">
        <f t="shared" si="11"/>
        <v>1.4615384615384615E-2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520105</v>
      </c>
      <c r="B45" s="6">
        <v>677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武遊闊歩 ヴィシュヌ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v>1</v>
      </c>
      <c r="P45" s="46">
        <f t="shared" si="11"/>
        <v>7.6923076923076923E-4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520105</v>
      </c>
      <c r="B46" s="6">
        <v>732</v>
      </c>
      <c r="C46" s="7" t="str">
        <f t="shared" si="3"/>
        <v>PremiumSS5R5only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上杉謙信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女性</v>
      </c>
      <c r="O46" s="45">
        <v>20</v>
      </c>
      <c r="P46" s="46">
        <f t="shared" si="11"/>
        <v>1.5384615384615385E-2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520105</v>
      </c>
      <c r="B47" s="6">
        <v>734</v>
      </c>
      <c r="C47" s="7" t="str">
        <f t="shared" si="3"/>
        <v>PremiumSS5R5only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伊達政宗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yellow</v>
      </c>
      <c r="L47" s="7" t="str">
        <f>VLOOKUP(B47,[1]characters!$A:$K,11,FALSE)</f>
        <v>balance</v>
      </c>
      <c r="M47" s="7" t="str">
        <f>VLOOKUP(B47,[1]characters!$A:$M,13,FALSE)</f>
        <v>human</v>
      </c>
      <c r="N47" s="7" t="str">
        <f>VLOOKUP(B47,[1]characters!$A:$G,7,FALSE)</f>
        <v>男性</v>
      </c>
      <c r="O47" s="45">
        <v>20</v>
      </c>
      <c r="P47" s="46">
        <f t="shared" si="11"/>
        <v>1.5384615384615385E-2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520105</v>
      </c>
      <c r="B48" s="6">
        <v>742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アポロン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v>20</v>
      </c>
      <c r="P48" s="46">
        <f t="shared" si="11"/>
        <v>1.5384615384615385E-2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520105</v>
      </c>
      <c r="B49" s="6">
        <v>744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ヘルメス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20</v>
      </c>
      <c r="P49" s="46">
        <f t="shared" si="11"/>
        <v>1.5384615384615385E-2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520105</v>
      </c>
      <c r="B50" s="6">
        <v>770</v>
      </c>
      <c r="C50" s="7" t="str">
        <f t="shared" si="3"/>
        <v>PremiumSS4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ハヅル</v>
      </c>
      <c r="I50" s="7" t="str">
        <f>VLOOKUP(B50,[1]characters!$A:$J,10,FALSE)</f>
        <v>PremiumSS</v>
      </c>
      <c r="J50" s="7">
        <f>VLOOKUP(B50,[1]characters!$A:$I,9,FALSE)</f>
        <v>4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animal</v>
      </c>
      <c r="N50" s="7" t="str">
        <f>VLOOKUP(B50,[1]characters!$A:$G,7,FALSE)</f>
        <v>女性</v>
      </c>
      <c r="O50" s="45">
        <v>19</v>
      </c>
      <c r="P50" s="46">
        <f t="shared" si="11"/>
        <v>1.4615384615384615E-2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520105</v>
      </c>
      <c r="B51" s="6">
        <v>771</v>
      </c>
      <c r="C51" s="7" t="str">
        <f t="shared" si="3"/>
        <v>PremiumSS5</v>
      </c>
      <c r="D51" s="7" t="str">
        <f t="shared" si="4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天織羽鶴 ハヅル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red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v>1</v>
      </c>
      <c r="P51" s="46">
        <f t="shared" si="11"/>
        <v>7.6923076923076923E-4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520105</v>
      </c>
      <c r="B52" s="6">
        <v>772</v>
      </c>
      <c r="C52" s="7" t="str">
        <f t="shared" si="3"/>
        <v>PremiumSS4</v>
      </c>
      <c r="D52" s="7" t="str">
        <f t="shared" si="4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イナバ</v>
      </c>
      <c r="I52" s="7" t="str">
        <f>VLOOKUP(B52,[1]characters!$A:$J,10,FALSE)</f>
        <v>PremiumSS</v>
      </c>
      <c r="J52" s="7">
        <f>VLOOKUP(B52,[1]characters!$A:$I,9,FALSE)</f>
        <v>4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v>19</v>
      </c>
      <c r="P52" s="46">
        <f t="shared" si="11"/>
        <v>1.4615384615384615E-2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520105</v>
      </c>
      <c r="B53" s="6">
        <v>773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浮跳天兎 イナバ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v>1</v>
      </c>
      <c r="P53" s="46">
        <f t="shared" si="11"/>
        <v>7.6923076923076923E-4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520105</v>
      </c>
      <c r="B54" s="6">
        <v>848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メタトロン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god</v>
      </c>
      <c r="N54" s="7" t="str">
        <f>VLOOKUP(B54,[1]characters!$A:$G,7,FALSE)</f>
        <v>男性</v>
      </c>
      <c r="O54" s="45">
        <v>20</v>
      </c>
      <c r="P54" s="46">
        <f t="shared" si="11"/>
        <v>1.5384615384615385E-2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520105</v>
      </c>
      <c r="B55" s="6">
        <v>850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バアル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technical</v>
      </c>
      <c r="M55" s="7" t="str">
        <f>VLOOKUP(B55,[1]characters!$A:$M,13,FALSE)</f>
        <v>god</v>
      </c>
      <c r="N55" s="7" t="str">
        <f>VLOOKUP(B55,[1]characters!$A:$G,7,FALSE)</f>
        <v>男性</v>
      </c>
      <c r="O55" s="45">
        <v>20</v>
      </c>
      <c r="P55" s="46">
        <f t="shared" si="11"/>
        <v>1.5384615384615385E-2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520105</v>
      </c>
      <c r="B56" s="6">
        <v>866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無敗の司令姫 白雪姫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v>20</v>
      </c>
      <c r="P56" s="46">
        <f t="shared" si="11"/>
        <v>1.5384615384615385E-2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520105</v>
      </c>
      <c r="B57" s="6">
        <v>868</v>
      </c>
      <c r="C57" s="7" t="str">
        <f t="shared" si="3"/>
        <v>PremiumSS5R5only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アラジンと殲滅機兵LAMP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hp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20</v>
      </c>
      <c r="P57" s="46">
        <f t="shared" si="11"/>
        <v>1.5384615384615385E-2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520105</v>
      </c>
      <c r="B58" s="6">
        <v>937</v>
      </c>
      <c r="C58" s="7" t="str">
        <f t="shared" si="3"/>
        <v>PremiumSS5R5only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ナポレオン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balance</v>
      </c>
      <c r="M58" s="7" t="str">
        <f>VLOOKUP(B58,[1]characters!$A:$M,13,FALSE)</f>
        <v>human</v>
      </c>
      <c r="N58" s="7" t="str">
        <f>VLOOKUP(B58,[1]characters!$A:$G,7,FALSE)</f>
        <v>男性</v>
      </c>
      <c r="O58" s="45">
        <v>20</v>
      </c>
      <c r="P58" s="46">
        <f t="shared" si="11"/>
        <v>1.5384615384615385E-2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520105</v>
      </c>
      <c r="B59" s="6">
        <v>941</v>
      </c>
      <c r="C59" s="7" t="str">
        <f t="shared" si="3"/>
        <v>PremiumSS5R5only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アントワネット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blue</v>
      </c>
      <c r="L59" s="7" t="str">
        <f>VLOOKUP(B59,[1]characters!$A:$K,11,FALSE)</f>
        <v>technical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v>20</v>
      </c>
      <c r="P59" s="46">
        <f t="shared" si="11"/>
        <v>1.5384615384615385E-2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520105</v>
      </c>
      <c r="B60" s="6">
        <v>943</v>
      </c>
      <c r="C60" s="7" t="str">
        <f t="shared" si="3"/>
        <v>PremiumSS5R5only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サンソン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yellow</v>
      </c>
      <c r="L60" s="7" t="str">
        <f>VLOOKUP(B60,[1]characters!$A:$K,11,FALSE)</f>
        <v>attack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v>20</v>
      </c>
      <c r="P60" s="46">
        <f t="shared" si="11"/>
        <v>1.5384615384615385E-2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520105</v>
      </c>
      <c r="B61" s="6">
        <v>1012</v>
      </c>
      <c r="C61" s="7" t="str">
        <f t="shared" si="3"/>
        <v>PremiumSS5R5only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ラー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 t="str">
        <f>VLOOKUP(B61,[1]characters!$A:$G,7,FALSE)</f>
        <v>男性</v>
      </c>
      <c r="O61" s="45">
        <v>20</v>
      </c>
      <c r="P61" s="46">
        <f t="shared" si="11"/>
        <v>1.5384615384615385E-2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520105</v>
      </c>
      <c r="B62" s="6">
        <v>1014</v>
      </c>
      <c r="C62" s="7" t="str">
        <f t="shared" si="3"/>
        <v>PremiumSS5R5only</v>
      </c>
      <c r="D62" s="7" t="str">
        <f t="shared" si="4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イシス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hp</v>
      </c>
      <c r="M62" s="7" t="str">
        <f>VLOOKUP(B62,[1]characters!$A:$M,13,FALSE)</f>
        <v>god</v>
      </c>
      <c r="N62" s="7" t="str">
        <f>VLOOKUP(B62,[1]characters!$A:$G,7,FALSE)</f>
        <v>男性</v>
      </c>
      <c r="O62" s="45">
        <v>20</v>
      </c>
      <c r="P62" s="46">
        <f t="shared" si="11"/>
        <v>1.5384615384615385E-2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520105</v>
      </c>
      <c r="B63" s="6">
        <v>1018</v>
      </c>
      <c r="C63" s="7" t="str">
        <f t="shared" si="3"/>
        <v>PremiumSS5R5only</v>
      </c>
      <c r="D63" s="7" t="str">
        <f t="shared" si="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バステト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god</v>
      </c>
      <c r="N63" s="7" t="str">
        <f>VLOOKUP(B63,[1]characters!$A:$G,7,FALSE)</f>
        <v>男性</v>
      </c>
      <c r="O63" s="45">
        <v>20</v>
      </c>
      <c r="P63" s="46">
        <f t="shared" si="11"/>
        <v>1.5384615384615385E-2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520105</v>
      </c>
      <c r="B64" s="6">
        <v>1028</v>
      </c>
      <c r="C64" s="7" t="str">
        <f t="shared" si="3"/>
        <v>PremiumSS5R5only</v>
      </c>
      <c r="D64" s="7" t="str">
        <f t="shared" si="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牛若丸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green</v>
      </c>
      <c r="L64" s="7" t="str">
        <f>VLOOKUP(B64,[1]characters!$A:$K,11,FALSE)</f>
        <v>balance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20</v>
      </c>
      <c r="P64" s="46">
        <f t="shared" si="11"/>
        <v>1.5384615384615385E-2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520105</v>
      </c>
      <c r="B65" s="6">
        <v>1031</v>
      </c>
      <c r="C65" s="7" t="str">
        <f t="shared" si="3"/>
        <v>PremiumSS5R5only</v>
      </c>
      <c r="D65" s="7" t="str">
        <f t="shared" si="4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紫式部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blue</v>
      </c>
      <c r="L65" s="7" t="str">
        <f>VLOOKUP(B65,[1]characters!$A:$K,11,FALSE)</f>
        <v>technical</v>
      </c>
      <c r="M65" s="7" t="str">
        <f>VLOOKUP(B65,[1]characters!$A:$M,13,FALSE)</f>
        <v>human</v>
      </c>
      <c r="N65" s="7" t="str">
        <f>VLOOKUP(B65,[1]characters!$A:$G,7,FALSE)</f>
        <v>男性</v>
      </c>
      <c r="O65" s="45">
        <v>20</v>
      </c>
      <c r="P65" s="46">
        <f t="shared" si="11"/>
        <v>1.5384615384615385E-2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520105</v>
      </c>
      <c r="B66" s="6">
        <v>1033</v>
      </c>
      <c r="C66" s="7" t="str">
        <f t="shared" si="3"/>
        <v>PremiumSS5R5only</v>
      </c>
      <c r="D66" s="7" t="str">
        <f t="shared" si="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清少納言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yellow</v>
      </c>
      <c r="L66" s="7" t="str">
        <f>VLOOKUP(B66,[1]characters!$A:$K,11,FALSE)</f>
        <v>heal</v>
      </c>
      <c r="M66" s="7" t="str">
        <f>VLOOKUP(B66,[1]characters!$A:$M,13,FALSE)</f>
        <v>human</v>
      </c>
      <c r="N66" s="7" t="str">
        <f>VLOOKUP(B66,[1]characters!$A:$G,7,FALSE)</f>
        <v>男性</v>
      </c>
      <c r="O66" s="45">
        <v>20</v>
      </c>
      <c r="P66" s="46">
        <f t="shared" si="11"/>
        <v>1.5384615384615385E-2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520105</v>
      </c>
      <c r="B67" s="6">
        <v>1069</v>
      </c>
      <c r="C67" s="7" t="str">
        <f t="shared" si="3"/>
        <v>PremiumSS5R5only</v>
      </c>
      <c r="D67" s="7" t="str">
        <f t="shared" si="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イシュタル</v>
      </c>
      <c r="I67" s="7" t="str">
        <f>VLOOKUP(B67,[1]characters!$A:$J,10,FALSE)</f>
        <v>PremiumSS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technical</v>
      </c>
      <c r="M67" s="7" t="str">
        <f>VLOOKUP(B67,[1]characters!$A:$M,13,FALSE)</f>
        <v>god</v>
      </c>
      <c r="N67" s="7" t="str">
        <f>VLOOKUP(B67,[1]characters!$A:$G,7,FALSE)</f>
        <v>男性</v>
      </c>
      <c r="O67" s="45">
        <v>20</v>
      </c>
      <c r="P67" s="46">
        <f t="shared" si="11"/>
        <v>1.5384615384615385E-2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520105</v>
      </c>
      <c r="B68" s="6">
        <v>1072</v>
      </c>
      <c r="C68" s="7" t="str">
        <f t="shared" si="3"/>
        <v>PremiumSS5R5only</v>
      </c>
      <c r="D68" s="7" t="str">
        <f t="shared" si="4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エンキドゥ</v>
      </c>
      <c r="I68" s="7" t="str">
        <f>VLOOKUP(B68,[1]characters!$A:$J,10,FALSE)</f>
        <v>PremiumSSw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男性</v>
      </c>
      <c r="O68" s="45">
        <v>20</v>
      </c>
      <c r="P68" s="46">
        <f t="shared" si="11"/>
        <v>1.5384615384615385E-2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520105</v>
      </c>
      <c r="B69" s="6">
        <v>1074</v>
      </c>
      <c r="C69" s="7" t="str">
        <f t="shared" si="3"/>
        <v>PremiumSS5R5only</v>
      </c>
      <c r="D69" s="7" t="str">
        <f t="shared" si="4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マルドゥク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technical</v>
      </c>
      <c r="M69" s="7" t="str">
        <f>VLOOKUP(B69,[1]characters!$A:$M,13,FALSE)</f>
        <v>god</v>
      </c>
      <c r="N69" s="7" t="str">
        <f>VLOOKUP(B69,[1]characters!$A:$G,7,FALSE)</f>
        <v>男性</v>
      </c>
      <c r="O69" s="45">
        <v>20</v>
      </c>
      <c r="P69" s="46">
        <f t="shared" si="11"/>
        <v>1.5384615384615385E-2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520105</v>
      </c>
      <c r="B70" s="6">
        <v>1100</v>
      </c>
      <c r="C70" s="7" t="str">
        <f t="shared" si="3"/>
        <v>PremiumSS5R5only</v>
      </c>
      <c r="D70" s="7" t="str">
        <f t="shared" si="4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北斎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attack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20</v>
      </c>
      <c r="P70" s="46">
        <f t="shared" si="11"/>
        <v>1.5384615384615385E-2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520105</v>
      </c>
      <c r="B71" s="6">
        <v>1102</v>
      </c>
      <c r="C71" s="7" t="str">
        <f t="shared" si="3"/>
        <v>PremiumSS5R5only</v>
      </c>
      <c r="D71" s="7" t="str">
        <f t="shared" ref="D71:D84" si="12">IF(OR(I71="PremiumSS",I71="PremiumSSw"),"PremiumSS",IF(I71="PremiumSSS",I71,IF(I71="PremiumW",IF(J71=5,"premium",I71),"Premium")))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ドガ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20</v>
      </c>
      <c r="P71" s="46">
        <f t="shared" si="11"/>
        <v>1.5384615384615385E-2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520105</v>
      </c>
      <c r="B72" s="6">
        <v>1106</v>
      </c>
      <c r="C72" s="7" t="str">
        <f t="shared" si="3"/>
        <v>PremiumSS5R5only</v>
      </c>
      <c r="D72" s="7" t="str">
        <f t="shared" si="12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ラファエロ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yellow</v>
      </c>
      <c r="L72" s="7" t="str">
        <f>VLOOKUP(B72,[1]characters!$A:$K,11,FALSE)</f>
        <v>attack</v>
      </c>
      <c r="M72" s="7" t="str">
        <f>VLOOKUP(B72,[1]characters!$A:$M,13,FALSE)</f>
        <v>human</v>
      </c>
      <c r="N72" s="7" t="str">
        <f>VLOOKUP(B72,[1]characters!$A:$G,7,FALSE)</f>
        <v>不明</v>
      </c>
      <c r="O72" s="45">
        <v>20</v>
      </c>
      <c r="P72" s="46">
        <f t="shared" si="11"/>
        <v>1.5384615384615385E-2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520105</v>
      </c>
      <c r="B73" s="6">
        <v>1137</v>
      </c>
      <c r="C73" s="7" t="str">
        <f t="shared" si="3"/>
        <v>PremiumSS5R5only</v>
      </c>
      <c r="D73" s="7" t="str">
        <f t="shared" si="12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諸葛亮</v>
      </c>
      <c r="I73" s="7" t="str">
        <f>VLOOKUP(B73,[1]characters!$A:$J,10,FALSE)</f>
        <v>PremiumSSw</v>
      </c>
      <c r="J73" s="7">
        <f>VLOOKUP(B73,[1]characters!$A:$I,9,FALSE)</f>
        <v>5</v>
      </c>
      <c r="K73" s="7" t="str">
        <f>VLOOKUP(B73,[1]characters!$A:$H,8,FALSE)</f>
        <v>red</v>
      </c>
      <c r="L73" s="7" t="str">
        <f>VLOOKUP(B73,[1]characters!$A:$K,11,FALSE)</f>
        <v>technical</v>
      </c>
      <c r="M73" s="7" t="str">
        <f>VLOOKUP(B73,[1]characters!$A:$M,13,FALSE)</f>
        <v>samurai</v>
      </c>
      <c r="N73" s="7" t="str">
        <f>VLOOKUP(B73,[1]characters!$A:$G,7,FALSE)</f>
        <v>不明</v>
      </c>
      <c r="O73" s="45">
        <v>20</v>
      </c>
      <c r="P73" s="46">
        <f t="shared" si="11"/>
        <v>1.5384615384615385E-2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520105</v>
      </c>
      <c r="B74" s="6">
        <v>1139</v>
      </c>
      <c r="C74" s="7" t="str">
        <f t="shared" si="3"/>
        <v>PremiumSS5R5only</v>
      </c>
      <c r="D74" s="7" t="str">
        <f t="shared" si="12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趙雲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balance</v>
      </c>
      <c r="M74" s="7" t="str">
        <f>VLOOKUP(B74,[1]characters!$A:$M,13,FALSE)</f>
        <v>samurai</v>
      </c>
      <c r="N74" s="7" t="str">
        <f>VLOOKUP(B74,[1]characters!$A:$G,7,FALSE)</f>
        <v>不明</v>
      </c>
      <c r="O74" s="45">
        <v>20</v>
      </c>
      <c r="P74" s="46">
        <f t="shared" ref="P74:P84" si="13">O74/SUM(O:O)</f>
        <v>1.5384615384615385E-2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520105</v>
      </c>
      <c r="B75" s="6">
        <v>1141</v>
      </c>
      <c r="C75" s="7" t="str">
        <f t="shared" si="3"/>
        <v>PremiumSS5R5only</v>
      </c>
      <c r="D75" s="7" t="str">
        <f t="shared" si="12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月英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不明</v>
      </c>
      <c r="O75" s="45">
        <v>20</v>
      </c>
      <c r="P75" s="46">
        <f t="shared" si="13"/>
        <v>1.5384615384615385E-2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520105</v>
      </c>
      <c r="B76" s="6">
        <v>1153</v>
      </c>
      <c r="C76" s="7" t="str">
        <f t="shared" si="3"/>
        <v>PremiumSS5R5only</v>
      </c>
      <c r="D76" s="7" t="str">
        <f t="shared" si="12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ラクシュミー</v>
      </c>
      <c r="I76" s="7" t="str">
        <f>VLOOKUP(B76,[1]characters!$A:$J,10,FALSE)</f>
        <v>PremiumSSw</v>
      </c>
      <c r="J76" s="7">
        <f>VLOOKUP(B76,[1]characters!$A:$I,9,FALSE)</f>
        <v>5</v>
      </c>
      <c r="K76" s="7" t="str">
        <f>VLOOKUP(B76,[1]characters!$A:$H,8,FALSE)</f>
        <v>green</v>
      </c>
      <c r="L76" s="7" t="str">
        <f>VLOOKUP(B76,[1]characters!$A:$K,11,FALSE)</f>
        <v>hp</v>
      </c>
      <c r="M76" s="7" t="str">
        <f>VLOOKUP(B76,[1]characters!$A:$M,13,FALSE)</f>
        <v>god</v>
      </c>
      <c r="N76" s="7" t="str">
        <f>VLOOKUP(B76,[1]characters!$A:$G,7,FALSE)</f>
        <v>不明</v>
      </c>
      <c r="O76" s="45">
        <v>20</v>
      </c>
      <c r="P76" s="46">
        <f t="shared" si="13"/>
        <v>1.5384615384615385E-2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520105</v>
      </c>
      <c r="B77" s="6">
        <v>1155</v>
      </c>
      <c r="C77" s="7" t="str">
        <f t="shared" si="3"/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ドゥルガー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god</v>
      </c>
      <c r="N77" s="7" t="str">
        <f>VLOOKUP(B77,[1]characters!$A:$G,7,FALSE)</f>
        <v>不明</v>
      </c>
      <c r="O77" s="45">
        <v>20</v>
      </c>
      <c r="P77" s="46">
        <f t="shared" si="13"/>
        <v>1.5384615384615385E-2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520105</v>
      </c>
      <c r="B78" s="6">
        <v>1157</v>
      </c>
      <c r="C78" s="7" t="str">
        <f t="shared" si="3"/>
        <v>PremiumSS5R5only</v>
      </c>
      <c r="D78" s="7" t="str">
        <f t="shared" si="12"/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インドラ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yellow</v>
      </c>
      <c r="L78" s="7" t="str">
        <f>VLOOKUP(B78,[1]characters!$A:$K,11,FALSE)</f>
        <v>attack</v>
      </c>
      <c r="M78" s="7" t="str">
        <f>VLOOKUP(B78,[1]characters!$A:$M,13,FALSE)</f>
        <v>god</v>
      </c>
      <c r="N78" s="7" t="str">
        <f>VLOOKUP(B78,[1]characters!$A:$G,7,FALSE)</f>
        <v>不明</v>
      </c>
      <c r="O78" s="45">
        <v>20</v>
      </c>
      <c r="P78" s="46">
        <f t="shared" si="13"/>
        <v>1.5384615384615385E-2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520105</v>
      </c>
      <c r="B79" s="6">
        <v>1208</v>
      </c>
      <c r="C79" s="7" t="str">
        <f t="shared" si="3"/>
        <v>PremiumSS5R5only</v>
      </c>
      <c r="D79" s="7" t="str">
        <f t="shared" si="12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ネメシス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>
        <f>VLOOKUP(B79,[1]characters!$A:$G,7,FALSE)</f>
        <v>0</v>
      </c>
      <c r="O79" s="45">
        <v>20</v>
      </c>
      <c r="P79" s="46">
        <f t="shared" si="13"/>
        <v>1.5384615384615385E-2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520105</v>
      </c>
      <c r="B80" s="6">
        <v>1212</v>
      </c>
      <c r="C80" s="7" t="str">
        <f t="shared" si="3"/>
        <v>PremiumSS5R5only</v>
      </c>
      <c r="D80" s="7" t="str">
        <f t="shared" si="12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クロノス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technical</v>
      </c>
      <c r="M80" s="7" t="str">
        <f>VLOOKUP(B80,[1]characters!$A:$M,13,FALSE)</f>
        <v>god</v>
      </c>
      <c r="N80" s="7">
        <f>VLOOKUP(B80,[1]characters!$A:$G,7,FALSE)</f>
        <v>0</v>
      </c>
      <c r="O80" s="45">
        <v>20</v>
      </c>
      <c r="P80" s="46">
        <f t="shared" si="13"/>
        <v>1.5384615384615385E-2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520105</v>
      </c>
      <c r="B81" s="6">
        <v>1214</v>
      </c>
      <c r="C81" s="7" t="str">
        <f t="shared" si="3"/>
        <v>PremiumSS5R5only</v>
      </c>
      <c r="D81" s="7" t="str">
        <f t="shared" si="12"/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アルテミス</v>
      </c>
      <c r="I81" s="7" t="str">
        <f>VLOOKUP(B81,[1]characters!$A:$J,10,FALSE)</f>
        <v>PremiumSSw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balance</v>
      </c>
      <c r="M81" s="7" t="str">
        <f>VLOOKUP(B81,[1]characters!$A:$M,13,FALSE)</f>
        <v>god</v>
      </c>
      <c r="N81" s="7">
        <f>VLOOKUP(B81,[1]characters!$A:$G,7,FALSE)</f>
        <v>0</v>
      </c>
      <c r="O81" s="45">
        <v>20</v>
      </c>
      <c r="P81" s="46">
        <f t="shared" si="13"/>
        <v>1.5384615384615385E-2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520105</v>
      </c>
      <c r="B82" s="6">
        <v>1226</v>
      </c>
      <c r="C82" s="7" t="str">
        <f t="shared" si="3"/>
        <v>PremiumSS5R5only</v>
      </c>
      <c r="D82" s="7" t="str">
        <f t="shared" si="12"/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トルストイ</v>
      </c>
      <c r="I82" s="7" t="str">
        <f>VLOOKUP(B82,[1]characters!$A:$J,10,FALSE)</f>
        <v>PremiumSS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attack</v>
      </c>
      <c r="M82" s="7" t="str">
        <f>VLOOKUP(B82,[1]characters!$A:$M,13,FALSE)</f>
        <v>human</v>
      </c>
      <c r="N82" s="7">
        <f>VLOOKUP(B82,[1]characters!$A:$G,7,FALSE)</f>
        <v>0</v>
      </c>
      <c r="O82" s="45">
        <v>20</v>
      </c>
      <c r="P82" s="46">
        <f t="shared" si="13"/>
        <v>1.5384615384615385E-2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520105</v>
      </c>
      <c r="B83" s="6">
        <v>1228</v>
      </c>
      <c r="C83" s="7" t="str">
        <f t="shared" si="3"/>
        <v>PremiumSS5R5only</v>
      </c>
      <c r="D83" s="7" t="str">
        <f t="shared" si="12"/>
        <v>PremiumSS</v>
      </c>
      <c r="E83" s="7" t="str">
        <f>IF(COUNTIF('R6追加前'!A:A,B83)=0,IF(OR(I83="PremiumSS",I83="PremiumSSw"),"R5only","R3less"),"")</f>
        <v>R5only</v>
      </c>
      <c r="F83" s="7" t="str">
        <f>IF(COUNTIF('R6開放'!A:A,B83)&gt;0,"R6release","")</f>
        <v/>
      </c>
      <c r="G83" s="7"/>
      <c r="H83" s="7" t="str">
        <f>VLOOKUP(B83,[1]characters!$A:$C,3,FALSE)</f>
        <v>芥川龍之介</v>
      </c>
      <c r="I83" s="7" t="str">
        <f>VLOOKUP(B83,[1]characters!$A:$J,10,FALSE)</f>
        <v>PremiumSSw</v>
      </c>
      <c r="J83" s="7">
        <f>VLOOKUP(B83,[1]characters!$A:$I,9,FALSE)</f>
        <v>5</v>
      </c>
      <c r="K83" s="7" t="str">
        <f>VLOOKUP(B83,[1]characters!$A:$H,8,FALSE)</f>
        <v>blue</v>
      </c>
      <c r="L83" s="7" t="str">
        <f>VLOOKUP(B83,[1]characters!$A:$K,11,FALSE)</f>
        <v>attack</v>
      </c>
      <c r="M83" s="7" t="str">
        <f>VLOOKUP(B83,[1]characters!$A:$M,13,FALSE)</f>
        <v>human</v>
      </c>
      <c r="N83" s="7">
        <f>VLOOKUP(B83,[1]characters!$A:$G,7,FALSE)</f>
        <v>0</v>
      </c>
      <c r="O83" s="45">
        <v>20</v>
      </c>
      <c r="P83" s="46">
        <f t="shared" si="13"/>
        <v>1.5384615384615385E-2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520105</v>
      </c>
      <c r="B84" s="8">
        <v>1230</v>
      </c>
      <c r="C84" s="7" t="str">
        <f t="shared" si="3"/>
        <v>PremiumSS5R5only</v>
      </c>
      <c r="D84" s="7" t="str">
        <f t="shared" si="12"/>
        <v>PremiumSS</v>
      </c>
      <c r="E84" s="7" t="str">
        <f>IF(COUNTIF('R6追加前'!A:A,B84)=0,IF(OR(I84="PremiumSS",I84="PremiumSSw"),"R5only","R3less"),"")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夏目漱石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yellow</v>
      </c>
      <c r="L84" s="7" t="str">
        <f>VLOOKUP(B84,[1]characters!$A:$K,11,FALSE)</f>
        <v>heal</v>
      </c>
      <c r="M84" s="7" t="str">
        <f>VLOOKUP(B84,[1]characters!$A:$M,13,FALSE)</f>
        <v>animal</v>
      </c>
      <c r="N84" s="7">
        <f>VLOOKUP(B84,[1]characters!$A:$G,7,FALSE)</f>
        <v>0</v>
      </c>
      <c r="O84" s="45">
        <v>20</v>
      </c>
      <c r="P84" s="46">
        <f t="shared" si="13"/>
        <v>1.5384615384615385E-2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520105</v>
      </c>
      <c r="B85" s="1">
        <v>1250</v>
      </c>
      <c r="C85" s="7" t="str">
        <f t="shared" ref="C85:C90" si="14">D85&amp;J85&amp;E85&amp;F85&amp;G85</f>
        <v>PremiumSS5R5only</v>
      </c>
      <c r="D85" s="7" t="str">
        <f t="shared" ref="D85:D90" si="15">IF(OR(I85="PremiumSS",I85="PremiumSSw"),"PremiumSS",IF(I85="PremiumSSS",I85,IF(I85="PremiumW",IF(J85=5,"premium",I85),"Premium")))</f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真田幸村</v>
      </c>
      <c r="I85" s="7" t="str">
        <f>VLOOKUP(B85,[1]characters!$A:$J,10,FALSE)</f>
        <v>PremiumSSw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attack</v>
      </c>
      <c r="M85" s="7" t="str">
        <f>VLOOKUP(B85,[1]characters!$A:$M,13,FALSE)</f>
        <v>human</v>
      </c>
      <c r="N85" s="7">
        <f>VLOOKUP(B85,[1]characters!$A:$G,7,FALSE)</f>
        <v>0</v>
      </c>
      <c r="O85" s="45">
        <v>20</v>
      </c>
      <c r="P85" s="46">
        <f t="shared" ref="P85:P90" si="16">O85/SUM(O:O)</f>
        <v>1.5384615384615385E-2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520105</v>
      </c>
      <c r="B86" s="1">
        <v>1246</v>
      </c>
      <c r="C86" s="7" t="str">
        <f t="shared" si="14"/>
        <v>PremiumSS5R5only</v>
      </c>
      <c r="D86" s="7" t="str">
        <f t="shared" si="15"/>
        <v>PremiumSS</v>
      </c>
      <c r="E86" s="7" t="str">
        <f>IF(COUNTIF('R6追加前'!A:A,B86)=0,IF(OR(I86="PremiumSS",I86="PremiumSSw"),"R5only","R3less"),"")</f>
        <v>R5only</v>
      </c>
      <c r="F86" s="7" t="str">
        <f>IF(COUNTIF('R6開放'!A:A,B86)&gt;0,"R6release","")</f>
        <v/>
      </c>
      <c r="G86" s="7"/>
      <c r="H86" s="7" t="str">
        <f>VLOOKUP(B86,[1]characters!$A:$C,3,FALSE)</f>
        <v>望月千代女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green</v>
      </c>
      <c r="L86" s="7" t="str">
        <f>VLOOKUP(B86,[1]characters!$A:$K,11,FALSE)</f>
        <v>heal</v>
      </c>
      <c r="M86" s="7" t="str">
        <f>VLOOKUP(B86,[1]characters!$A:$M,13,FALSE)</f>
        <v>human</v>
      </c>
      <c r="N86" s="7">
        <f>VLOOKUP(B86,[1]characters!$A:$G,7,FALSE)</f>
        <v>0</v>
      </c>
      <c r="O86" s="45">
        <v>20</v>
      </c>
      <c r="P86" s="46">
        <f t="shared" si="16"/>
        <v>1.5384615384615385E-2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520105</v>
      </c>
      <c r="B87" s="1">
        <v>1244</v>
      </c>
      <c r="C87" s="7" t="str">
        <f t="shared" si="14"/>
        <v>PremiumSS5R5only</v>
      </c>
      <c r="D87" s="7" t="str">
        <f t="shared" si="15"/>
        <v>PremiumSS</v>
      </c>
      <c r="E87" s="7" t="str">
        <f>IF(COUNTIF('R6追加前'!A:A,B87)=0,IF(OR(I87="PremiumSS",I87="PremiumSSw"),"R5only","R3less"),"")</f>
        <v>R5only</v>
      </c>
      <c r="F87" s="7" t="str">
        <f>IF(COUNTIF('R6開放'!A:A,B87)&gt;0,"R6release","")</f>
        <v/>
      </c>
      <c r="G87" s="7"/>
      <c r="H87" s="7" t="str">
        <f>VLOOKUP(B87,[1]characters!$A:$C,3,FALSE)</f>
        <v>猿飛佐助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red</v>
      </c>
      <c r="L87" s="7" t="str">
        <f>VLOOKUP(B87,[1]characters!$A:$K,11,FALSE)</f>
        <v>attack</v>
      </c>
      <c r="M87" s="7" t="str">
        <f>VLOOKUP(B87,[1]characters!$A:$M,13,FALSE)</f>
        <v>human</v>
      </c>
      <c r="N87" s="7">
        <f>VLOOKUP(B87,[1]characters!$A:$G,7,FALSE)</f>
        <v>0</v>
      </c>
      <c r="O87" s="45">
        <v>20</v>
      </c>
      <c r="P87" s="46">
        <f t="shared" si="16"/>
        <v>1.5384615384615385E-2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520105</v>
      </c>
      <c r="B88" s="1">
        <v>1260</v>
      </c>
      <c r="C88" s="7" t="str">
        <f t="shared" si="14"/>
        <v>PremiumSS5R5only</v>
      </c>
      <c r="D88" s="7" t="str">
        <f t="shared" si="15"/>
        <v>PremiumSS</v>
      </c>
      <c r="E88" s="7" t="str">
        <f>IF(COUNTIF('R6追加前'!A:A,B88)=0,IF(OR(I88="PremiumSS",I88="PremiumSSw"),"R5only","R3less"),"")</f>
        <v>R5only</v>
      </c>
      <c r="F88" s="7" t="str">
        <f>IF(COUNTIF('R6開放'!A:A,B88)&gt;0,"R6release","")</f>
        <v/>
      </c>
      <c r="G88" s="7"/>
      <c r="H88" s="7" t="str">
        <f>VLOOKUP(B88,[1]characters!$A:$C,3,FALSE)</f>
        <v>トール</v>
      </c>
      <c r="I88" s="7" t="str">
        <f>VLOOKUP(B88,[1]characters!$A:$J,10,FALSE)</f>
        <v>PremiumSS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>
        <f>VLOOKUP(B88,[1]characters!$A:$G,7,FALSE)</f>
        <v>0</v>
      </c>
      <c r="O88" s="45">
        <v>20</v>
      </c>
      <c r="P88" s="46">
        <f t="shared" si="16"/>
        <v>1.5384615384615385E-2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520105</v>
      </c>
      <c r="B89" s="1">
        <v>1262</v>
      </c>
      <c r="C89" s="7" t="str">
        <f t="shared" si="14"/>
        <v>PremiumSS5R5only</v>
      </c>
      <c r="D89" s="7" t="str">
        <f t="shared" si="15"/>
        <v>PremiumSS</v>
      </c>
      <c r="E89" s="7" t="str">
        <f>IF(COUNTIF('R6追加前'!A:A,B89)=0,IF(OR(I89="PremiumSS",I89="PremiumSSw"),"R5only","R3less"),"")</f>
        <v>R5only</v>
      </c>
      <c r="F89" s="7" t="str">
        <f>IF(COUNTIF('R6開放'!A:A,B89)&gt;0,"R6release","")</f>
        <v/>
      </c>
      <c r="G89" s="7"/>
      <c r="H89" s="7" t="str">
        <f>VLOOKUP(B89,[1]characters!$A:$C,3,FALSE)</f>
        <v>イズン</v>
      </c>
      <c r="I89" s="7" t="str">
        <f>VLOOKUP(B89,[1]characters!$A:$J,10,FALSE)</f>
        <v>PremiumSSw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god</v>
      </c>
      <c r="N89" s="7">
        <f>VLOOKUP(B89,[1]characters!$A:$G,7,FALSE)</f>
        <v>0</v>
      </c>
      <c r="O89" s="45">
        <v>20</v>
      </c>
      <c r="P89" s="46">
        <f t="shared" si="16"/>
        <v>1.5384615384615385E-2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520105</v>
      </c>
      <c r="B90" s="1">
        <v>1264</v>
      </c>
      <c r="C90" s="7" t="str">
        <f t="shared" si="14"/>
        <v>PremiumSS5R5only</v>
      </c>
      <c r="D90" s="7" t="str">
        <f t="shared" si="15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ウルズ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heal</v>
      </c>
      <c r="M90" s="7" t="str">
        <f>VLOOKUP(B90,[1]characters!$A:$M,13,FALSE)</f>
        <v>god</v>
      </c>
      <c r="N90" s="7">
        <f>VLOOKUP(B90,[1]characters!$A:$G,7,FALSE)</f>
        <v>0</v>
      </c>
      <c r="O90" s="45">
        <v>20</v>
      </c>
      <c r="P90" s="46">
        <f t="shared" si="16"/>
        <v>1.5384615384615385E-2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</sheetData>
  <autoFilter ref="A1:V8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T7"/>
  <sheetViews>
    <sheetView showGridLines="0" tabSelected="1" workbookViewId="0">
      <pane ySplit="1" topLeftCell="A2" activePane="bottomLeft" state="frozen"/>
      <selection activeCell="M24" sqref="M24"/>
      <selection pane="bottomLeft" activeCell="A7" sqref="A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8" width="18.796875" style="1" customWidth="1"/>
    <col min="19" max="16384" width="13" style="1"/>
  </cols>
  <sheetData>
    <row r="1" spans="1:20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  <c r="R1" s="101"/>
    </row>
    <row r="2" spans="1:20" ht="22" customHeight="1" x14ac:dyDescent="0.15">
      <c r="A2" s="97">
        <v>520102</v>
      </c>
      <c r="B2" s="97">
        <v>5201021</v>
      </c>
      <c r="C2" s="2" t="s">
        <v>264</v>
      </c>
      <c r="D2" s="2">
        <v>2</v>
      </c>
      <c r="E2" s="2">
        <v>3</v>
      </c>
      <c r="F2" s="2">
        <v>1</v>
      </c>
      <c r="G2" s="96">
        <v>0</v>
      </c>
      <c r="H2" s="96">
        <v>0</v>
      </c>
      <c r="I2" s="96">
        <v>0</v>
      </c>
      <c r="J2" s="96">
        <v>0</v>
      </c>
      <c r="K2" s="96">
        <v>1</v>
      </c>
      <c r="L2" s="96">
        <v>1</v>
      </c>
      <c r="M2" s="96">
        <v>1</v>
      </c>
      <c r="N2" s="78" t="s">
        <v>253</v>
      </c>
      <c r="O2" s="78" t="s">
        <v>265</v>
      </c>
      <c r="P2" s="78" t="s">
        <v>254</v>
      </c>
      <c r="Q2" s="79" t="s">
        <v>266</v>
      </c>
      <c r="R2" s="1" t="b">
        <f t="shared" ref="R2:R7" si="0">EXACT(S2,T2)</f>
        <v>1</v>
      </c>
      <c r="S2" s="1" t="str">
        <f>RIGHT(E2,1)</f>
        <v>3</v>
      </c>
      <c r="T2" s="1" t="str">
        <f t="shared" ref="T2:T7" si="1">RIGHT(O2,1)</f>
        <v>3</v>
      </c>
    </row>
    <row r="3" spans="1:20" ht="21" customHeight="1" x14ac:dyDescent="0.15">
      <c r="A3" s="97">
        <v>520103</v>
      </c>
      <c r="B3" s="97" t="str">
        <f>CONCATENATE(A3,1)</f>
        <v>5201031</v>
      </c>
      <c r="C3" s="2" t="s">
        <v>252</v>
      </c>
      <c r="D3" s="2">
        <v>335</v>
      </c>
      <c r="E3" s="2">
        <v>10</v>
      </c>
      <c r="F3" s="2">
        <v>1</v>
      </c>
      <c r="G3" s="96">
        <v>0</v>
      </c>
      <c r="H3" s="96">
        <v>0</v>
      </c>
      <c r="I3" s="96">
        <v>0</v>
      </c>
      <c r="J3" s="96">
        <v>0</v>
      </c>
      <c r="K3" s="96">
        <v>1</v>
      </c>
      <c r="L3" s="96">
        <v>1</v>
      </c>
      <c r="M3" s="96">
        <v>1</v>
      </c>
      <c r="N3" s="78" t="s">
        <v>253</v>
      </c>
      <c r="O3" s="78" t="s">
        <v>255</v>
      </c>
      <c r="P3" s="78" t="s">
        <v>254</v>
      </c>
      <c r="Q3" s="79" t="s">
        <v>256</v>
      </c>
      <c r="R3" s="1" t="b">
        <f t="shared" si="0"/>
        <v>1</v>
      </c>
      <c r="S3" s="1" t="str">
        <f t="shared" ref="S3:S7" si="2">RIGHT(E3,1)</f>
        <v>0</v>
      </c>
      <c r="T3" s="1" t="str">
        <f t="shared" si="1"/>
        <v>0</v>
      </c>
    </row>
    <row r="4" spans="1:20" ht="21" customHeight="1" x14ac:dyDescent="0.15">
      <c r="A4" s="97">
        <v>520103</v>
      </c>
      <c r="B4" s="97">
        <f>B3+1</f>
        <v>5201032</v>
      </c>
      <c r="C4" s="2" t="s">
        <v>252</v>
      </c>
      <c r="D4" s="2">
        <v>339</v>
      </c>
      <c r="E4" s="2">
        <v>10</v>
      </c>
      <c r="F4" s="2">
        <v>1</v>
      </c>
      <c r="G4" s="96">
        <v>0</v>
      </c>
      <c r="H4" s="96">
        <v>0</v>
      </c>
      <c r="I4" s="96">
        <v>0</v>
      </c>
      <c r="J4" s="96">
        <v>0</v>
      </c>
      <c r="K4" s="96">
        <v>1</v>
      </c>
      <c r="L4" s="96">
        <v>1</v>
      </c>
      <c r="M4" s="96">
        <v>1</v>
      </c>
      <c r="N4" s="78" t="s">
        <v>253</v>
      </c>
      <c r="O4" s="78" t="s">
        <v>257</v>
      </c>
      <c r="P4" s="78" t="s">
        <v>254</v>
      </c>
      <c r="Q4" s="79" t="s">
        <v>258</v>
      </c>
      <c r="R4" s="1" t="b">
        <f t="shared" si="0"/>
        <v>1</v>
      </c>
      <c r="S4" s="1" t="str">
        <f t="shared" si="2"/>
        <v>0</v>
      </c>
      <c r="T4" s="1" t="str">
        <f t="shared" si="1"/>
        <v>0</v>
      </c>
    </row>
    <row r="5" spans="1:20" ht="21" customHeight="1" x14ac:dyDescent="0.15">
      <c r="A5" s="97">
        <v>520103</v>
      </c>
      <c r="B5" s="97">
        <f t="shared" ref="B5:B6" si="3">B4+1</f>
        <v>5201033</v>
      </c>
      <c r="C5" s="2" t="s">
        <v>252</v>
      </c>
      <c r="D5" s="2">
        <v>343</v>
      </c>
      <c r="E5" s="2">
        <v>10</v>
      </c>
      <c r="F5" s="2">
        <v>1</v>
      </c>
      <c r="G5" s="33">
        <v>0</v>
      </c>
      <c r="H5" s="33">
        <v>0</v>
      </c>
      <c r="I5" s="33">
        <v>0</v>
      </c>
      <c r="J5" s="33">
        <v>0</v>
      </c>
      <c r="K5" s="33">
        <v>1</v>
      </c>
      <c r="L5" s="33">
        <v>1</v>
      </c>
      <c r="M5" s="33">
        <v>1</v>
      </c>
      <c r="N5" s="2" t="s">
        <v>253</v>
      </c>
      <c r="O5" s="2" t="s">
        <v>259</v>
      </c>
      <c r="P5" s="2" t="s">
        <v>254</v>
      </c>
      <c r="Q5" s="79" t="s">
        <v>261</v>
      </c>
      <c r="R5" s="1" t="b">
        <f t="shared" si="0"/>
        <v>1</v>
      </c>
      <c r="S5" s="1" t="str">
        <f t="shared" si="2"/>
        <v>0</v>
      </c>
      <c r="T5" s="1" t="str">
        <f t="shared" si="1"/>
        <v>0</v>
      </c>
    </row>
    <row r="6" spans="1:20" ht="21" customHeight="1" x14ac:dyDescent="0.15">
      <c r="A6" s="97">
        <v>520103</v>
      </c>
      <c r="B6" s="97">
        <f t="shared" si="3"/>
        <v>5201034</v>
      </c>
      <c r="C6" s="2" t="s">
        <v>252</v>
      </c>
      <c r="D6" s="2">
        <v>347</v>
      </c>
      <c r="E6" s="2">
        <v>10</v>
      </c>
      <c r="F6" s="2">
        <v>1</v>
      </c>
      <c r="G6" s="33">
        <v>0</v>
      </c>
      <c r="H6" s="33">
        <v>0</v>
      </c>
      <c r="I6" s="33">
        <v>0</v>
      </c>
      <c r="J6" s="33">
        <v>0</v>
      </c>
      <c r="K6" s="33">
        <v>1</v>
      </c>
      <c r="L6" s="33">
        <v>1</v>
      </c>
      <c r="M6" s="33">
        <v>1</v>
      </c>
      <c r="N6" s="2" t="s">
        <v>253</v>
      </c>
      <c r="O6" s="2" t="s">
        <v>260</v>
      </c>
      <c r="P6" s="2" t="s">
        <v>254</v>
      </c>
      <c r="Q6" s="79" t="s">
        <v>262</v>
      </c>
      <c r="R6" s="1" t="b">
        <f t="shared" si="0"/>
        <v>1</v>
      </c>
      <c r="S6" s="1" t="str">
        <f t="shared" si="2"/>
        <v>0</v>
      </c>
      <c r="T6" s="1" t="str">
        <f t="shared" si="1"/>
        <v>0</v>
      </c>
    </row>
    <row r="7" spans="1:20" ht="21" customHeight="1" x14ac:dyDescent="0.15">
      <c r="A7" s="97">
        <v>520104</v>
      </c>
      <c r="B7" s="97" t="str">
        <f>CONCATENATE(A7,1)</f>
        <v>5201041</v>
      </c>
      <c r="C7" s="2" t="s">
        <v>252</v>
      </c>
      <c r="D7" s="2">
        <v>837</v>
      </c>
      <c r="E7" s="2">
        <v>1</v>
      </c>
      <c r="F7" s="2">
        <v>1</v>
      </c>
      <c r="G7" s="33">
        <v>0</v>
      </c>
      <c r="H7" s="33">
        <v>0</v>
      </c>
      <c r="I7" s="33">
        <v>0</v>
      </c>
      <c r="J7" s="33">
        <v>0</v>
      </c>
      <c r="K7" s="33">
        <v>1</v>
      </c>
      <c r="L7" s="33">
        <v>1</v>
      </c>
      <c r="M7" s="33">
        <v>1</v>
      </c>
      <c r="N7" s="2" t="s">
        <v>253</v>
      </c>
      <c r="O7" s="2" t="s">
        <v>267</v>
      </c>
      <c r="P7" s="2" t="s">
        <v>254</v>
      </c>
      <c r="Q7" s="79" t="s">
        <v>268</v>
      </c>
      <c r="R7" s="1" t="b">
        <f t="shared" si="0"/>
        <v>1</v>
      </c>
      <c r="S7" s="1" t="str">
        <f t="shared" si="2"/>
        <v>1</v>
      </c>
      <c r="T7" s="1" t="str">
        <f t="shared" si="1"/>
        <v>1</v>
      </c>
    </row>
  </sheetData>
  <autoFilter ref="A1:F1"/>
  <phoneticPr fontId="22"/>
  <conditionalFormatting sqref="R2:R7">
    <cfRule type="containsText" dxfId="0" priority="1" operator="containsText" text="FALSE">
      <formula>NOT(ISERROR(SEARCH("FALSE",R2)))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input_520101</vt:lpstr>
      <vt:lpstr>tables_520101</vt:lpstr>
      <vt:lpstr>input_520100</vt:lpstr>
      <vt:lpstr>tables_520100</vt:lpstr>
      <vt:lpstr>tables_settle_520105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2017-02-03T01:36:55Z</dcterms:modified>
</cp:coreProperties>
</file>